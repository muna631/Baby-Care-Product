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F:\manual testing\data_analyst\datacamp\datascience 365\excel project baby product\"/>
    </mc:Choice>
  </mc:AlternateContent>
  <xr:revisionPtr revIDLastSave="0" documentId="13_ncr:1_{68D346C5-5385-42A9-9B6B-AAA562B6E533}" xr6:coauthVersionLast="47" xr6:coauthVersionMax="47" xr10:uidLastSave="{00000000-0000-0000-0000-000000000000}"/>
  <bookViews>
    <workbookView xWindow="-108" yWindow="-108" windowWidth="23256" windowHeight="12456" activeTab="1" xr2:uid="{DE4BB78B-B23C-4CE8-9A6A-2F33012050E0}"/>
  </bookViews>
  <sheets>
    <sheet name="Working Sheet" sheetId="2" r:id="rId1"/>
    <sheet name="Pivot Table" sheetId="8" r:id="rId2"/>
    <sheet name="cleaned data" sheetId="4" r:id="rId3"/>
  </sheets>
  <definedNames>
    <definedName name="_xlnm._FilterDatabase" localSheetId="2" hidden="1">'cleaned data'!$A$1:$A$552</definedName>
    <definedName name="_xlnm._FilterDatabase" localSheetId="0" hidden="1">'Working Sheet'!$A$3:$K$820</definedName>
    <definedName name="Slicer_Package_Size">#N/A</definedName>
    <definedName name="Slicer_Package_Type">#N/A</definedName>
    <definedName name="Slicer_Protec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 i="8" l="1"/>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4" i="8"/>
  <c r="U5" i="8"/>
  <c r="T5" i="8"/>
  <c r="S5" i="8"/>
  <c r="U4" i="8"/>
  <c r="T4" i="8"/>
  <c r="S4" i="8"/>
  <c r="X4" i="8" l="1"/>
  <c r="Z5" i="8"/>
  <c r="U6" i="8"/>
  <c r="Y4" i="8"/>
  <c r="X5" i="8"/>
  <c r="Y5" i="8"/>
  <c r="Z4" i="8"/>
  <c r="W4" i="8"/>
  <c r="W5" i="8"/>
  <c r="S6" i="8"/>
  <c r="T6" i="8"/>
  <c r="Z6" i="8" l="1"/>
  <c r="Y6" i="8"/>
  <c r="X6" i="8"/>
  <c r="W6" i="8"/>
  <c r="L3" i="4" l="1"/>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2" i="4"/>
  <c r="J3" i="4"/>
  <c r="J4" i="4"/>
  <c r="Q4" i="4" s="1"/>
  <c r="J5" i="4"/>
  <c r="Q5" i="4" s="1"/>
  <c r="J6" i="4"/>
  <c r="Q6" i="4" s="1"/>
  <c r="J7" i="4"/>
  <c r="J8" i="4"/>
  <c r="Q8" i="4" s="1"/>
  <c r="J9" i="4"/>
  <c r="Q9" i="4" s="1"/>
  <c r="J10" i="4"/>
  <c r="J11" i="4"/>
  <c r="J12" i="4"/>
  <c r="Q12" i="4" s="1"/>
  <c r="J13" i="4"/>
  <c r="Q13" i="4" s="1"/>
  <c r="J14" i="4"/>
  <c r="Q14" i="4" s="1"/>
  <c r="J15" i="4"/>
  <c r="J16" i="4"/>
  <c r="Q16" i="4" s="1"/>
  <c r="J17" i="4"/>
  <c r="Q17" i="4" s="1"/>
  <c r="J18" i="4"/>
  <c r="J19" i="4"/>
  <c r="J20" i="4"/>
  <c r="Q20" i="4" s="1"/>
  <c r="J21" i="4"/>
  <c r="Q21" i="4" s="1"/>
  <c r="J22" i="4"/>
  <c r="Q22" i="4" s="1"/>
  <c r="J23" i="4"/>
  <c r="J24" i="4"/>
  <c r="Q24" i="4" s="1"/>
  <c r="J25" i="4"/>
  <c r="Q25" i="4" s="1"/>
  <c r="J26" i="4"/>
  <c r="J27" i="4"/>
  <c r="J28" i="4"/>
  <c r="Q28" i="4" s="1"/>
  <c r="J29" i="4"/>
  <c r="Q29" i="4" s="1"/>
  <c r="J30" i="4"/>
  <c r="Q30" i="4" s="1"/>
  <c r="J31" i="4"/>
  <c r="J32" i="4"/>
  <c r="Q32" i="4" s="1"/>
  <c r="J33" i="4"/>
  <c r="Q33" i="4" s="1"/>
  <c r="J34" i="4"/>
  <c r="J35" i="4"/>
  <c r="J36" i="4"/>
  <c r="Q36" i="4" s="1"/>
  <c r="J37" i="4"/>
  <c r="Q37" i="4" s="1"/>
  <c r="J38" i="4"/>
  <c r="Q38" i="4" s="1"/>
  <c r="J39" i="4"/>
  <c r="J40" i="4"/>
  <c r="Q40" i="4" s="1"/>
  <c r="J41" i="4"/>
  <c r="Q41" i="4" s="1"/>
  <c r="J42" i="4"/>
  <c r="J43" i="4"/>
  <c r="J44" i="4"/>
  <c r="Q44" i="4" s="1"/>
  <c r="J45" i="4"/>
  <c r="Q45" i="4" s="1"/>
  <c r="J46" i="4"/>
  <c r="Q46" i="4" s="1"/>
  <c r="J47" i="4"/>
  <c r="J48" i="4"/>
  <c r="Q48" i="4" s="1"/>
  <c r="J49" i="4"/>
  <c r="Q49" i="4" s="1"/>
  <c r="J50" i="4"/>
  <c r="J51" i="4"/>
  <c r="J52" i="4"/>
  <c r="Q52" i="4" s="1"/>
  <c r="J53" i="4"/>
  <c r="Q53" i="4" s="1"/>
  <c r="J54" i="4"/>
  <c r="Q54" i="4" s="1"/>
  <c r="J55" i="4"/>
  <c r="J56" i="4"/>
  <c r="Q56" i="4" s="1"/>
  <c r="J57" i="4"/>
  <c r="Q57" i="4" s="1"/>
  <c r="J58" i="4"/>
  <c r="J59" i="4"/>
  <c r="J60" i="4"/>
  <c r="Q60" i="4" s="1"/>
  <c r="J61" i="4"/>
  <c r="Q61" i="4" s="1"/>
  <c r="J62" i="4"/>
  <c r="Q62" i="4" s="1"/>
  <c r="J63" i="4"/>
  <c r="J64" i="4"/>
  <c r="Q64" i="4" s="1"/>
  <c r="J65" i="4"/>
  <c r="Q65" i="4" s="1"/>
  <c r="J66" i="4"/>
  <c r="J67" i="4"/>
  <c r="J68" i="4"/>
  <c r="Q68" i="4" s="1"/>
  <c r="J69" i="4"/>
  <c r="Q69" i="4" s="1"/>
  <c r="J70" i="4"/>
  <c r="Q70" i="4" s="1"/>
  <c r="J71" i="4"/>
  <c r="J72" i="4"/>
  <c r="Q72" i="4" s="1"/>
  <c r="J73" i="4"/>
  <c r="Q73" i="4" s="1"/>
  <c r="J74" i="4"/>
  <c r="J75" i="4"/>
  <c r="J76" i="4"/>
  <c r="Q76" i="4" s="1"/>
  <c r="J77" i="4"/>
  <c r="Q77" i="4" s="1"/>
  <c r="J78" i="4"/>
  <c r="Q78" i="4" s="1"/>
  <c r="J79" i="4"/>
  <c r="J80" i="4"/>
  <c r="Q80" i="4" s="1"/>
  <c r="J81" i="4"/>
  <c r="Q81" i="4" s="1"/>
  <c r="J82" i="4"/>
  <c r="J83" i="4"/>
  <c r="J84" i="4"/>
  <c r="Q84" i="4" s="1"/>
  <c r="J85" i="4"/>
  <c r="Q85" i="4" s="1"/>
  <c r="J86" i="4"/>
  <c r="Q86" i="4" s="1"/>
  <c r="J87" i="4"/>
  <c r="J88" i="4"/>
  <c r="Q88" i="4" s="1"/>
  <c r="J89" i="4"/>
  <c r="Q89" i="4" s="1"/>
  <c r="J90" i="4"/>
  <c r="J91" i="4"/>
  <c r="J92" i="4"/>
  <c r="Q92" i="4" s="1"/>
  <c r="J93" i="4"/>
  <c r="Q93" i="4" s="1"/>
  <c r="J94" i="4"/>
  <c r="Q94" i="4" s="1"/>
  <c r="J95" i="4"/>
  <c r="J96" i="4"/>
  <c r="Q96" i="4" s="1"/>
  <c r="J97" i="4"/>
  <c r="Q97" i="4" s="1"/>
  <c r="J98" i="4"/>
  <c r="J99" i="4"/>
  <c r="J100" i="4"/>
  <c r="Q100" i="4" s="1"/>
  <c r="J101" i="4"/>
  <c r="Q101" i="4" s="1"/>
  <c r="J102" i="4"/>
  <c r="Q102" i="4" s="1"/>
  <c r="J103" i="4"/>
  <c r="J104" i="4"/>
  <c r="Q104" i="4" s="1"/>
  <c r="J105" i="4"/>
  <c r="Q105" i="4" s="1"/>
  <c r="J106" i="4"/>
  <c r="J107" i="4"/>
  <c r="J108" i="4"/>
  <c r="Q108" i="4" s="1"/>
  <c r="J109" i="4"/>
  <c r="Q109" i="4" s="1"/>
  <c r="J110" i="4"/>
  <c r="Q110" i="4" s="1"/>
  <c r="J111" i="4"/>
  <c r="J112" i="4"/>
  <c r="Q112" i="4" s="1"/>
  <c r="J113" i="4"/>
  <c r="Q113" i="4" s="1"/>
  <c r="J114" i="4"/>
  <c r="J115" i="4"/>
  <c r="J116" i="4"/>
  <c r="Q116" i="4" s="1"/>
  <c r="J117" i="4"/>
  <c r="Q117" i="4" s="1"/>
  <c r="J118" i="4"/>
  <c r="Q118" i="4" s="1"/>
  <c r="J119" i="4"/>
  <c r="J120" i="4"/>
  <c r="Q120" i="4" s="1"/>
  <c r="J121" i="4"/>
  <c r="Q121" i="4" s="1"/>
  <c r="J122" i="4"/>
  <c r="J123" i="4"/>
  <c r="J124" i="4"/>
  <c r="Q124" i="4" s="1"/>
  <c r="J125" i="4"/>
  <c r="Q125" i="4" s="1"/>
  <c r="J126" i="4"/>
  <c r="Q126" i="4" s="1"/>
  <c r="J127" i="4"/>
  <c r="J128" i="4"/>
  <c r="Q128" i="4" s="1"/>
  <c r="J129" i="4"/>
  <c r="Q129" i="4" s="1"/>
  <c r="J130" i="4"/>
  <c r="J131" i="4"/>
  <c r="J132" i="4"/>
  <c r="Q132" i="4" s="1"/>
  <c r="J133" i="4"/>
  <c r="Q133" i="4" s="1"/>
  <c r="J134" i="4"/>
  <c r="Q134" i="4" s="1"/>
  <c r="J135" i="4"/>
  <c r="J136" i="4"/>
  <c r="Q136" i="4" s="1"/>
  <c r="J137" i="4"/>
  <c r="Q137" i="4" s="1"/>
  <c r="J138" i="4"/>
  <c r="J139" i="4"/>
  <c r="J140" i="4"/>
  <c r="Q140" i="4" s="1"/>
  <c r="J141" i="4"/>
  <c r="Q141" i="4" s="1"/>
  <c r="J142" i="4"/>
  <c r="Q142" i="4" s="1"/>
  <c r="J143" i="4"/>
  <c r="J144" i="4"/>
  <c r="Q144" i="4" s="1"/>
  <c r="J145" i="4"/>
  <c r="Q145" i="4" s="1"/>
  <c r="J146" i="4"/>
  <c r="J147" i="4"/>
  <c r="J148" i="4"/>
  <c r="Q148" i="4" s="1"/>
  <c r="J149" i="4"/>
  <c r="Q149" i="4" s="1"/>
  <c r="J150" i="4"/>
  <c r="Q150" i="4" s="1"/>
  <c r="J151" i="4"/>
  <c r="J152" i="4"/>
  <c r="Q152" i="4" s="1"/>
  <c r="J153" i="4"/>
  <c r="Q153" i="4" s="1"/>
  <c r="J154" i="4"/>
  <c r="J155" i="4"/>
  <c r="J156" i="4"/>
  <c r="Q156" i="4" s="1"/>
  <c r="J157" i="4"/>
  <c r="Q157" i="4" s="1"/>
  <c r="J158" i="4"/>
  <c r="Q158" i="4" s="1"/>
  <c r="J159" i="4"/>
  <c r="J160" i="4"/>
  <c r="Q160" i="4" s="1"/>
  <c r="J161" i="4"/>
  <c r="Q161" i="4" s="1"/>
  <c r="J162" i="4"/>
  <c r="J163" i="4"/>
  <c r="J164" i="4"/>
  <c r="Q164" i="4" s="1"/>
  <c r="J165" i="4"/>
  <c r="Q165" i="4" s="1"/>
  <c r="J166" i="4"/>
  <c r="Q166" i="4" s="1"/>
  <c r="J167" i="4"/>
  <c r="J168" i="4"/>
  <c r="Q168" i="4" s="1"/>
  <c r="J169" i="4"/>
  <c r="Q169" i="4" s="1"/>
  <c r="J170" i="4"/>
  <c r="J171" i="4"/>
  <c r="J172" i="4"/>
  <c r="Q172" i="4" s="1"/>
  <c r="J173" i="4"/>
  <c r="Q173" i="4" s="1"/>
  <c r="J174" i="4"/>
  <c r="Q174" i="4" s="1"/>
  <c r="J175" i="4"/>
  <c r="J176" i="4"/>
  <c r="Q176" i="4" s="1"/>
  <c r="J177" i="4"/>
  <c r="Q177" i="4" s="1"/>
  <c r="J178" i="4"/>
  <c r="J179" i="4"/>
  <c r="J180" i="4"/>
  <c r="Q180" i="4" s="1"/>
  <c r="J181" i="4"/>
  <c r="Q181" i="4" s="1"/>
  <c r="J182" i="4"/>
  <c r="Q182" i="4" s="1"/>
  <c r="J183" i="4"/>
  <c r="J184" i="4"/>
  <c r="Q184" i="4" s="1"/>
  <c r="J185" i="4"/>
  <c r="Q185" i="4" s="1"/>
  <c r="J186" i="4"/>
  <c r="J187" i="4"/>
  <c r="J188" i="4"/>
  <c r="Q188" i="4" s="1"/>
  <c r="J189" i="4"/>
  <c r="Q189" i="4" s="1"/>
  <c r="J190" i="4"/>
  <c r="Q190" i="4" s="1"/>
  <c r="J191" i="4"/>
  <c r="J192" i="4"/>
  <c r="Q192" i="4" s="1"/>
  <c r="J193" i="4"/>
  <c r="Q193" i="4" s="1"/>
  <c r="J194" i="4"/>
  <c r="J195" i="4"/>
  <c r="J196" i="4"/>
  <c r="Q196" i="4" s="1"/>
  <c r="J197" i="4"/>
  <c r="Q197" i="4" s="1"/>
  <c r="J198" i="4"/>
  <c r="Q198" i="4" s="1"/>
  <c r="J199" i="4"/>
  <c r="J200" i="4"/>
  <c r="Q200" i="4" s="1"/>
  <c r="J201" i="4"/>
  <c r="Q201" i="4" s="1"/>
  <c r="J202" i="4"/>
  <c r="J203" i="4"/>
  <c r="J204" i="4"/>
  <c r="Q204" i="4" s="1"/>
  <c r="J205" i="4"/>
  <c r="Q205" i="4" s="1"/>
  <c r="J206" i="4"/>
  <c r="Q206" i="4" s="1"/>
  <c r="J207" i="4"/>
  <c r="J208" i="4"/>
  <c r="Q208" i="4" s="1"/>
  <c r="J209" i="4"/>
  <c r="Q209" i="4" s="1"/>
  <c r="J210" i="4"/>
  <c r="J211" i="4"/>
  <c r="J212" i="4"/>
  <c r="Q212" i="4" s="1"/>
  <c r="J213" i="4"/>
  <c r="Q213" i="4" s="1"/>
  <c r="J214" i="4"/>
  <c r="Q214" i="4" s="1"/>
  <c r="J215" i="4"/>
  <c r="J216" i="4"/>
  <c r="Q216" i="4" s="1"/>
  <c r="J217" i="4"/>
  <c r="Q217" i="4" s="1"/>
  <c r="J218" i="4"/>
  <c r="J219" i="4"/>
  <c r="J220" i="4"/>
  <c r="Q220" i="4" s="1"/>
  <c r="J221" i="4"/>
  <c r="Q221" i="4" s="1"/>
  <c r="J222" i="4"/>
  <c r="Q222" i="4" s="1"/>
  <c r="J223" i="4"/>
  <c r="J224" i="4"/>
  <c r="Q224" i="4" s="1"/>
  <c r="J225" i="4"/>
  <c r="Q225" i="4" s="1"/>
  <c r="J226" i="4"/>
  <c r="J227" i="4"/>
  <c r="J228" i="4"/>
  <c r="Q228" i="4" s="1"/>
  <c r="J229" i="4"/>
  <c r="Q229" i="4" s="1"/>
  <c r="J230" i="4"/>
  <c r="Q230" i="4" s="1"/>
  <c r="J231" i="4"/>
  <c r="J232" i="4"/>
  <c r="Q232" i="4" s="1"/>
  <c r="J233" i="4"/>
  <c r="Q233" i="4" s="1"/>
  <c r="J234" i="4"/>
  <c r="J235" i="4"/>
  <c r="J236" i="4"/>
  <c r="Q236" i="4" s="1"/>
  <c r="J237" i="4"/>
  <c r="Q237" i="4" s="1"/>
  <c r="J238" i="4"/>
  <c r="Q238" i="4" s="1"/>
  <c r="J239" i="4"/>
  <c r="J240" i="4"/>
  <c r="Q240" i="4" s="1"/>
  <c r="J241" i="4"/>
  <c r="Q241" i="4" s="1"/>
  <c r="J242" i="4"/>
  <c r="J243" i="4"/>
  <c r="J244" i="4"/>
  <c r="Q244" i="4" s="1"/>
  <c r="J245" i="4"/>
  <c r="Q245" i="4" s="1"/>
  <c r="J246" i="4"/>
  <c r="Q246" i="4" s="1"/>
  <c r="J247" i="4"/>
  <c r="J248" i="4"/>
  <c r="Q248" i="4" s="1"/>
  <c r="J249" i="4"/>
  <c r="Q249" i="4" s="1"/>
  <c r="J250" i="4"/>
  <c r="J251" i="4"/>
  <c r="J252" i="4"/>
  <c r="Q252" i="4" s="1"/>
  <c r="J253" i="4"/>
  <c r="Q253" i="4" s="1"/>
  <c r="J254" i="4"/>
  <c r="Q254" i="4" s="1"/>
  <c r="J255" i="4"/>
  <c r="J256" i="4"/>
  <c r="Q256" i="4" s="1"/>
  <c r="J257" i="4"/>
  <c r="Q257" i="4" s="1"/>
  <c r="J258" i="4"/>
  <c r="J259" i="4"/>
  <c r="J260" i="4"/>
  <c r="Q260" i="4" s="1"/>
  <c r="J261" i="4"/>
  <c r="Q261" i="4" s="1"/>
  <c r="J262" i="4"/>
  <c r="Q262" i="4" s="1"/>
  <c r="J263" i="4"/>
  <c r="J264" i="4"/>
  <c r="Q264" i="4" s="1"/>
  <c r="J265" i="4"/>
  <c r="Q265" i="4" s="1"/>
  <c r="J266" i="4"/>
  <c r="J267" i="4"/>
  <c r="J268" i="4"/>
  <c r="Q268" i="4" s="1"/>
  <c r="J269" i="4"/>
  <c r="Q269" i="4" s="1"/>
  <c r="J270" i="4"/>
  <c r="Q270" i="4" s="1"/>
  <c r="J271" i="4"/>
  <c r="J272" i="4"/>
  <c r="Q272" i="4" s="1"/>
  <c r="J273" i="4"/>
  <c r="Q273" i="4" s="1"/>
  <c r="J274" i="4"/>
  <c r="J275" i="4"/>
  <c r="J276" i="4"/>
  <c r="Q276" i="4" s="1"/>
  <c r="J277" i="4"/>
  <c r="Q277" i="4" s="1"/>
  <c r="J278" i="4"/>
  <c r="Q278" i="4" s="1"/>
  <c r="J279" i="4"/>
  <c r="J280" i="4"/>
  <c r="Q280" i="4" s="1"/>
  <c r="J281" i="4"/>
  <c r="Q281" i="4" s="1"/>
  <c r="J282" i="4"/>
  <c r="J283" i="4"/>
  <c r="J284" i="4"/>
  <c r="Q284" i="4" s="1"/>
  <c r="J285" i="4"/>
  <c r="Q285" i="4" s="1"/>
  <c r="J286" i="4"/>
  <c r="Q286" i="4" s="1"/>
  <c r="J287" i="4"/>
  <c r="J288" i="4"/>
  <c r="Q288" i="4" s="1"/>
  <c r="J289" i="4"/>
  <c r="Q289" i="4" s="1"/>
  <c r="J290" i="4"/>
  <c r="J291" i="4"/>
  <c r="J292" i="4"/>
  <c r="Q292" i="4" s="1"/>
  <c r="J293" i="4"/>
  <c r="Q293" i="4" s="1"/>
  <c r="J294" i="4"/>
  <c r="Q294" i="4" s="1"/>
  <c r="J295" i="4"/>
  <c r="J296" i="4"/>
  <c r="Q296" i="4" s="1"/>
  <c r="J297" i="4"/>
  <c r="Q297" i="4" s="1"/>
  <c r="J298" i="4"/>
  <c r="J299" i="4"/>
  <c r="J300" i="4"/>
  <c r="Q300" i="4" s="1"/>
  <c r="J301" i="4"/>
  <c r="Q301" i="4" s="1"/>
  <c r="J302" i="4"/>
  <c r="Q302" i="4" s="1"/>
  <c r="J303" i="4"/>
  <c r="J304" i="4"/>
  <c r="Q304" i="4" s="1"/>
  <c r="J305" i="4"/>
  <c r="Q305" i="4" s="1"/>
  <c r="J306" i="4"/>
  <c r="J307" i="4"/>
  <c r="J308" i="4"/>
  <c r="Q308" i="4" s="1"/>
  <c r="J309" i="4"/>
  <c r="Q309" i="4" s="1"/>
  <c r="J310" i="4"/>
  <c r="Q310" i="4" s="1"/>
  <c r="J311" i="4"/>
  <c r="J312" i="4"/>
  <c r="Q312" i="4" s="1"/>
  <c r="J313" i="4"/>
  <c r="Q313" i="4" s="1"/>
  <c r="J314" i="4"/>
  <c r="J315" i="4"/>
  <c r="J316" i="4"/>
  <c r="Q316" i="4" s="1"/>
  <c r="J317" i="4"/>
  <c r="Q317" i="4" s="1"/>
  <c r="J318" i="4"/>
  <c r="Q318" i="4" s="1"/>
  <c r="J319" i="4"/>
  <c r="J320" i="4"/>
  <c r="Q320" i="4" s="1"/>
  <c r="J321" i="4"/>
  <c r="Q321" i="4" s="1"/>
  <c r="J322" i="4"/>
  <c r="J323" i="4"/>
  <c r="J324" i="4"/>
  <c r="Q324" i="4" s="1"/>
  <c r="J325" i="4"/>
  <c r="Q325" i="4" s="1"/>
  <c r="J326" i="4"/>
  <c r="Q326" i="4" s="1"/>
  <c r="J327" i="4"/>
  <c r="J328" i="4"/>
  <c r="Q328" i="4" s="1"/>
  <c r="J329" i="4"/>
  <c r="Q329" i="4" s="1"/>
  <c r="J330" i="4"/>
  <c r="J331" i="4"/>
  <c r="J332" i="4"/>
  <c r="Q332" i="4" s="1"/>
  <c r="J333" i="4"/>
  <c r="Q333" i="4" s="1"/>
  <c r="J334" i="4"/>
  <c r="Q334" i="4" s="1"/>
  <c r="J335" i="4"/>
  <c r="J336" i="4"/>
  <c r="Q336" i="4" s="1"/>
  <c r="J337" i="4"/>
  <c r="Q337" i="4" s="1"/>
  <c r="J338" i="4"/>
  <c r="J339" i="4"/>
  <c r="J340" i="4"/>
  <c r="Q340" i="4" s="1"/>
  <c r="J341" i="4"/>
  <c r="Q341" i="4" s="1"/>
  <c r="J342" i="4"/>
  <c r="Q342" i="4" s="1"/>
  <c r="J343" i="4"/>
  <c r="J344" i="4"/>
  <c r="Q344" i="4" s="1"/>
  <c r="J345" i="4"/>
  <c r="Q345" i="4" s="1"/>
  <c r="J346" i="4"/>
  <c r="J347" i="4"/>
  <c r="J348" i="4"/>
  <c r="Q348" i="4" s="1"/>
  <c r="J349" i="4"/>
  <c r="Q349" i="4" s="1"/>
  <c r="J350" i="4"/>
  <c r="Q350" i="4" s="1"/>
  <c r="J351" i="4"/>
  <c r="J352" i="4"/>
  <c r="Q352" i="4" s="1"/>
  <c r="J353" i="4"/>
  <c r="Q353" i="4" s="1"/>
  <c r="J354" i="4"/>
  <c r="J355" i="4"/>
  <c r="J356" i="4"/>
  <c r="Q356" i="4" s="1"/>
  <c r="J357" i="4"/>
  <c r="Q357" i="4" s="1"/>
  <c r="J358" i="4"/>
  <c r="Q358" i="4" s="1"/>
  <c r="J359" i="4"/>
  <c r="J360" i="4"/>
  <c r="Q360" i="4" s="1"/>
  <c r="J361" i="4"/>
  <c r="Q361" i="4" s="1"/>
  <c r="J362" i="4"/>
  <c r="J363" i="4"/>
  <c r="J364" i="4"/>
  <c r="Q364" i="4" s="1"/>
  <c r="J365" i="4"/>
  <c r="Q365" i="4" s="1"/>
  <c r="J366" i="4"/>
  <c r="Q366" i="4" s="1"/>
  <c r="J367" i="4"/>
  <c r="J368" i="4"/>
  <c r="Q368" i="4" s="1"/>
  <c r="J369" i="4"/>
  <c r="Q369" i="4" s="1"/>
  <c r="J370" i="4"/>
  <c r="J371" i="4"/>
  <c r="J372" i="4"/>
  <c r="Q372" i="4" s="1"/>
  <c r="J373" i="4"/>
  <c r="Q373" i="4" s="1"/>
  <c r="J374" i="4"/>
  <c r="Q374" i="4" s="1"/>
  <c r="J375" i="4"/>
  <c r="J376" i="4"/>
  <c r="Q376" i="4" s="1"/>
  <c r="J377" i="4"/>
  <c r="Q377" i="4" s="1"/>
  <c r="J378" i="4"/>
  <c r="J379" i="4"/>
  <c r="J380" i="4"/>
  <c r="Q380" i="4" s="1"/>
  <c r="J381" i="4"/>
  <c r="Q381" i="4" s="1"/>
  <c r="J382" i="4"/>
  <c r="Q382" i="4" s="1"/>
  <c r="J383" i="4"/>
  <c r="J384" i="4"/>
  <c r="Q384" i="4" s="1"/>
  <c r="J385" i="4"/>
  <c r="Q385" i="4" s="1"/>
  <c r="J386" i="4"/>
  <c r="J387" i="4"/>
  <c r="J388" i="4"/>
  <c r="Q388" i="4" s="1"/>
  <c r="J389" i="4"/>
  <c r="Q389" i="4" s="1"/>
  <c r="J390" i="4"/>
  <c r="Q390" i="4" s="1"/>
  <c r="J391" i="4"/>
  <c r="J392" i="4"/>
  <c r="Q392" i="4" s="1"/>
  <c r="J393" i="4"/>
  <c r="Q393" i="4" s="1"/>
  <c r="J394" i="4"/>
  <c r="J395" i="4"/>
  <c r="J396" i="4"/>
  <c r="Q396" i="4" s="1"/>
  <c r="J397" i="4"/>
  <c r="Q397" i="4" s="1"/>
  <c r="J398" i="4"/>
  <c r="Q398" i="4" s="1"/>
  <c r="J399" i="4"/>
  <c r="J400" i="4"/>
  <c r="Q400" i="4" s="1"/>
  <c r="J401" i="4"/>
  <c r="Q401" i="4" s="1"/>
  <c r="J402" i="4"/>
  <c r="J403" i="4"/>
  <c r="J404" i="4"/>
  <c r="Q404" i="4" s="1"/>
  <c r="J405" i="4"/>
  <c r="Q405" i="4" s="1"/>
  <c r="J406" i="4"/>
  <c r="Q406" i="4" s="1"/>
  <c r="J407" i="4"/>
  <c r="J408" i="4"/>
  <c r="Q408" i="4" s="1"/>
  <c r="J409" i="4"/>
  <c r="Q409" i="4" s="1"/>
  <c r="J410" i="4"/>
  <c r="J411" i="4"/>
  <c r="J412" i="4"/>
  <c r="Q412" i="4" s="1"/>
  <c r="J413" i="4"/>
  <c r="Q413" i="4" s="1"/>
  <c r="J414" i="4"/>
  <c r="Q414" i="4" s="1"/>
  <c r="J415" i="4"/>
  <c r="J416" i="4"/>
  <c r="Q416" i="4" s="1"/>
  <c r="J417" i="4"/>
  <c r="Q417" i="4" s="1"/>
  <c r="J418" i="4"/>
  <c r="J419" i="4"/>
  <c r="J420" i="4"/>
  <c r="Q420" i="4" s="1"/>
  <c r="J421" i="4"/>
  <c r="Q421" i="4" s="1"/>
  <c r="J422" i="4"/>
  <c r="Q422" i="4" s="1"/>
  <c r="J423" i="4"/>
  <c r="J424" i="4"/>
  <c r="Q424" i="4" s="1"/>
  <c r="J425" i="4"/>
  <c r="Q425" i="4" s="1"/>
  <c r="J426" i="4"/>
  <c r="J427" i="4"/>
  <c r="J428" i="4"/>
  <c r="Q428" i="4" s="1"/>
  <c r="J429" i="4"/>
  <c r="Q429" i="4" s="1"/>
  <c r="J430" i="4"/>
  <c r="Q430" i="4" s="1"/>
  <c r="J431" i="4"/>
  <c r="J432" i="4"/>
  <c r="Q432" i="4" s="1"/>
  <c r="J433" i="4"/>
  <c r="Q433" i="4" s="1"/>
  <c r="J434" i="4"/>
  <c r="J435" i="4"/>
  <c r="J436" i="4"/>
  <c r="Q436" i="4" s="1"/>
  <c r="J437" i="4"/>
  <c r="Q437" i="4" s="1"/>
  <c r="J438" i="4"/>
  <c r="Q438" i="4" s="1"/>
  <c r="J439" i="4"/>
  <c r="J440" i="4"/>
  <c r="Q440" i="4" s="1"/>
  <c r="J441" i="4"/>
  <c r="Q441" i="4" s="1"/>
  <c r="J442" i="4"/>
  <c r="J443" i="4"/>
  <c r="J444" i="4"/>
  <c r="Q444" i="4" s="1"/>
  <c r="J445" i="4"/>
  <c r="Q445" i="4" s="1"/>
  <c r="J446" i="4"/>
  <c r="Q446" i="4" s="1"/>
  <c r="J447" i="4"/>
  <c r="J448" i="4"/>
  <c r="Q448" i="4" s="1"/>
  <c r="J449" i="4"/>
  <c r="Q449" i="4" s="1"/>
  <c r="J450" i="4"/>
  <c r="J451" i="4"/>
  <c r="J452" i="4"/>
  <c r="Q452" i="4" s="1"/>
  <c r="J453" i="4"/>
  <c r="Q453" i="4" s="1"/>
  <c r="J454" i="4"/>
  <c r="Q454" i="4" s="1"/>
  <c r="J455" i="4"/>
  <c r="J456" i="4"/>
  <c r="Q456" i="4" s="1"/>
  <c r="J457" i="4"/>
  <c r="Q457" i="4" s="1"/>
  <c r="J458" i="4"/>
  <c r="J459" i="4"/>
  <c r="J460" i="4"/>
  <c r="Q460" i="4" s="1"/>
  <c r="J461" i="4"/>
  <c r="Q461" i="4" s="1"/>
  <c r="J462" i="4"/>
  <c r="Q462" i="4" s="1"/>
  <c r="J463" i="4"/>
  <c r="J464" i="4"/>
  <c r="Q464" i="4" s="1"/>
  <c r="J465" i="4"/>
  <c r="Q465" i="4" s="1"/>
  <c r="J466" i="4"/>
  <c r="J467" i="4"/>
  <c r="J468" i="4"/>
  <c r="Q468" i="4" s="1"/>
  <c r="J469" i="4"/>
  <c r="Q469" i="4" s="1"/>
  <c r="J470" i="4"/>
  <c r="Q470" i="4" s="1"/>
  <c r="J471" i="4"/>
  <c r="J472" i="4"/>
  <c r="Q472" i="4" s="1"/>
  <c r="J473" i="4"/>
  <c r="Q473" i="4" s="1"/>
  <c r="J474" i="4"/>
  <c r="J475" i="4"/>
  <c r="J476" i="4"/>
  <c r="Q476" i="4" s="1"/>
  <c r="J477" i="4"/>
  <c r="Q477" i="4" s="1"/>
  <c r="J478" i="4"/>
  <c r="Q478" i="4" s="1"/>
  <c r="J479" i="4"/>
  <c r="J480" i="4"/>
  <c r="Q480" i="4" s="1"/>
  <c r="J481" i="4"/>
  <c r="Q481" i="4" s="1"/>
  <c r="J482" i="4"/>
  <c r="J483" i="4"/>
  <c r="J484" i="4"/>
  <c r="Q484" i="4" s="1"/>
  <c r="J485" i="4"/>
  <c r="Q485" i="4" s="1"/>
  <c r="J486" i="4"/>
  <c r="Q486" i="4" s="1"/>
  <c r="J487" i="4"/>
  <c r="J488" i="4"/>
  <c r="Q488" i="4" s="1"/>
  <c r="J489" i="4"/>
  <c r="Q489" i="4" s="1"/>
  <c r="J490" i="4"/>
  <c r="J491" i="4"/>
  <c r="J492" i="4"/>
  <c r="Q492" i="4" s="1"/>
  <c r="J493" i="4"/>
  <c r="Q493" i="4" s="1"/>
  <c r="J494" i="4"/>
  <c r="Q494" i="4" s="1"/>
  <c r="J495" i="4"/>
  <c r="J496" i="4"/>
  <c r="Q496" i="4" s="1"/>
  <c r="J497" i="4"/>
  <c r="Q497" i="4" s="1"/>
  <c r="J498" i="4"/>
  <c r="J499" i="4"/>
  <c r="J500" i="4"/>
  <c r="Q500" i="4" s="1"/>
  <c r="J501" i="4"/>
  <c r="Q501" i="4" s="1"/>
  <c r="J502" i="4"/>
  <c r="Q502" i="4" s="1"/>
  <c r="J503" i="4"/>
  <c r="J504" i="4"/>
  <c r="Q504" i="4" s="1"/>
  <c r="J505" i="4"/>
  <c r="Q505" i="4" s="1"/>
  <c r="J506" i="4"/>
  <c r="J507" i="4"/>
  <c r="J508" i="4"/>
  <c r="Q508" i="4" s="1"/>
  <c r="J509" i="4"/>
  <c r="Q509" i="4" s="1"/>
  <c r="J510" i="4"/>
  <c r="Q510" i="4" s="1"/>
  <c r="J511" i="4"/>
  <c r="J512" i="4"/>
  <c r="Q512" i="4" s="1"/>
  <c r="J513" i="4"/>
  <c r="Q513" i="4" s="1"/>
  <c r="J514" i="4"/>
  <c r="J515" i="4"/>
  <c r="J516" i="4"/>
  <c r="Q516" i="4" s="1"/>
  <c r="J517" i="4"/>
  <c r="Q517" i="4" s="1"/>
  <c r="J518" i="4"/>
  <c r="Q518" i="4" s="1"/>
  <c r="J519" i="4"/>
  <c r="J520" i="4"/>
  <c r="Q520" i="4" s="1"/>
  <c r="J521" i="4"/>
  <c r="Q521" i="4" s="1"/>
  <c r="J522" i="4"/>
  <c r="J523" i="4"/>
  <c r="J524" i="4"/>
  <c r="Q524" i="4" s="1"/>
  <c r="J525" i="4"/>
  <c r="Q525" i="4" s="1"/>
  <c r="J526" i="4"/>
  <c r="Q526" i="4" s="1"/>
  <c r="J527" i="4"/>
  <c r="J528" i="4"/>
  <c r="Q528" i="4" s="1"/>
  <c r="J529" i="4"/>
  <c r="Q529" i="4" s="1"/>
  <c r="J530" i="4"/>
  <c r="J531" i="4"/>
  <c r="J532" i="4"/>
  <c r="Q532" i="4" s="1"/>
  <c r="J533" i="4"/>
  <c r="Q533" i="4" s="1"/>
  <c r="J534" i="4"/>
  <c r="Q534" i="4" s="1"/>
  <c r="J535" i="4"/>
  <c r="J536" i="4"/>
  <c r="Q536" i="4" s="1"/>
  <c r="J537" i="4"/>
  <c r="Q537" i="4" s="1"/>
  <c r="J538" i="4"/>
  <c r="Q538" i="4" s="1"/>
  <c r="J539" i="4"/>
  <c r="J540" i="4"/>
  <c r="Q540" i="4" s="1"/>
  <c r="J541" i="4"/>
  <c r="Q541" i="4" s="1"/>
  <c r="J542" i="4"/>
  <c r="Q542" i="4" s="1"/>
  <c r="J543" i="4"/>
  <c r="J544" i="4"/>
  <c r="Q544" i="4" s="1"/>
  <c r="J545" i="4"/>
  <c r="Q545" i="4" s="1"/>
  <c r="J546" i="4"/>
  <c r="Q546" i="4" s="1"/>
  <c r="J547" i="4"/>
  <c r="J548" i="4"/>
  <c r="Q548" i="4" s="1"/>
  <c r="J549" i="4"/>
  <c r="Q549" i="4" s="1"/>
  <c r="J550" i="4"/>
  <c r="Q550" i="4" s="1"/>
  <c r="J551" i="4"/>
  <c r="J552" i="4"/>
  <c r="Q552" i="4" s="1"/>
  <c r="J2" i="4"/>
  <c r="Q2" i="4" s="1"/>
  <c r="I3" i="4"/>
  <c r="O3" i="4" s="1"/>
  <c r="I4" i="4"/>
  <c r="I5" i="4"/>
  <c r="O5" i="4" s="1"/>
  <c r="I6" i="4"/>
  <c r="O6" i="4" s="1"/>
  <c r="I7" i="4"/>
  <c r="O7" i="4" s="1"/>
  <c r="I8" i="4"/>
  <c r="O8" i="4" s="1"/>
  <c r="I9" i="4"/>
  <c r="O9" i="4" s="1"/>
  <c r="I10" i="4"/>
  <c r="I11" i="4"/>
  <c r="O11" i="4" s="1"/>
  <c r="I12" i="4"/>
  <c r="I13" i="4"/>
  <c r="O13" i="4" s="1"/>
  <c r="I14" i="4"/>
  <c r="O14" i="4" s="1"/>
  <c r="I15" i="4"/>
  <c r="O15" i="4" s="1"/>
  <c r="I16" i="4"/>
  <c r="O16" i="4" s="1"/>
  <c r="I17" i="4"/>
  <c r="O17" i="4" s="1"/>
  <c r="I18" i="4"/>
  <c r="I19" i="4"/>
  <c r="O19" i="4" s="1"/>
  <c r="I20" i="4"/>
  <c r="I21" i="4"/>
  <c r="O21" i="4" s="1"/>
  <c r="I22" i="4"/>
  <c r="O22" i="4" s="1"/>
  <c r="I23" i="4"/>
  <c r="O23" i="4" s="1"/>
  <c r="I24" i="4"/>
  <c r="O24" i="4" s="1"/>
  <c r="I25" i="4"/>
  <c r="O25" i="4" s="1"/>
  <c r="I26" i="4"/>
  <c r="I27" i="4"/>
  <c r="O27" i="4" s="1"/>
  <c r="I28" i="4"/>
  <c r="I29" i="4"/>
  <c r="O29" i="4" s="1"/>
  <c r="I30" i="4"/>
  <c r="O30" i="4" s="1"/>
  <c r="I31" i="4"/>
  <c r="O31" i="4" s="1"/>
  <c r="I32" i="4"/>
  <c r="O32" i="4" s="1"/>
  <c r="I33" i="4"/>
  <c r="O33" i="4" s="1"/>
  <c r="I34" i="4"/>
  <c r="I35" i="4"/>
  <c r="O35" i="4" s="1"/>
  <c r="I36" i="4"/>
  <c r="I37" i="4"/>
  <c r="O37" i="4" s="1"/>
  <c r="I38" i="4"/>
  <c r="O38" i="4" s="1"/>
  <c r="I39" i="4"/>
  <c r="O39" i="4" s="1"/>
  <c r="I40" i="4"/>
  <c r="O40" i="4" s="1"/>
  <c r="I41" i="4"/>
  <c r="O41" i="4" s="1"/>
  <c r="I42" i="4"/>
  <c r="I43" i="4"/>
  <c r="O43" i="4" s="1"/>
  <c r="I44" i="4"/>
  <c r="I45" i="4"/>
  <c r="O45" i="4" s="1"/>
  <c r="I46" i="4"/>
  <c r="O46" i="4" s="1"/>
  <c r="I47" i="4"/>
  <c r="O47" i="4" s="1"/>
  <c r="I48" i="4"/>
  <c r="O48" i="4" s="1"/>
  <c r="I49" i="4"/>
  <c r="O49" i="4" s="1"/>
  <c r="I50" i="4"/>
  <c r="I51" i="4"/>
  <c r="O51" i="4" s="1"/>
  <c r="I52" i="4"/>
  <c r="I53" i="4"/>
  <c r="O53" i="4" s="1"/>
  <c r="I54" i="4"/>
  <c r="O54" i="4" s="1"/>
  <c r="I55" i="4"/>
  <c r="O55" i="4" s="1"/>
  <c r="I56" i="4"/>
  <c r="O56" i="4" s="1"/>
  <c r="I57" i="4"/>
  <c r="O57" i="4" s="1"/>
  <c r="I58" i="4"/>
  <c r="I59" i="4"/>
  <c r="O59" i="4" s="1"/>
  <c r="I60" i="4"/>
  <c r="I61" i="4"/>
  <c r="O61" i="4" s="1"/>
  <c r="I62" i="4"/>
  <c r="O62" i="4" s="1"/>
  <c r="I63" i="4"/>
  <c r="O63" i="4" s="1"/>
  <c r="I64" i="4"/>
  <c r="O64" i="4" s="1"/>
  <c r="I65" i="4"/>
  <c r="O65" i="4" s="1"/>
  <c r="I66" i="4"/>
  <c r="I67" i="4"/>
  <c r="O67" i="4" s="1"/>
  <c r="I68" i="4"/>
  <c r="I69" i="4"/>
  <c r="O69" i="4" s="1"/>
  <c r="I70" i="4"/>
  <c r="O70" i="4" s="1"/>
  <c r="I71" i="4"/>
  <c r="O71" i="4" s="1"/>
  <c r="I72" i="4"/>
  <c r="O72" i="4" s="1"/>
  <c r="I73" i="4"/>
  <c r="O73" i="4" s="1"/>
  <c r="I74" i="4"/>
  <c r="I75" i="4"/>
  <c r="O75" i="4" s="1"/>
  <c r="I76" i="4"/>
  <c r="I77" i="4"/>
  <c r="O77" i="4" s="1"/>
  <c r="I78" i="4"/>
  <c r="O78" i="4" s="1"/>
  <c r="I79" i="4"/>
  <c r="O79" i="4" s="1"/>
  <c r="I80" i="4"/>
  <c r="O80" i="4" s="1"/>
  <c r="I81" i="4"/>
  <c r="O81" i="4" s="1"/>
  <c r="I82" i="4"/>
  <c r="I83" i="4"/>
  <c r="O83" i="4" s="1"/>
  <c r="I84" i="4"/>
  <c r="I85" i="4"/>
  <c r="O85" i="4" s="1"/>
  <c r="I86" i="4"/>
  <c r="O86" i="4" s="1"/>
  <c r="I87" i="4"/>
  <c r="O87" i="4" s="1"/>
  <c r="I88" i="4"/>
  <c r="O88" i="4" s="1"/>
  <c r="I89" i="4"/>
  <c r="O89" i="4" s="1"/>
  <c r="I90" i="4"/>
  <c r="I91" i="4"/>
  <c r="O91" i="4" s="1"/>
  <c r="I92" i="4"/>
  <c r="I93" i="4"/>
  <c r="O93" i="4" s="1"/>
  <c r="I94" i="4"/>
  <c r="O94" i="4" s="1"/>
  <c r="I95" i="4"/>
  <c r="O95" i="4" s="1"/>
  <c r="I96" i="4"/>
  <c r="O96" i="4" s="1"/>
  <c r="I97" i="4"/>
  <c r="O97" i="4" s="1"/>
  <c r="I98" i="4"/>
  <c r="I99" i="4"/>
  <c r="O99" i="4" s="1"/>
  <c r="I100" i="4"/>
  <c r="I101" i="4"/>
  <c r="O101" i="4" s="1"/>
  <c r="I102" i="4"/>
  <c r="O102" i="4" s="1"/>
  <c r="I103" i="4"/>
  <c r="O103" i="4" s="1"/>
  <c r="I104" i="4"/>
  <c r="O104" i="4" s="1"/>
  <c r="I105" i="4"/>
  <c r="O105" i="4" s="1"/>
  <c r="I106" i="4"/>
  <c r="I107" i="4"/>
  <c r="O107" i="4" s="1"/>
  <c r="I108" i="4"/>
  <c r="I109" i="4"/>
  <c r="O109" i="4" s="1"/>
  <c r="I110" i="4"/>
  <c r="O110" i="4" s="1"/>
  <c r="I111" i="4"/>
  <c r="O111" i="4" s="1"/>
  <c r="I112" i="4"/>
  <c r="O112" i="4" s="1"/>
  <c r="I113" i="4"/>
  <c r="O113" i="4" s="1"/>
  <c r="I114" i="4"/>
  <c r="I115" i="4"/>
  <c r="O115" i="4" s="1"/>
  <c r="I116" i="4"/>
  <c r="I117" i="4"/>
  <c r="O117" i="4" s="1"/>
  <c r="I118" i="4"/>
  <c r="O118" i="4" s="1"/>
  <c r="I119" i="4"/>
  <c r="O119" i="4" s="1"/>
  <c r="I120" i="4"/>
  <c r="O120" i="4" s="1"/>
  <c r="I121" i="4"/>
  <c r="O121" i="4" s="1"/>
  <c r="I122" i="4"/>
  <c r="I123" i="4"/>
  <c r="O123" i="4" s="1"/>
  <c r="I124" i="4"/>
  <c r="I125" i="4"/>
  <c r="O125" i="4" s="1"/>
  <c r="I126" i="4"/>
  <c r="O126" i="4" s="1"/>
  <c r="I127" i="4"/>
  <c r="O127" i="4" s="1"/>
  <c r="I128" i="4"/>
  <c r="O128" i="4" s="1"/>
  <c r="I129" i="4"/>
  <c r="O129" i="4" s="1"/>
  <c r="I130" i="4"/>
  <c r="I131" i="4"/>
  <c r="O131" i="4" s="1"/>
  <c r="I132" i="4"/>
  <c r="O132" i="4" s="1"/>
  <c r="I133" i="4"/>
  <c r="O133" i="4" s="1"/>
  <c r="I134" i="4"/>
  <c r="O134" i="4" s="1"/>
  <c r="I135" i="4"/>
  <c r="O135" i="4" s="1"/>
  <c r="I136" i="4"/>
  <c r="O136" i="4" s="1"/>
  <c r="I137" i="4"/>
  <c r="O137" i="4" s="1"/>
  <c r="I138" i="4"/>
  <c r="I139" i="4"/>
  <c r="O139" i="4" s="1"/>
  <c r="I140" i="4"/>
  <c r="O140" i="4" s="1"/>
  <c r="I141" i="4"/>
  <c r="O141" i="4" s="1"/>
  <c r="I142" i="4"/>
  <c r="O142" i="4" s="1"/>
  <c r="I143" i="4"/>
  <c r="O143" i="4" s="1"/>
  <c r="I144" i="4"/>
  <c r="O144" i="4" s="1"/>
  <c r="I145" i="4"/>
  <c r="O145" i="4" s="1"/>
  <c r="I146" i="4"/>
  <c r="I147" i="4"/>
  <c r="O147" i="4" s="1"/>
  <c r="I148" i="4"/>
  <c r="O148" i="4" s="1"/>
  <c r="I149" i="4"/>
  <c r="O149" i="4" s="1"/>
  <c r="I150" i="4"/>
  <c r="O150" i="4" s="1"/>
  <c r="I151" i="4"/>
  <c r="O151" i="4" s="1"/>
  <c r="I152" i="4"/>
  <c r="O152" i="4" s="1"/>
  <c r="I153" i="4"/>
  <c r="O153" i="4" s="1"/>
  <c r="I154" i="4"/>
  <c r="I155" i="4"/>
  <c r="O155" i="4" s="1"/>
  <c r="I156" i="4"/>
  <c r="O156" i="4" s="1"/>
  <c r="I157" i="4"/>
  <c r="O157" i="4" s="1"/>
  <c r="I158" i="4"/>
  <c r="O158" i="4" s="1"/>
  <c r="I159" i="4"/>
  <c r="O159" i="4" s="1"/>
  <c r="I160" i="4"/>
  <c r="O160" i="4" s="1"/>
  <c r="I161" i="4"/>
  <c r="O161" i="4" s="1"/>
  <c r="I162" i="4"/>
  <c r="I163" i="4"/>
  <c r="O163" i="4" s="1"/>
  <c r="I164" i="4"/>
  <c r="O164" i="4" s="1"/>
  <c r="I165" i="4"/>
  <c r="O165" i="4" s="1"/>
  <c r="I166" i="4"/>
  <c r="O166" i="4" s="1"/>
  <c r="I167" i="4"/>
  <c r="O167" i="4" s="1"/>
  <c r="I168" i="4"/>
  <c r="O168" i="4" s="1"/>
  <c r="I169" i="4"/>
  <c r="O169" i="4" s="1"/>
  <c r="I170" i="4"/>
  <c r="I171" i="4"/>
  <c r="O171" i="4" s="1"/>
  <c r="I172" i="4"/>
  <c r="O172" i="4" s="1"/>
  <c r="I173" i="4"/>
  <c r="O173" i="4" s="1"/>
  <c r="I174" i="4"/>
  <c r="O174" i="4" s="1"/>
  <c r="I175" i="4"/>
  <c r="O175" i="4" s="1"/>
  <c r="I176" i="4"/>
  <c r="O176" i="4" s="1"/>
  <c r="I177" i="4"/>
  <c r="O177" i="4" s="1"/>
  <c r="I178" i="4"/>
  <c r="I179" i="4"/>
  <c r="O179" i="4" s="1"/>
  <c r="I180" i="4"/>
  <c r="O180" i="4" s="1"/>
  <c r="I181" i="4"/>
  <c r="O181" i="4" s="1"/>
  <c r="I182" i="4"/>
  <c r="O182" i="4" s="1"/>
  <c r="I183" i="4"/>
  <c r="O183" i="4" s="1"/>
  <c r="I184" i="4"/>
  <c r="O184" i="4" s="1"/>
  <c r="I185" i="4"/>
  <c r="O185" i="4" s="1"/>
  <c r="I186" i="4"/>
  <c r="I187" i="4"/>
  <c r="O187" i="4" s="1"/>
  <c r="I188" i="4"/>
  <c r="O188" i="4" s="1"/>
  <c r="I189" i="4"/>
  <c r="O189" i="4" s="1"/>
  <c r="I190" i="4"/>
  <c r="O190" i="4" s="1"/>
  <c r="I191" i="4"/>
  <c r="O191" i="4" s="1"/>
  <c r="I192" i="4"/>
  <c r="O192" i="4" s="1"/>
  <c r="I193" i="4"/>
  <c r="O193" i="4" s="1"/>
  <c r="I194" i="4"/>
  <c r="I195" i="4"/>
  <c r="O195" i="4" s="1"/>
  <c r="I196" i="4"/>
  <c r="O196" i="4" s="1"/>
  <c r="I197" i="4"/>
  <c r="O197" i="4" s="1"/>
  <c r="I198" i="4"/>
  <c r="O198" i="4" s="1"/>
  <c r="I199" i="4"/>
  <c r="O199" i="4" s="1"/>
  <c r="I200" i="4"/>
  <c r="O200" i="4" s="1"/>
  <c r="I201" i="4"/>
  <c r="O201" i="4" s="1"/>
  <c r="I202" i="4"/>
  <c r="I203" i="4"/>
  <c r="O203" i="4" s="1"/>
  <c r="I204" i="4"/>
  <c r="O204" i="4" s="1"/>
  <c r="I205" i="4"/>
  <c r="O205" i="4" s="1"/>
  <c r="I206" i="4"/>
  <c r="O206" i="4" s="1"/>
  <c r="I207" i="4"/>
  <c r="O207" i="4" s="1"/>
  <c r="I208" i="4"/>
  <c r="O208" i="4" s="1"/>
  <c r="I209" i="4"/>
  <c r="O209" i="4" s="1"/>
  <c r="I210" i="4"/>
  <c r="I211" i="4"/>
  <c r="O211" i="4" s="1"/>
  <c r="I212" i="4"/>
  <c r="O212" i="4" s="1"/>
  <c r="I213" i="4"/>
  <c r="O213" i="4" s="1"/>
  <c r="I214" i="4"/>
  <c r="O214" i="4" s="1"/>
  <c r="I215" i="4"/>
  <c r="O215" i="4" s="1"/>
  <c r="I216" i="4"/>
  <c r="O216" i="4" s="1"/>
  <c r="I217" i="4"/>
  <c r="O217" i="4" s="1"/>
  <c r="I218" i="4"/>
  <c r="I219" i="4"/>
  <c r="O219" i="4" s="1"/>
  <c r="I220" i="4"/>
  <c r="O220" i="4" s="1"/>
  <c r="I221" i="4"/>
  <c r="O221" i="4" s="1"/>
  <c r="I222" i="4"/>
  <c r="O222" i="4" s="1"/>
  <c r="I223" i="4"/>
  <c r="O223" i="4" s="1"/>
  <c r="I224" i="4"/>
  <c r="O224" i="4" s="1"/>
  <c r="I225" i="4"/>
  <c r="O225" i="4" s="1"/>
  <c r="I226" i="4"/>
  <c r="I227" i="4"/>
  <c r="O227" i="4" s="1"/>
  <c r="I228" i="4"/>
  <c r="O228" i="4" s="1"/>
  <c r="I229" i="4"/>
  <c r="O229" i="4" s="1"/>
  <c r="I230" i="4"/>
  <c r="O230" i="4" s="1"/>
  <c r="I231" i="4"/>
  <c r="O231" i="4" s="1"/>
  <c r="I232" i="4"/>
  <c r="O232" i="4" s="1"/>
  <c r="I233" i="4"/>
  <c r="O233" i="4" s="1"/>
  <c r="I234" i="4"/>
  <c r="I235" i="4"/>
  <c r="O235" i="4" s="1"/>
  <c r="I236" i="4"/>
  <c r="O236" i="4" s="1"/>
  <c r="I237" i="4"/>
  <c r="O237" i="4" s="1"/>
  <c r="I238" i="4"/>
  <c r="O238" i="4" s="1"/>
  <c r="I239" i="4"/>
  <c r="O239" i="4" s="1"/>
  <c r="I240" i="4"/>
  <c r="O240" i="4" s="1"/>
  <c r="I241" i="4"/>
  <c r="O241" i="4" s="1"/>
  <c r="I242" i="4"/>
  <c r="I243" i="4"/>
  <c r="O243" i="4" s="1"/>
  <c r="I244" i="4"/>
  <c r="O244" i="4" s="1"/>
  <c r="I245" i="4"/>
  <c r="O245" i="4" s="1"/>
  <c r="I246" i="4"/>
  <c r="O246" i="4" s="1"/>
  <c r="I247" i="4"/>
  <c r="O247" i="4" s="1"/>
  <c r="I248" i="4"/>
  <c r="O248" i="4" s="1"/>
  <c r="I249" i="4"/>
  <c r="O249" i="4" s="1"/>
  <c r="I250" i="4"/>
  <c r="I251" i="4"/>
  <c r="O251" i="4" s="1"/>
  <c r="I252" i="4"/>
  <c r="O252" i="4" s="1"/>
  <c r="I253" i="4"/>
  <c r="O253" i="4" s="1"/>
  <c r="I254" i="4"/>
  <c r="O254" i="4" s="1"/>
  <c r="I255" i="4"/>
  <c r="O255" i="4" s="1"/>
  <c r="I256" i="4"/>
  <c r="O256" i="4" s="1"/>
  <c r="I257" i="4"/>
  <c r="O257" i="4" s="1"/>
  <c r="I258" i="4"/>
  <c r="I259" i="4"/>
  <c r="O259" i="4" s="1"/>
  <c r="I260" i="4"/>
  <c r="O260" i="4" s="1"/>
  <c r="I261" i="4"/>
  <c r="O261" i="4" s="1"/>
  <c r="I262" i="4"/>
  <c r="O262" i="4" s="1"/>
  <c r="I263" i="4"/>
  <c r="O263" i="4" s="1"/>
  <c r="I264" i="4"/>
  <c r="O264" i="4" s="1"/>
  <c r="I265" i="4"/>
  <c r="O265" i="4" s="1"/>
  <c r="I266" i="4"/>
  <c r="I267" i="4"/>
  <c r="O267" i="4" s="1"/>
  <c r="I268" i="4"/>
  <c r="O268" i="4" s="1"/>
  <c r="I269" i="4"/>
  <c r="O269" i="4" s="1"/>
  <c r="I270" i="4"/>
  <c r="O270" i="4" s="1"/>
  <c r="I271" i="4"/>
  <c r="O271" i="4" s="1"/>
  <c r="I272" i="4"/>
  <c r="O272" i="4" s="1"/>
  <c r="I273" i="4"/>
  <c r="O273" i="4" s="1"/>
  <c r="I274" i="4"/>
  <c r="I275" i="4"/>
  <c r="O275" i="4" s="1"/>
  <c r="I276" i="4"/>
  <c r="O276" i="4" s="1"/>
  <c r="I277" i="4"/>
  <c r="O277" i="4" s="1"/>
  <c r="I278" i="4"/>
  <c r="O278" i="4" s="1"/>
  <c r="I279" i="4"/>
  <c r="O279" i="4" s="1"/>
  <c r="I280" i="4"/>
  <c r="O280" i="4" s="1"/>
  <c r="I281" i="4"/>
  <c r="O281" i="4" s="1"/>
  <c r="I282" i="4"/>
  <c r="I283" i="4"/>
  <c r="O283" i="4" s="1"/>
  <c r="I284" i="4"/>
  <c r="O284" i="4" s="1"/>
  <c r="I285" i="4"/>
  <c r="O285" i="4" s="1"/>
  <c r="I286" i="4"/>
  <c r="O286" i="4" s="1"/>
  <c r="I287" i="4"/>
  <c r="O287" i="4" s="1"/>
  <c r="I288" i="4"/>
  <c r="O288" i="4" s="1"/>
  <c r="I289" i="4"/>
  <c r="O289" i="4" s="1"/>
  <c r="I290" i="4"/>
  <c r="I291" i="4"/>
  <c r="O291" i="4" s="1"/>
  <c r="I292" i="4"/>
  <c r="O292" i="4" s="1"/>
  <c r="I293" i="4"/>
  <c r="O293" i="4" s="1"/>
  <c r="I294" i="4"/>
  <c r="O294" i="4" s="1"/>
  <c r="I295" i="4"/>
  <c r="O295" i="4" s="1"/>
  <c r="I296" i="4"/>
  <c r="O296" i="4" s="1"/>
  <c r="I297" i="4"/>
  <c r="O297" i="4" s="1"/>
  <c r="I298" i="4"/>
  <c r="I299" i="4"/>
  <c r="O299" i="4" s="1"/>
  <c r="I300" i="4"/>
  <c r="O300" i="4" s="1"/>
  <c r="I301" i="4"/>
  <c r="O301" i="4" s="1"/>
  <c r="I302" i="4"/>
  <c r="O302" i="4" s="1"/>
  <c r="I303" i="4"/>
  <c r="O303" i="4" s="1"/>
  <c r="I304" i="4"/>
  <c r="O304" i="4" s="1"/>
  <c r="I305" i="4"/>
  <c r="O305" i="4" s="1"/>
  <c r="I306" i="4"/>
  <c r="I307" i="4"/>
  <c r="O307" i="4" s="1"/>
  <c r="I308" i="4"/>
  <c r="O308" i="4" s="1"/>
  <c r="I309" i="4"/>
  <c r="O309" i="4" s="1"/>
  <c r="I310" i="4"/>
  <c r="O310" i="4" s="1"/>
  <c r="I311" i="4"/>
  <c r="O311" i="4" s="1"/>
  <c r="I312" i="4"/>
  <c r="O312" i="4" s="1"/>
  <c r="I313" i="4"/>
  <c r="O313" i="4" s="1"/>
  <c r="I314" i="4"/>
  <c r="I315" i="4"/>
  <c r="O315" i="4" s="1"/>
  <c r="I316" i="4"/>
  <c r="O316" i="4" s="1"/>
  <c r="I317" i="4"/>
  <c r="O317" i="4" s="1"/>
  <c r="I318" i="4"/>
  <c r="O318" i="4" s="1"/>
  <c r="I319" i="4"/>
  <c r="O319" i="4" s="1"/>
  <c r="I320" i="4"/>
  <c r="O320" i="4" s="1"/>
  <c r="I321" i="4"/>
  <c r="O321" i="4" s="1"/>
  <c r="I322" i="4"/>
  <c r="I323" i="4"/>
  <c r="O323" i="4" s="1"/>
  <c r="I324" i="4"/>
  <c r="O324" i="4" s="1"/>
  <c r="I325" i="4"/>
  <c r="O325" i="4" s="1"/>
  <c r="I326" i="4"/>
  <c r="O326" i="4" s="1"/>
  <c r="I327" i="4"/>
  <c r="O327" i="4" s="1"/>
  <c r="I328" i="4"/>
  <c r="O328" i="4" s="1"/>
  <c r="I329" i="4"/>
  <c r="O329" i="4" s="1"/>
  <c r="I330" i="4"/>
  <c r="I331" i="4"/>
  <c r="O331" i="4" s="1"/>
  <c r="I332" i="4"/>
  <c r="O332" i="4" s="1"/>
  <c r="I333" i="4"/>
  <c r="O333" i="4" s="1"/>
  <c r="I334" i="4"/>
  <c r="O334" i="4" s="1"/>
  <c r="I335" i="4"/>
  <c r="O335" i="4" s="1"/>
  <c r="I336" i="4"/>
  <c r="O336" i="4" s="1"/>
  <c r="I337" i="4"/>
  <c r="O337" i="4" s="1"/>
  <c r="I338" i="4"/>
  <c r="I339" i="4"/>
  <c r="O339" i="4" s="1"/>
  <c r="I340" i="4"/>
  <c r="O340" i="4" s="1"/>
  <c r="I341" i="4"/>
  <c r="O341" i="4" s="1"/>
  <c r="I342" i="4"/>
  <c r="O342" i="4" s="1"/>
  <c r="I343" i="4"/>
  <c r="O343" i="4" s="1"/>
  <c r="I344" i="4"/>
  <c r="O344" i="4" s="1"/>
  <c r="I345" i="4"/>
  <c r="O345" i="4" s="1"/>
  <c r="I346" i="4"/>
  <c r="I347" i="4"/>
  <c r="O347" i="4" s="1"/>
  <c r="I348" i="4"/>
  <c r="O348" i="4" s="1"/>
  <c r="I349" i="4"/>
  <c r="O349" i="4" s="1"/>
  <c r="I350" i="4"/>
  <c r="O350" i="4" s="1"/>
  <c r="I351" i="4"/>
  <c r="O351" i="4" s="1"/>
  <c r="I352" i="4"/>
  <c r="O352" i="4" s="1"/>
  <c r="I353" i="4"/>
  <c r="O353" i="4" s="1"/>
  <c r="I354" i="4"/>
  <c r="I355" i="4"/>
  <c r="O355" i="4" s="1"/>
  <c r="I356" i="4"/>
  <c r="O356" i="4" s="1"/>
  <c r="I357" i="4"/>
  <c r="O357" i="4" s="1"/>
  <c r="I358" i="4"/>
  <c r="O358" i="4" s="1"/>
  <c r="I359" i="4"/>
  <c r="O359" i="4" s="1"/>
  <c r="I360" i="4"/>
  <c r="O360" i="4" s="1"/>
  <c r="I361" i="4"/>
  <c r="O361" i="4" s="1"/>
  <c r="I362" i="4"/>
  <c r="I363" i="4"/>
  <c r="O363" i="4" s="1"/>
  <c r="I364" i="4"/>
  <c r="O364" i="4" s="1"/>
  <c r="I365" i="4"/>
  <c r="O365" i="4" s="1"/>
  <c r="I366" i="4"/>
  <c r="O366" i="4" s="1"/>
  <c r="I367" i="4"/>
  <c r="O367" i="4" s="1"/>
  <c r="I368" i="4"/>
  <c r="O368" i="4" s="1"/>
  <c r="I369" i="4"/>
  <c r="O369" i="4" s="1"/>
  <c r="I370" i="4"/>
  <c r="I371" i="4"/>
  <c r="O371" i="4" s="1"/>
  <c r="I372" i="4"/>
  <c r="O372" i="4" s="1"/>
  <c r="I373" i="4"/>
  <c r="O373" i="4" s="1"/>
  <c r="I374" i="4"/>
  <c r="O374" i="4" s="1"/>
  <c r="I375" i="4"/>
  <c r="O375" i="4" s="1"/>
  <c r="I376" i="4"/>
  <c r="O376" i="4" s="1"/>
  <c r="I377" i="4"/>
  <c r="O377" i="4" s="1"/>
  <c r="I378" i="4"/>
  <c r="I379" i="4"/>
  <c r="O379" i="4" s="1"/>
  <c r="I380" i="4"/>
  <c r="O380" i="4" s="1"/>
  <c r="I381" i="4"/>
  <c r="O381" i="4" s="1"/>
  <c r="I382" i="4"/>
  <c r="O382" i="4" s="1"/>
  <c r="I383" i="4"/>
  <c r="O383" i="4" s="1"/>
  <c r="I384" i="4"/>
  <c r="O384" i="4" s="1"/>
  <c r="I385" i="4"/>
  <c r="O385" i="4" s="1"/>
  <c r="I386" i="4"/>
  <c r="I387" i="4"/>
  <c r="O387" i="4" s="1"/>
  <c r="I388" i="4"/>
  <c r="O388" i="4" s="1"/>
  <c r="I389" i="4"/>
  <c r="O389" i="4" s="1"/>
  <c r="I390" i="4"/>
  <c r="O390" i="4" s="1"/>
  <c r="I391" i="4"/>
  <c r="O391" i="4" s="1"/>
  <c r="I392" i="4"/>
  <c r="O392" i="4" s="1"/>
  <c r="I393" i="4"/>
  <c r="O393" i="4" s="1"/>
  <c r="I394" i="4"/>
  <c r="I395" i="4"/>
  <c r="O395" i="4" s="1"/>
  <c r="I396" i="4"/>
  <c r="O396" i="4" s="1"/>
  <c r="I397" i="4"/>
  <c r="O397" i="4" s="1"/>
  <c r="I398" i="4"/>
  <c r="O398" i="4" s="1"/>
  <c r="I399" i="4"/>
  <c r="O399" i="4" s="1"/>
  <c r="I400" i="4"/>
  <c r="O400" i="4" s="1"/>
  <c r="I401" i="4"/>
  <c r="O401" i="4" s="1"/>
  <c r="I402" i="4"/>
  <c r="I403" i="4"/>
  <c r="O403" i="4" s="1"/>
  <c r="I404" i="4"/>
  <c r="O404" i="4" s="1"/>
  <c r="I405" i="4"/>
  <c r="O405" i="4" s="1"/>
  <c r="I406" i="4"/>
  <c r="O406" i="4" s="1"/>
  <c r="I407" i="4"/>
  <c r="O407" i="4" s="1"/>
  <c r="I408" i="4"/>
  <c r="O408" i="4" s="1"/>
  <c r="I409" i="4"/>
  <c r="O409" i="4" s="1"/>
  <c r="I410" i="4"/>
  <c r="I411" i="4"/>
  <c r="O411" i="4" s="1"/>
  <c r="I412" i="4"/>
  <c r="O412" i="4" s="1"/>
  <c r="I413" i="4"/>
  <c r="O413" i="4" s="1"/>
  <c r="I414" i="4"/>
  <c r="O414" i="4" s="1"/>
  <c r="I415" i="4"/>
  <c r="O415" i="4" s="1"/>
  <c r="I416" i="4"/>
  <c r="O416" i="4" s="1"/>
  <c r="I417" i="4"/>
  <c r="O417" i="4" s="1"/>
  <c r="I418" i="4"/>
  <c r="I419" i="4"/>
  <c r="O419" i="4" s="1"/>
  <c r="I420" i="4"/>
  <c r="O420" i="4" s="1"/>
  <c r="I421" i="4"/>
  <c r="O421" i="4" s="1"/>
  <c r="I422" i="4"/>
  <c r="O422" i="4" s="1"/>
  <c r="I423" i="4"/>
  <c r="O423" i="4" s="1"/>
  <c r="I424" i="4"/>
  <c r="O424" i="4" s="1"/>
  <c r="I425" i="4"/>
  <c r="O425" i="4" s="1"/>
  <c r="I426" i="4"/>
  <c r="I427" i="4"/>
  <c r="O427" i="4" s="1"/>
  <c r="I428" i="4"/>
  <c r="O428" i="4" s="1"/>
  <c r="I429" i="4"/>
  <c r="O429" i="4" s="1"/>
  <c r="I430" i="4"/>
  <c r="O430" i="4" s="1"/>
  <c r="I431" i="4"/>
  <c r="O431" i="4" s="1"/>
  <c r="I432" i="4"/>
  <c r="O432" i="4" s="1"/>
  <c r="I433" i="4"/>
  <c r="O433" i="4" s="1"/>
  <c r="I434" i="4"/>
  <c r="I435" i="4"/>
  <c r="O435" i="4" s="1"/>
  <c r="I436" i="4"/>
  <c r="O436" i="4" s="1"/>
  <c r="I437" i="4"/>
  <c r="O437" i="4" s="1"/>
  <c r="I438" i="4"/>
  <c r="O438" i="4" s="1"/>
  <c r="I439" i="4"/>
  <c r="O439" i="4" s="1"/>
  <c r="I440" i="4"/>
  <c r="O440" i="4" s="1"/>
  <c r="I441" i="4"/>
  <c r="O441" i="4" s="1"/>
  <c r="I442" i="4"/>
  <c r="I443" i="4"/>
  <c r="O443" i="4" s="1"/>
  <c r="I444" i="4"/>
  <c r="O444" i="4" s="1"/>
  <c r="I445" i="4"/>
  <c r="O445" i="4" s="1"/>
  <c r="I446" i="4"/>
  <c r="O446" i="4" s="1"/>
  <c r="I447" i="4"/>
  <c r="O447" i="4" s="1"/>
  <c r="I448" i="4"/>
  <c r="O448" i="4" s="1"/>
  <c r="I449" i="4"/>
  <c r="O449" i="4" s="1"/>
  <c r="I450" i="4"/>
  <c r="I451" i="4"/>
  <c r="O451" i="4" s="1"/>
  <c r="I452" i="4"/>
  <c r="O452" i="4" s="1"/>
  <c r="I453" i="4"/>
  <c r="O453" i="4" s="1"/>
  <c r="I454" i="4"/>
  <c r="O454" i="4" s="1"/>
  <c r="I455" i="4"/>
  <c r="O455" i="4" s="1"/>
  <c r="I456" i="4"/>
  <c r="O456" i="4" s="1"/>
  <c r="I457" i="4"/>
  <c r="O457" i="4" s="1"/>
  <c r="I458" i="4"/>
  <c r="I459" i="4"/>
  <c r="O459" i="4" s="1"/>
  <c r="I460" i="4"/>
  <c r="O460" i="4" s="1"/>
  <c r="I461" i="4"/>
  <c r="O461" i="4" s="1"/>
  <c r="I462" i="4"/>
  <c r="O462" i="4" s="1"/>
  <c r="I463" i="4"/>
  <c r="O463" i="4" s="1"/>
  <c r="I464" i="4"/>
  <c r="O464" i="4" s="1"/>
  <c r="I465" i="4"/>
  <c r="O465" i="4" s="1"/>
  <c r="I466" i="4"/>
  <c r="I467" i="4"/>
  <c r="O467" i="4" s="1"/>
  <c r="I468" i="4"/>
  <c r="O468" i="4" s="1"/>
  <c r="I469" i="4"/>
  <c r="O469" i="4" s="1"/>
  <c r="I470" i="4"/>
  <c r="O470" i="4" s="1"/>
  <c r="I471" i="4"/>
  <c r="O471" i="4" s="1"/>
  <c r="I472" i="4"/>
  <c r="O472" i="4" s="1"/>
  <c r="I473" i="4"/>
  <c r="O473" i="4" s="1"/>
  <c r="I474" i="4"/>
  <c r="I475" i="4"/>
  <c r="O475" i="4" s="1"/>
  <c r="I476" i="4"/>
  <c r="O476" i="4" s="1"/>
  <c r="I477" i="4"/>
  <c r="O477" i="4" s="1"/>
  <c r="I478" i="4"/>
  <c r="O478" i="4" s="1"/>
  <c r="I479" i="4"/>
  <c r="O479" i="4" s="1"/>
  <c r="I480" i="4"/>
  <c r="O480" i="4" s="1"/>
  <c r="I481" i="4"/>
  <c r="O481" i="4" s="1"/>
  <c r="I482" i="4"/>
  <c r="I483" i="4"/>
  <c r="O483" i="4" s="1"/>
  <c r="I484" i="4"/>
  <c r="O484" i="4" s="1"/>
  <c r="I485" i="4"/>
  <c r="O485" i="4" s="1"/>
  <c r="I486" i="4"/>
  <c r="O486" i="4" s="1"/>
  <c r="I487" i="4"/>
  <c r="O487" i="4" s="1"/>
  <c r="I488" i="4"/>
  <c r="O488" i="4" s="1"/>
  <c r="I489" i="4"/>
  <c r="O489" i="4" s="1"/>
  <c r="I490" i="4"/>
  <c r="I491" i="4"/>
  <c r="O491" i="4" s="1"/>
  <c r="I492" i="4"/>
  <c r="O492" i="4" s="1"/>
  <c r="I493" i="4"/>
  <c r="O493" i="4" s="1"/>
  <c r="I494" i="4"/>
  <c r="O494" i="4" s="1"/>
  <c r="I495" i="4"/>
  <c r="O495" i="4" s="1"/>
  <c r="I496" i="4"/>
  <c r="O496" i="4" s="1"/>
  <c r="I497" i="4"/>
  <c r="O497" i="4" s="1"/>
  <c r="I498" i="4"/>
  <c r="I499" i="4"/>
  <c r="O499" i="4" s="1"/>
  <c r="I500" i="4"/>
  <c r="O500" i="4" s="1"/>
  <c r="I501" i="4"/>
  <c r="O501" i="4" s="1"/>
  <c r="I502" i="4"/>
  <c r="O502" i="4" s="1"/>
  <c r="I503" i="4"/>
  <c r="O503" i="4" s="1"/>
  <c r="I504" i="4"/>
  <c r="O504" i="4" s="1"/>
  <c r="I505" i="4"/>
  <c r="O505" i="4" s="1"/>
  <c r="I506" i="4"/>
  <c r="I507" i="4"/>
  <c r="O507" i="4" s="1"/>
  <c r="I508" i="4"/>
  <c r="O508" i="4" s="1"/>
  <c r="I509" i="4"/>
  <c r="O509" i="4" s="1"/>
  <c r="I510" i="4"/>
  <c r="O510" i="4" s="1"/>
  <c r="I511" i="4"/>
  <c r="O511" i="4" s="1"/>
  <c r="I512" i="4"/>
  <c r="O512" i="4" s="1"/>
  <c r="I513" i="4"/>
  <c r="O513" i="4" s="1"/>
  <c r="I514" i="4"/>
  <c r="I515" i="4"/>
  <c r="O515" i="4" s="1"/>
  <c r="I516" i="4"/>
  <c r="O516" i="4" s="1"/>
  <c r="I517" i="4"/>
  <c r="O517" i="4" s="1"/>
  <c r="I518" i="4"/>
  <c r="O518" i="4" s="1"/>
  <c r="I519" i="4"/>
  <c r="O519" i="4" s="1"/>
  <c r="I520" i="4"/>
  <c r="O520" i="4" s="1"/>
  <c r="I521" i="4"/>
  <c r="O521" i="4" s="1"/>
  <c r="I522" i="4"/>
  <c r="I523" i="4"/>
  <c r="O523" i="4" s="1"/>
  <c r="I524" i="4"/>
  <c r="O524" i="4" s="1"/>
  <c r="I525" i="4"/>
  <c r="O525" i="4" s="1"/>
  <c r="I526" i="4"/>
  <c r="O526" i="4" s="1"/>
  <c r="I527" i="4"/>
  <c r="O527" i="4" s="1"/>
  <c r="I528" i="4"/>
  <c r="O528" i="4" s="1"/>
  <c r="I529" i="4"/>
  <c r="O529" i="4" s="1"/>
  <c r="I530" i="4"/>
  <c r="I531" i="4"/>
  <c r="O531" i="4" s="1"/>
  <c r="I532" i="4"/>
  <c r="O532" i="4" s="1"/>
  <c r="I533" i="4"/>
  <c r="O533" i="4" s="1"/>
  <c r="I534" i="4"/>
  <c r="O534" i="4" s="1"/>
  <c r="I535" i="4"/>
  <c r="O535" i="4" s="1"/>
  <c r="I536" i="4"/>
  <c r="O536" i="4" s="1"/>
  <c r="I537" i="4"/>
  <c r="O537" i="4" s="1"/>
  <c r="I538" i="4"/>
  <c r="I539" i="4"/>
  <c r="O539" i="4" s="1"/>
  <c r="I540" i="4"/>
  <c r="O540" i="4" s="1"/>
  <c r="I541" i="4"/>
  <c r="O541" i="4" s="1"/>
  <c r="I542" i="4"/>
  <c r="O542" i="4" s="1"/>
  <c r="I543" i="4"/>
  <c r="O543" i="4" s="1"/>
  <c r="I544" i="4"/>
  <c r="O544" i="4" s="1"/>
  <c r="I545" i="4"/>
  <c r="O545" i="4" s="1"/>
  <c r="I546" i="4"/>
  <c r="I547" i="4"/>
  <c r="O547" i="4" s="1"/>
  <c r="I548" i="4"/>
  <c r="O548" i="4" s="1"/>
  <c r="I549" i="4"/>
  <c r="O549" i="4" s="1"/>
  <c r="I550" i="4"/>
  <c r="O550" i="4" s="1"/>
  <c r="I551" i="4"/>
  <c r="O551" i="4" s="1"/>
  <c r="I552" i="4"/>
  <c r="O552" i="4" s="1"/>
  <c r="I2" i="4"/>
  <c r="O2" i="4" s="1"/>
  <c r="H552" i="4"/>
  <c r="N552" i="4" s="1"/>
  <c r="H3" i="4"/>
  <c r="N3" i="4" s="1"/>
  <c r="H4" i="4"/>
  <c r="N4" i="4" s="1"/>
  <c r="H5" i="4"/>
  <c r="N5" i="4" s="1"/>
  <c r="H6" i="4"/>
  <c r="N6" i="4" s="1"/>
  <c r="H7" i="4"/>
  <c r="N7" i="4" s="1"/>
  <c r="H8" i="4"/>
  <c r="N8" i="4" s="1"/>
  <c r="H9" i="4"/>
  <c r="N9" i="4" s="1"/>
  <c r="H10" i="4"/>
  <c r="N10" i="4" s="1"/>
  <c r="H11" i="4"/>
  <c r="N11" i="4" s="1"/>
  <c r="H12" i="4"/>
  <c r="N12" i="4" s="1"/>
  <c r="H13" i="4"/>
  <c r="N13" i="4" s="1"/>
  <c r="H14" i="4"/>
  <c r="N14" i="4" s="1"/>
  <c r="H15" i="4"/>
  <c r="N15" i="4" s="1"/>
  <c r="H16" i="4"/>
  <c r="N16" i="4" s="1"/>
  <c r="H17" i="4"/>
  <c r="N17" i="4" s="1"/>
  <c r="H18" i="4"/>
  <c r="N18" i="4" s="1"/>
  <c r="H19" i="4"/>
  <c r="N19" i="4" s="1"/>
  <c r="H20" i="4"/>
  <c r="N20" i="4" s="1"/>
  <c r="H21" i="4"/>
  <c r="N21" i="4" s="1"/>
  <c r="H22" i="4"/>
  <c r="N22" i="4" s="1"/>
  <c r="H23" i="4"/>
  <c r="N23" i="4" s="1"/>
  <c r="H24" i="4"/>
  <c r="N24" i="4" s="1"/>
  <c r="H25" i="4"/>
  <c r="N25" i="4" s="1"/>
  <c r="H26" i="4"/>
  <c r="N26" i="4" s="1"/>
  <c r="H27" i="4"/>
  <c r="N27" i="4" s="1"/>
  <c r="H28" i="4"/>
  <c r="N28" i="4" s="1"/>
  <c r="H29" i="4"/>
  <c r="N29" i="4" s="1"/>
  <c r="H30" i="4"/>
  <c r="N30" i="4" s="1"/>
  <c r="H31" i="4"/>
  <c r="N31" i="4" s="1"/>
  <c r="H32" i="4"/>
  <c r="N32" i="4" s="1"/>
  <c r="H33" i="4"/>
  <c r="N33" i="4" s="1"/>
  <c r="H34" i="4"/>
  <c r="N34" i="4" s="1"/>
  <c r="H35" i="4"/>
  <c r="N35" i="4" s="1"/>
  <c r="H36" i="4"/>
  <c r="N36" i="4" s="1"/>
  <c r="H37" i="4"/>
  <c r="N37" i="4" s="1"/>
  <c r="H38" i="4"/>
  <c r="N38" i="4" s="1"/>
  <c r="H39" i="4"/>
  <c r="N39" i="4" s="1"/>
  <c r="H40" i="4"/>
  <c r="N40" i="4" s="1"/>
  <c r="H41" i="4"/>
  <c r="N41" i="4" s="1"/>
  <c r="H42" i="4"/>
  <c r="N42" i="4" s="1"/>
  <c r="H43" i="4"/>
  <c r="N43" i="4" s="1"/>
  <c r="H44" i="4"/>
  <c r="N44" i="4" s="1"/>
  <c r="H45" i="4"/>
  <c r="N45" i="4" s="1"/>
  <c r="H46" i="4"/>
  <c r="N46" i="4" s="1"/>
  <c r="H47" i="4"/>
  <c r="N47" i="4" s="1"/>
  <c r="H48" i="4"/>
  <c r="N48" i="4" s="1"/>
  <c r="H49" i="4"/>
  <c r="N49" i="4" s="1"/>
  <c r="H50" i="4"/>
  <c r="N50" i="4" s="1"/>
  <c r="H51" i="4"/>
  <c r="N51" i="4" s="1"/>
  <c r="H52" i="4"/>
  <c r="N52" i="4" s="1"/>
  <c r="H53" i="4"/>
  <c r="N53" i="4" s="1"/>
  <c r="H54" i="4"/>
  <c r="N54" i="4" s="1"/>
  <c r="H55" i="4"/>
  <c r="N55" i="4" s="1"/>
  <c r="H56" i="4"/>
  <c r="N56" i="4" s="1"/>
  <c r="H57" i="4"/>
  <c r="N57" i="4" s="1"/>
  <c r="H58" i="4"/>
  <c r="N58" i="4" s="1"/>
  <c r="H59" i="4"/>
  <c r="N59" i="4" s="1"/>
  <c r="H60" i="4"/>
  <c r="N60" i="4" s="1"/>
  <c r="H61" i="4"/>
  <c r="N61" i="4" s="1"/>
  <c r="H62" i="4"/>
  <c r="N62" i="4" s="1"/>
  <c r="H63" i="4"/>
  <c r="N63" i="4" s="1"/>
  <c r="H64" i="4"/>
  <c r="N64" i="4" s="1"/>
  <c r="H65" i="4"/>
  <c r="N65" i="4" s="1"/>
  <c r="H66" i="4"/>
  <c r="N66" i="4" s="1"/>
  <c r="H67" i="4"/>
  <c r="N67" i="4" s="1"/>
  <c r="H68" i="4"/>
  <c r="N68" i="4" s="1"/>
  <c r="H69" i="4"/>
  <c r="N69" i="4" s="1"/>
  <c r="H70" i="4"/>
  <c r="N70" i="4" s="1"/>
  <c r="H71" i="4"/>
  <c r="N71" i="4" s="1"/>
  <c r="H72" i="4"/>
  <c r="N72" i="4" s="1"/>
  <c r="H73" i="4"/>
  <c r="N73" i="4" s="1"/>
  <c r="H74" i="4"/>
  <c r="N74" i="4" s="1"/>
  <c r="H75" i="4"/>
  <c r="N75" i="4" s="1"/>
  <c r="H76" i="4"/>
  <c r="N76" i="4" s="1"/>
  <c r="H77" i="4"/>
  <c r="N77" i="4" s="1"/>
  <c r="H78" i="4"/>
  <c r="N78" i="4" s="1"/>
  <c r="H79" i="4"/>
  <c r="N79" i="4" s="1"/>
  <c r="H80" i="4"/>
  <c r="N80" i="4" s="1"/>
  <c r="H81" i="4"/>
  <c r="N81" i="4" s="1"/>
  <c r="H82" i="4"/>
  <c r="N82" i="4" s="1"/>
  <c r="H83" i="4"/>
  <c r="N83" i="4" s="1"/>
  <c r="H84" i="4"/>
  <c r="N84" i="4" s="1"/>
  <c r="H85" i="4"/>
  <c r="N85" i="4" s="1"/>
  <c r="H86" i="4"/>
  <c r="N86" i="4" s="1"/>
  <c r="H87" i="4"/>
  <c r="N87" i="4" s="1"/>
  <c r="H88" i="4"/>
  <c r="N88" i="4" s="1"/>
  <c r="H89" i="4"/>
  <c r="N89" i="4" s="1"/>
  <c r="H90" i="4"/>
  <c r="N90" i="4" s="1"/>
  <c r="H91" i="4"/>
  <c r="N91" i="4" s="1"/>
  <c r="H92" i="4"/>
  <c r="N92" i="4" s="1"/>
  <c r="H93" i="4"/>
  <c r="N93" i="4" s="1"/>
  <c r="H94" i="4"/>
  <c r="N94" i="4" s="1"/>
  <c r="H95" i="4"/>
  <c r="N95" i="4" s="1"/>
  <c r="H96" i="4"/>
  <c r="N96" i="4" s="1"/>
  <c r="H97" i="4"/>
  <c r="N97" i="4" s="1"/>
  <c r="H98" i="4"/>
  <c r="N98" i="4" s="1"/>
  <c r="H99" i="4"/>
  <c r="N99" i="4" s="1"/>
  <c r="H100" i="4"/>
  <c r="N100" i="4" s="1"/>
  <c r="H101" i="4"/>
  <c r="N101" i="4" s="1"/>
  <c r="H102" i="4"/>
  <c r="N102" i="4" s="1"/>
  <c r="H103" i="4"/>
  <c r="N103" i="4" s="1"/>
  <c r="H104" i="4"/>
  <c r="N104" i="4" s="1"/>
  <c r="H105" i="4"/>
  <c r="N105" i="4" s="1"/>
  <c r="H106" i="4"/>
  <c r="N106" i="4" s="1"/>
  <c r="H107" i="4"/>
  <c r="N107" i="4" s="1"/>
  <c r="H108" i="4"/>
  <c r="N108" i="4" s="1"/>
  <c r="H109" i="4"/>
  <c r="N109" i="4" s="1"/>
  <c r="H110" i="4"/>
  <c r="N110" i="4" s="1"/>
  <c r="H111" i="4"/>
  <c r="N111" i="4" s="1"/>
  <c r="H112" i="4"/>
  <c r="N112" i="4" s="1"/>
  <c r="H113" i="4"/>
  <c r="N113" i="4" s="1"/>
  <c r="H114" i="4"/>
  <c r="N114" i="4" s="1"/>
  <c r="H115" i="4"/>
  <c r="N115" i="4" s="1"/>
  <c r="H116" i="4"/>
  <c r="N116" i="4" s="1"/>
  <c r="H117" i="4"/>
  <c r="N117" i="4" s="1"/>
  <c r="H118" i="4"/>
  <c r="N118" i="4" s="1"/>
  <c r="H119" i="4"/>
  <c r="N119" i="4" s="1"/>
  <c r="H120" i="4"/>
  <c r="N120" i="4" s="1"/>
  <c r="H121" i="4"/>
  <c r="N121" i="4" s="1"/>
  <c r="H122" i="4"/>
  <c r="N122" i="4" s="1"/>
  <c r="H123" i="4"/>
  <c r="N123" i="4" s="1"/>
  <c r="H124" i="4"/>
  <c r="N124" i="4" s="1"/>
  <c r="H125" i="4"/>
  <c r="N125" i="4" s="1"/>
  <c r="H126" i="4"/>
  <c r="N126" i="4" s="1"/>
  <c r="H127" i="4"/>
  <c r="N127" i="4" s="1"/>
  <c r="H128" i="4"/>
  <c r="N128" i="4" s="1"/>
  <c r="H129" i="4"/>
  <c r="N129" i="4" s="1"/>
  <c r="H130" i="4"/>
  <c r="N130" i="4" s="1"/>
  <c r="H131" i="4"/>
  <c r="N131" i="4" s="1"/>
  <c r="H132" i="4"/>
  <c r="N132" i="4" s="1"/>
  <c r="H133" i="4"/>
  <c r="N133" i="4" s="1"/>
  <c r="H134" i="4"/>
  <c r="N134" i="4" s="1"/>
  <c r="H135" i="4"/>
  <c r="N135" i="4" s="1"/>
  <c r="H136" i="4"/>
  <c r="N136" i="4" s="1"/>
  <c r="H137" i="4"/>
  <c r="N137" i="4" s="1"/>
  <c r="H138" i="4"/>
  <c r="N138" i="4" s="1"/>
  <c r="H139" i="4"/>
  <c r="N139" i="4" s="1"/>
  <c r="H140" i="4"/>
  <c r="N140" i="4" s="1"/>
  <c r="H141" i="4"/>
  <c r="N141" i="4" s="1"/>
  <c r="H142" i="4"/>
  <c r="N142" i="4" s="1"/>
  <c r="H143" i="4"/>
  <c r="N143" i="4" s="1"/>
  <c r="H144" i="4"/>
  <c r="N144" i="4" s="1"/>
  <c r="H145" i="4"/>
  <c r="N145" i="4" s="1"/>
  <c r="H146" i="4"/>
  <c r="N146" i="4" s="1"/>
  <c r="H147" i="4"/>
  <c r="N147" i="4" s="1"/>
  <c r="H148" i="4"/>
  <c r="N148" i="4" s="1"/>
  <c r="H149" i="4"/>
  <c r="N149" i="4" s="1"/>
  <c r="H150" i="4"/>
  <c r="N150" i="4" s="1"/>
  <c r="H151" i="4"/>
  <c r="N151" i="4" s="1"/>
  <c r="H152" i="4"/>
  <c r="N152" i="4" s="1"/>
  <c r="H153" i="4"/>
  <c r="N153" i="4" s="1"/>
  <c r="H154" i="4"/>
  <c r="N154" i="4" s="1"/>
  <c r="H155" i="4"/>
  <c r="N155" i="4" s="1"/>
  <c r="H156" i="4"/>
  <c r="N156" i="4" s="1"/>
  <c r="H157" i="4"/>
  <c r="N157" i="4" s="1"/>
  <c r="H158" i="4"/>
  <c r="N158" i="4" s="1"/>
  <c r="H159" i="4"/>
  <c r="N159" i="4" s="1"/>
  <c r="H160" i="4"/>
  <c r="N160" i="4" s="1"/>
  <c r="H161" i="4"/>
  <c r="N161" i="4" s="1"/>
  <c r="H162" i="4"/>
  <c r="N162" i="4" s="1"/>
  <c r="H163" i="4"/>
  <c r="N163" i="4" s="1"/>
  <c r="H164" i="4"/>
  <c r="N164" i="4" s="1"/>
  <c r="H165" i="4"/>
  <c r="N165" i="4" s="1"/>
  <c r="H166" i="4"/>
  <c r="N166" i="4" s="1"/>
  <c r="H167" i="4"/>
  <c r="N167" i="4" s="1"/>
  <c r="H168" i="4"/>
  <c r="N168" i="4" s="1"/>
  <c r="H169" i="4"/>
  <c r="N169" i="4" s="1"/>
  <c r="H170" i="4"/>
  <c r="N170" i="4" s="1"/>
  <c r="H171" i="4"/>
  <c r="N171" i="4" s="1"/>
  <c r="H172" i="4"/>
  <c r="N172" i="4" s="1"/>
  <c r="H173" i="4"/>
  <c r="N173" i="4" s="1"/>
  <c r="H174" i="4"/>
  <c r="N174" i="4" s="1"/>
  <c r="H175" i="4"/>
  <c r="N175" i="4" s="1"/>
  <c r="H176" i="4"/>
  <c r="N176" i="4" s="1"/>
  <c r="H177" i="4"/>
  <c r="N177" i="4" s="1"/>
  <c r="H178" i="4"/>
  <c r="N178" i="4" s="1"/>
  <c r="H179" i="4"/>
  <c r="N179" i="4" s="1"/>
  <c r="H180" i="4"/>
  <c r="N180" i="4" s="1"/>
  <c r="H181" i="4"/>
  <c r="N181" i="4" s="1"/>
  <c r="H182" i="4"/>
  <c r="N182" i="4" s="1"/>
  <c r="H183" i="4"/>
  <c r="N183" i="4" s="1"/>
  <c r="H184" i="4"/>
  <c r="N184" i="4" s="1"/>
  <c r="H185" i="4"/>
  <c r="N185" i="4" s="1"/>
  <c r="H186" i="4"/>
  <c r="N186" i="4" s="1"/>
  <c r="H187" i="4"/>
  <c r="N187" i="4" s="1"/>
  <c r="H188" i="4"/>
  <c r="N188" i="4" s="1"/>
  <c r="H189" i="4"/>
  <c r="N189" i="4" s="1"/>
  <c r="H190" i="4"/>
  <c r="N190" i="4" s="1"/>
  <c r="H191" i="4"/>
  <c r="N191" i="4" s="1"/>
  <c r="H192" i="4"/>
  <c r="N192" i="4" s="1"/>
  <c r="H193" i="4"/>
  <c r="N193" i="4" s="1"/>
  <c r="H194" i="4"/>
  <c r="N194" i="4" s="1"/>
  <c r="H195" i="4"/>
  <c r="N195" i="4" s="1"/>
  <c r="H196" i="4"/>
  <c r="N196" i="4" s="1"/>
  <c r="H197" i="4"/>
  <c r="N197" i="4" s="1"/>
  <c r="H198" i="4"/>
  <c r="N198" i="4" s="1"/>
  <c r="H199" i="4"/>
  <c r="N199" i="4" s="1"/>
  <c r="H200" i="4"/>
  <c r="N200" i="4" s="1"/>
  <c r="H201" i="4"/>
  <c r="N201" i="4" s="1"/>
  <c r="H202" i="4"/>
  <c r="N202" i="4" s="1"/>
  <c r="H203" i="4"/>
  <c r="N203" i="4" s="1"/>
  <c r="H204" i="4"/>
  <c r="N204" i="4" s="1"/>
  <c r="H205" i="4"/>
  <c r="N205" i="4" s="1"/>
  <c r="H206" i="4"/>
  <c r="N206" i="4" s="1"/>
  <c r="H207" i="4"/>
  <c r="N207" i="4" s="1"/>
  <c r="H208" i="4"/>
  <c r="N208" i="4" s="1"/>
  <c r="H209" i="4"/>
  <c r="N209" i="4" s="1"/>
  <c r="H210" i="4"/>
  <c r="N210" i="4" s="1"/>
  <c r="H211" i="4"/>
  <c r="N211" i="4" s="1"/>
  <c r="H212" i="4"/>
  <c r="N212" i="4" s="1"/>
  <c r="H213" i="4"/>
  <c r="N213" i="4" s="1"/>
  <c r="H214" i="4"/>
  <c r="N214" i="4" s="1"/>
  <c r="H215" i="4"/>
  <c r="N215" i="4" s="1"/>
  <c r="H216" i="4"/>
  <c r="N216" i="4" s="1"/>
  <c r="H217" i="4"/>
  <c r="N217" i="4" s="1"/>
  <c r="H218" i="4"/>
  <c r="N218" i="4" s="1"/>
  <c r="H219" i="4"/>
  <c r="N219" i="4" s="1"/>
  <c r="H220" i="4"/>
  <c r="N220" i="4" s="1"/>
  <c r="H221" i="4"/>
  <c r="N221" i="4" s="1"/>
  <c r="H222" i="4"/>
  <c r="N222" i="4" s="1"/>
  <c r="H223" i="4"/>
  <c r="N223" i="4" s="1"/>
  <c r="H224" i="4"/>
  <c r="N224" i="4" s="1"/>
  <c r="H225" i="4"/>
  <c r="N225" i="4" s="1"/>
  <c r="H226" i="4"/>
  <c r="N226" i="4" s="1"/>
  <c r="H227" i="4"/>
  <c r="N227" i="4" s="1"/>
  <c r="H228" i="4"/>
  <c r="N228" i="4" s="1"/>
  <c r="H229" i="4"/>
  <c r="N229" i="4" s="1"/>
  <c r="H230" i="4"/>
  <c r="N230" i="4" s="1"/>
  <c r="H231" i="4"/>
  <c r="N231" i="4" s="1"/>
  <c r="H232" i="4"/>
  <c r="N232" i="4" s="1"/>
  <c r="H233" i="4"/>
  <c r="N233" i="4" s="1"/>
  <c r="H234" i="4"/>
  <c r="N234" i="4" s="1"/>
  <c r="H235" i="4"/>
  <c r="N235" i="4" s="1"/>
  <c r="H236" i="4"/>
  <c r="N236" i="4" s="1"/>
  <c r="H237" i="4"/>
  <c r="N237" i="4" s="1"/>
  <c r="H238" i="4"/>
  <c r="N238" i="4" s="1"/>
  <c r="H239" i="4"/>
  <c r="N239" i="4" s="1"/>
  <c r="H240" i="4"/>
  <c r="N240" i="4" s="1"/>
  <c r="H241" i="4"/>
  <c r="N241" i="4" s="1"/>
  <c r="H242" i="4"/>
  <c r="N242" i="4" s="1"/>
  <c r="H243" i="4"/>
  <c r="N243" i="4" s="1"/>
  <c r="H244" i="4"/>
  <c r="N244" i="4" s="1"/>
  <c r="H245" i="4"/>
  <c r="N245" i="4" s="1"/>
  <c r="H246" i="4"/>
  <c r="N246" i="4" s="1"/>
  <c r="H247" i="4"/>
  <c r="N247" i="4" s="1"/>
  <c r="H248" i="4"/>
  <c r="N248" i="4" s="1"/>
  <c r="H249" i="4"/>
  <c r="N249" i="4" s="1"/>
  <c r="H250" i="4"/>
  <c r="N250" i="4" s="1"/>
  <c r="H251" i="4"/>
  <c r="N251" i="4" s="1"/>
  <c r="H252" i="4"/>
  <c r="N252" i="4" s="1"/>
  <c r="H253" i="4"/>
  <c r="N253" i="4" s="1"/>
  <c r="H254" i="4"/>
  <c r="N254" i="4" s="1"/>
  <c r="H255" i="4"/>
  <c r="N255" i="4" s="1"/>
  <c r="H256" i="4"/>
  <c r="N256" i="4" s="1"/>
  <c r="H257" i="4"/>
  <c r="N257" i="4" s="1"/>
  <c r="H258" i="4"/>
  <c r="N258" i="4" s="1"/>
  <c r="H259" i="4"/>
  <c r="N259" i="4" s="1"/>
  <c r="H260" i="4"/>
  <c r="N260" i="4" s="1"/>
  <c r="H261" i="4"/>
  <c r="N261" i="4" s="1"/>
  <c r="H262" i="4"/>
  <c r="N262" i="4" s="1"/>
  <c r="H263" i="4"/>
  <c r="N263" i="4" s="1"/>
  <c r="H264" i="4"/>
  <c r="N264" i="4" s="1"/>
  <c r="H265" i="4"/>
  <c r="N265" i="4" s="1"/>
  <c r="H266" i="4"/>
  <c r="N266" i="4" s="1"/>
  <c r="H267" i="4"/>
  <c r="N267" i="4" s="1"/>
  <c r="H268" i="4"/>
  <c r="N268" i="4" s="1"/>
  <c r="H269" i="4"/>
  <c r="N269" i="4" s="1"/>
  <c r="H270" i="4"/>
  <c r="N270" i="4" s="1"/>
  <c r="H271" i="4"/>
  <c r="N271" i="4" s="1"/>
  <c r="H272" i="4"/>
  <c r="N272" i="4" s="1"/>
  <c r="H273" i="4"/>
  <c r="N273" i="4" s="1"/>
  <c r="H274" i="4"/>
  <c r="N274" i="4" s="1"/>
  <c r="H275" i="4"/>
  <c r="N275" i="4" s="1"/>
  <c r="H276" i="4"/>
  <c r="N276" i="4" s="1"/>
  <c r="H277" i="4"/>
  <c r="N277" i="4" s="1"/>
  <c r="H278" i="4"/>
  <c r="N278" i="4" s="1"/>
  <c r="H279" i="4"/>
  <c r="N279" i="4" s="1"/>
  <c r="H280" i="4"/>
  <c r="N280" i="4" s="1"/>
  <c r="H281" i="4"/>
  <c r="N281" i="4" s="1"/>
  <c r="H282" i="4"/>
  <c r="N282" i="4" s="1"/>
  <c r="H283" i="4"/>
  <c r="N283" i="4" s="1"/>
  <c r="H284" i="4"/>
  <c r="N284" i="4" s="1"/>
  <c r="H285" i="4"/>
  <c r="N285" i="4" s="1"/>
  <c r="H286" i="4"/>
  <c r="N286" i="4" s="1"/>
  <c r="H287" i="4"/>
  <c r="N287" i="4" s="1"/>
  <c r="H288" i="4"/>
  <c r="N288" i="4" s="1"/>
  <c r="H289" i="4"/>
  <c r="N289" i="4" s="1"/>
  <c r="H290" i="4"/>
  <c r="N290" i="4" s="1"/>
  <c r="H291" i="4"/>
  <c r="N291" i="4" s="1"/>
  <c r="H292" i="4"/>
  <c r="N292" i="4" s="1"/>
  <c r="H293" i="4"/>
  <c r="N293" i="4" s="1"/>
  <c r="H294" i="4"/>
  <c r="N294" i="4" s="1"/>
  <c r="H295" i="4"/>
  <c r="N295" i="4" s="1"/>
  <c r="H296" i="4"/>
  <c r="N296" i="4" s="1"/>
  <c r="H297" i="4"/>
  <c r="N297" i="4" s="1"/>
  <c r="H298" i="4"/>
  <c r="N298" i="4" s="1"/>
  <c r="H299" i="4"/>
  <c r="N299" i="4" s="1"/>
  <c r="H300" i="4"/>
  <c r="N300" i="4" s="1"/>
  <c r="H301" i="4"/>
  <c r="N301" i="4" s="1"/>
  <c r="H302" i="4"/>
  <c r="N302" i="4" s="1"/>
  <c r="H303" i="4"/>
  <c r="N303" i="4" s="1"/>
  <c r="H304" i="4"/>
  <c r="N304" i="4" s="1"/>
  <c r="H305" i="4"/>
  <c r="N305" i="4" s="1"/>
  <c r="H306" i="4"/>
  <c r="N306" i="4" s="1"/>
  <c r="H307" i="4"/>
  <c r="N307" i="4" s="1"/>
  <c r="H308" i="4"/>
  <c r="N308" i="4" s="1"/>
  <c r="H309" i="4"/>
  <c r="N309" i="4" s="1"/>
  <c r="H310" i="4"/>
  <c r="N310" i="4" s="1"/>
  <c r="H311" i="4"/>
  <c r="N311" i="4" s="1"/>
  <c r="H312" i="4"/>
  <c r="N312" i="4" s="1"/>
  <c r="H313" i="4"/>
  <c r="N313" i="4" s="1"/>
  <c r="H314" i="4"/>
  <c r="N314" i="4" s="1"/>
  <c r="H315" i="4"/>
  <c r="N315" i="4" s="1"/>
  <c r="H316" i="4"/>
  <c r="N316" i="4" s="1"/>
  <c r="H317" i="4"/>
  <c r="N317" i="4" s="1"/>
  <c r="H318" i="4"/>
  <c r="N318" i="4" s="1"/>
  <c r="H319" i="4"/>
  <c r="N319" i="4" s="1"/>
  <c r="H320" i="4"/>
  <c r="N320" i="4" s="1"/>
  <c r="H321" i="4"/>
  <c r="N321" i="4" s="1"/>
  <c r="H322" i="4"/>
  <c r="N322" i="4" s="1"/>
  <c r="H323" i="4"/>
  <c r="N323" i="4" s="1"/>
  <c r="H324" i="4"/>
  <c r="N324" i="4" s="1"/>
  <c r="H325" i="4"/>
  <c r="N325" i="4" s="1"/>
  <c r="H326" i="4"/>
  <c r="N326" i="4" s="1"/>
  <c r="H327" i="4"/>
  <c r="N327" i="4" s="1"/>
  <c r="H328" i="4"/>
  <c r="N328" i="4" s="1"/>
  <c r="H329" i="4"/>
  <c r="N329" i="4" s="1"/>
  <c r="H330" i="4"/>
  <c r="N330" i="4" s="1"/>
  <c r="H331" i="4"/>
  <c r="N331" i="4" s="1"/>
  <c r="H332" i="4"/>
  <c r="N332" i="4" s="1"/>
  <c r="H333" i="4"/>
  <c r="N333" i="4" s="1"/>
  <c r="H334" i="4"/>
  <c r="N334" i="4" s="1"/>
  <c r="H335" i="4"/>
  <c r="N335" i="4" s="1"/>
  <c r="H336" i="4"/>
  <c r="N336" i="4" s="1"/>
  <c r="H337" i="4"/>
  <c r="N337" i="4" s="1"/>
  <c r="H338" i="4"/>
  <c r="N338" i="4" s="1"/>
  <c r="H339" i="4"/>
  <c r="N339" i="4" s="1"/>
  <c r="H340" i="4"/>
  <c r="N340" i="4" s="1"/>
  <c r="H341" i="4"/>
  <c r="N341" i="4" s="1"/>
  <c r="H342" i="4"/>
  <c r="N342" i="4" s="1"/>
  <c r="H343" i="4"/>
  <c r="N343" i="4" s="1"/>
  <c r="H344" i="4"/>
  <c r="N344" i="4" s="1"/>
  <c r="H345" i="4"/>
  <c r="N345" i="4" s="1"/>
  <c r="H346" i="4"/>
  <c r="N346" i="4" s="1"/>
  <c r="H347" i="4"/>
  <c r="N347" i="4" s="1"/>
  <c r="H348" i="4"/>
  <c r="N348" i="4" s="1"/>
  <c r="H349" i="4"/>
  <c r="N349" i="4" s="1"/>
  <c r="H350" i="4"/>
  <c r="N350" i="4" s="1"/>
  <c r="H351" i="4"/>
  <c r="N351" i="4" s="1"/>
  <c r="H352" i="4"/>
  <c r="N352" i="4" s="1"/>
  <c r="H353" i="4"/>
  <c r="N353" i="4" s="1"/>
  <c r="H354" i="4"/>
  <c r="N354" i="4" s="1"/>
  <c r="H355" i="4"/>
  <c r="N355" i="4" s="1"/>
  <c r="H356" i="4"/>
  <c r="N356" i="4" s="1"/>
  <c r="H357" i="4"/>
  <c r="N357" i="4" s="1"/>
  <c r="H358" i="4"/>
  <c r="N358" i="4" s="1"/>
  <c r="H359" i="4"/>
  <c r="N359" i="4" s="1"/>
  <c r="H360" i="4"/>
  <c r="N360" i="4" s="1"/>
  <c r="H361" i="4"/>
  <c r="N361" i="4" s="1"/>
  <c r="H362" i="4"/>
  <c r="N362" i="4" s="1"/>
  <c r="H363" i="4"/>
  <c r="N363" i="4" s="1"/>
  <c r="H364" i="4"/>
  <c r="N364" i="4" s="1"/>
  <c r="H365" i="4"/>
  <c r="N365" i="4" s="1"/>
  <c r="H366" i="4"/>
  <c r="N366" i="4" s="1"/>
  <c r="H367" i="4"/>
  <c r="N367" i="4" s="1"/>
  <c r="H368" i="4"/>
  <c r="N368" i="4" s="1"/>
  <c r="H369" i="4"/>
  <c r="N369" i="4" s="1"/>
  <c r="H370" i="4"/>
  <c r="N370" i="4" s="1"/>
  <c r="H371" i="4"/>
  <c r="N371" i="4" s="1"/>
  <c r="H372" i="4"/>
  <c r="N372" i="4" s="1"/>
  <c r="H373" i="4"/>
  <c r="N373" i="4" s="1"/>
  <c r="H374" i="4"/>
  <c r="N374" i="4" s="1"/>
  <c r="H375" i="4"/>
  <c r="N375" i="4" s="1"/>
  <c r="H376" i="4"/>
  <c r="N376" i="4" s="1"/>
  <c r="H377" i="4"/>
  <c r="N377" i="4" s="1"/>
  <c r="H378" i="4"/>
  <c r="N378" i="4" s="1"/>
  <c r="H379" i="4"/>
  <c r="N379" i="4" s="1"/>
  <c r="H380" i="4"/>
  <c r="N380" i="4" s="1"/>
  <c r="H381" i="4"/>
  <c r="N381" i="4" s="1"/>
  <c r="H382" i="4"/>
  <c r="N382" i="4" s="1"/>
  <c r="H383" i="4"/>
  <c r="N383" i="4" s="1"/>
  <c r="H384" i="4"/>
  <c r="N384" i="4" s="1"/>
  <c r="H385" i="4"/>
  <c r="N385" i="4" s="1"/>
  <c r="H386" i="4"/>
  <c r="N386" i="4" s="1"/>
  <c r="H387" i="4"/>
  <c r="N387" i="4" s="1"/>
  <c r="H388" i="4"/>
  <c r="N388" i="4" s="1"/>
  <c r="H389" i="4"/>
  <c r="N389" i="4" s="1"/>
  <c r="H390" i="4"/>
  <c r="N390" i="4" s="1"/>
  <c r="H391" i="4"/>
  <c r="N391" i="4" s="1"/>
  <c r="H392" i="4"/>
  <c r="N392" i="4" s="1"/>
  <c r="H393" i="4"/>
  <c r="N393" i="4" s="1"/>
  <c r="H394" i="4"/>
  <c r="N394" i="4" s="1"/>
  <c r="H395" i="4"/>
  <c r="N395" i="4" s="1"/>
  <c r="H396" i="4"/>
  <c r="N396" i="4" s="1"/>
  <c r="H397" i="4"/>
  <c r="N397" i="4" s="1"/>
  <c r="H398" i="4"/>
  <c r="N398" i="4" s="1"/>
  <c r="H399" i="4"/>
  <c r="N399" i="4" s="1"/>
  <c r="H400" i="4"/>
  <c r="N400" i="4" s="1"/>
  <c r="H401" i="4"/>
  <c r="N401" i="4" s="1"/>
  <c r="H402" i="4"/>
  <c r="N402" i="4" s="1"/>
  <c r="H403" i="4"/>
  <c r="N403" i="4" s="1"/>
  <c r="H404" i="4"/>
  <c r="N404" i="4" s="1"/>
  <c r="H405" i="4"/>
  <c r="N405" i="4" s="1"/>
  <c r="H406" i="4"/>
  <c r="N406" i="4" s="1"/>
  <c r="H407" i="4"/>
  <c r="N407" i="4" s="1"/>
  <c r="H408" i="4"/>
  <c r="N408" i="4" s="1"/>
  <c r="H409" i="4"/>
  <c r="N409" i="4" s="1"/>
  <c r="H410" i="4"/>
  <c r="N410" i="4" s="1"/>
  <c r="H411" i="4"/>
  <c r="N411" i="4" s="1"/>
  <c r="H412" i="4"/>
  <c r="N412" i="4" s="1"/>
  <c r="H413" i="4"/>
  <c r="N413" i="4" s="1"/>
  <c r="H414" i="4"/>
  <c r="N414" i="4" s="1"/>
  <c r="H415" i="4"/>
  <c r="N415" i="4" s="1"/>
  <c r="H416" i="4"/>
  <c r="N416" i="4" s="1"/>
  <c r="H417" i="4"/>
  <c r="N417" i="4" s="1"/>
  <c r="H418" i="4"/>
  <c r="N418" i="4" s="1"/>
  <c r="H419" i="4"/>
  <c r="N419" i="4" s="1"/>
  <c r="H420" i="4"/>
  <c r="N420" i="4" s="1"/>
  <c r="H421" i="4"/>
  <c r="N421" i="4" s="1"/>
  <c r="H422" i="4"/>
  <c r="N422" i="4" s="1"/>
  <c r="H423" i="4"/>
  <c r="N423" i="4" s="1"/>
  <c r="H424" i="4"/>
  <c r="N424" i="4" s="1"/>
  <c r="H425" i="4"/>
  <c r="N425" i="4" s="1"/>
  <c r="H426" i="4"/>
  <c r="N426" i="4" s="1"/>
  <c r="H427" i="4"/>
  <c r="N427" i="4" s="1"/>
  <c r="H428" i="4"/>
  <c r="N428" i="4" s="1"/>
  <c r="H429" i="4"/>
  <c r="N429" i="4" s="1"/>
  <c r="H430" i="4"/>
  <c r="N430" i="4" s="1"/>
  <c r="H431" i="4"/>
  <c r="N431" i="4" s="1"/>
  <c r="H432" i="4"/>
  <c r="N432" i="4" s="1"/>
  <c r="H433" i="4"/>
  <c r="N433" i="4" s="1"/>
  <c r="H434" i="4"/>
  <c r="N434" i="4" s="1"/>
  <c r="H435" i="4"/>
  <c r="N435" i="4" s="1"/>
  <c r="H436" i="4"/>
  <c r="N436" i="4" s="1"/>
  <c r="H437" i="4"/>
  <c r="N437" i="4" s="1"/>
  <c r="H438" i="4"/>
  <c r="N438" i="4" s="1"/>
  <c r="H439" i="4"/>
  <c r="N439" i="4" s="1"/>
  <c r="H440" i="4"/>
  <c r="N440" i="4" s="1"/>
  <c r="H441" i="4"/>
  <c r="N441" i="4" s="1"/>
  <c r="H442" i="4"/>
  <c r="N442" i="4" s="1"/>
  <c r="H443" i="4"/>
  <c r="N443" i="4" s="1"/>
  <c r="H444" i="4"/>
  <c r="N444" i="4" s="1"/>
  <c r="H445" i="4"/>
  <c r="N445" i="4" s="1"/>
  <c r="H446" i="4"/>
  <c r="N446" i="4" s="1"/>
  <c r="H447" i="4"/>
  <c r="N447" i="4" s="1"/>
  <c r="H448" i="4"/>
  <c r="N448" i="4" s="1"/>
  <c r="H449" i="4"/>
  <c r="N449" i="4" s="1"/>
  <c r="H450" i="4"/>
  <c r="N450" i="4" s="1"/>
  <c r="H451" i="4"/>
  <c r="N451" i="4" s="1"/>
  <c r="H452" i="4"/>
  <c r="N452" i="4" s="1"/>
  <c r="H453" i="4"/>
  <c r="N453" i="4" s="1"/>
  <c r="H454" i="4"/>
  <c r="N454" i="4" s="1"/>
  <c r="H455" i="4"/>
  <c r="N455" i="4" s="1"/>
  <c r="H456" i="4"/>
  <c r="N456" i="4" s="1"/>
  <c r="H457" i="4"/>
  <c r="N457" i="4" s="1"/>
  <c r="H458" i="4"/>
  <c r="N458" i="4" s="1"/>
  <c r="H459" i="4"/>
  <c r="N459" i="4" s="1"/>
  <c r="H460" i="4"/>
  <c r="N460" i="4" s="1"/>
  <c r="H461" i="4"/>
  <c r="N461" i="4" s="1"/>
  <c r="H462" i="4"/>
  <c r="N462" i="4" s="1"/>
  <c r="H463" i="4"/>
  <c r="N463" i="4" s="1"/>
  <c r="H464" i="4"/>
  <c r="N464" i="4" s="1"/>
  <c r="H465" i="4"/>
  <c r="N465" i="4" s="1"/>
  <c r="H466" i="4"/>
  <c r="N466" i="4" s="1"/>
  <c r="H467" i="4"/>
  <c r="N467" i="4" s="1"/>
  <c r="H468" i="4"/>
  <c r="N468" i="4" s="1"/>
  <c r="H469" i="4"/>
  <c r="N469" i="4" s="1"/>
  <c r="H470" i="4"/>
  <c r="N470" i="4" s="1"/>
  <c r="H471" i="4"/>
  <c r="N471" i="4" s="1"/>
  <c r="H472" i="4"/>
  <c r="N472" i="4" s="1"/>
  <c r="H473" i="4"/>
  <c r="N473" i="4" s="1"/>
  <c r="H474" i="4"/>
  <c r="N474" i="4" s="1"/>
  <c r="H475" i="4"/>
  <c r="N475" i="4" s="1"/>
  <c r="H476" i="4"/>
  <c r="N476" i="4" s="1"/>
  <c r="H477" i="4"/>
  <c r="N477" i="4" s="1"/>
  <c r="H478" i="4"/>
  <c r="N478" i="4" s="1"/>
  <c r="H479" i="4"/>
  <c r="N479" i="4" s="1"/>
  <c r="H480" i="4"/>
  <c r="N480" i="4" s="1"/>
  <c r="H481" i="4"/>
  <c r="N481" i="4" s="1"/>
  <c r="H482" i="4"/>
  <c r="N482" i="4" s="1"/>
  <c r="H483" i="4"/>
  <c r="N483" i="4" s="1"/>
  <c r="H484" i="4"/>
  <c r="N484" i="4" s="1"/>
  <c r="H485" i="4"/>
  <c r="N485" i="4" s="1"/>
  <c r="H486" i="4"/>
  <c r="N486" i="4" s="1"/>
  <c r="H487" i="4"/>
  <c r="N487" i="4" s="1"/>
  <c r="H488" i="4"/>
  <c r="N488" i="4" s="1"/>
  <c r="H489" i="4"/>
  <c r="N489" i="4" s="1"/>
  <c r="H490" i="4"/>
  <c r="N490" i="4" s="1"/>
  <c r="H491" i="4"/>
  <c r="N491" i="4" s="1"/>
  <c r="H492" i="4"/>
  <c r="N492" i="4" s="1"/>
  <c r="H493" i="4"/>
  <c r="N493" i="4" s="1"/>
  <c r="H494" i="4"/>
  <c r="N494" i="4" s="1"/>
  <c r="H495" i="4"/>
  <c r="N495" i="4" s="1"/>
  <c r="H496" i="4"/>
  <c r="N496" i="4" s="1"/>
  <c r="H497" i="4"/>
  <c r="N497" i="4" s="1"/>
  <c r="H498" i="4"/>
  <c r="N498" i="4" s="1"/>
  <c r="H499" i="4"/>
  <c r="N499" i="4" s="1"/>
  <c r="H500" i="4"/>
  <c r="N500" i="4" s="1"/>
  <c r="H501" i="4"/>
  <c r="N501" i="4" s="1"/>
  <c r="H502" i="4"/>
  <c r="N502" i="4" s="1"/>
  <c r="H503" i="4"/>
  <c r="N503" i="4" s="1"/>
  <c r="H504" i="4"/>
  <c r="N504" i="4" s="1"/>
  <c r="H505" i="4"/>
  <c r="N505" i="4" s="1"/>
  <c r="H506" i="4"/>
  <c r="N506" i="4" s="1"/>
  <c r="H507" i="4"/>
  <c r="N507" i="4" s="1"/>
  <c r="H508" i="4"/>
  <c r="N508" i="4" s="1"/>
  <c r="H509" i="4"/>
  <c r="N509" i="4" s="1"/>
  <c r="H510" i="4"/>
  <c r="N510" i="4" s="1"/>
  <c r="H511" i="4"/>
  <c r="N511" i="4" s="1"/>
  <c r="H512" i="4"/>
  <c r="N512" i="4" s="1"/>
  <c r="H513" i="4"/>
  <c r="N513" i="4" s="1"/>
  <c r="H514" i="4"/>
  <c r="N514" i="4" s="1"/>
  <c r="H515" i="4"/>
  <c r="N515" i="4" s="1"/>
  <c r="H516" i="4"/>
  <c r="N516" i="4" s="1"/>
  <c r="H517" i="4"/>
  <c r="N517" i="4" s="1"/>
  <c r="H518" i="4"/>
  <c r="N518" i="4" s="1"/>
  <c r="H519" i="4"/>
  <c r="N519" i="4" s="1"/>
  <c r="H520" i="4"/>
  <c r="N520" i="4" s="1"/>
  <c r="H521" i="4"/>
  <c r="N521" i="4" s="1"/>
  <c r="H522" i="4"/>
  <c r="N522" i="4" s="1"/>
  <c r="H523" i="4"/>
  <c r="N523" i="4" s="1"/>
  <c r="H524" i="4"/>
  <c r="N524" i="4" s="1"/>
  <c r="H525" i="4"/>
  <c r="N525" i="4" s="1"/>
  <c r="H526" i="4"/>
  <c r="N526" i="4" s="1"/>
  <c r="H527" i="4"/>
  <c r="N527" i="4" s="1"/>
  <c r="H528" i="4"/>
  <c r="N528" i="4" s="1"/>
  <c r="H529" i="4"/>
  <c r="N529" i="4" s="1"/>
  <c r="H530" i="4"/>
  <c r="N530" i="4" s="1"/>
  <c r="H531" i="4"/>
  <c r="N531" i="4" s="1"/>
  <c r="H532" i="4"/>
  <c r="N532" i="4" s="1"/>
  <c r="H533" i="4"/>
  <c r="N533" i="4" s="1"/>
  <c r="H534" i="4"/>
  <c r="N534" i="4" s="1"/>
  <c r="H535" i="4"/>
  <c r="N535" i="4" s="1"/>
  <c r="H536" i="4"/>
  <c r="N536" i="4" s="1"/>
  <c r="H537" i="4"/>
  <c r="N537" i="4" s="1"/>
  <c r="H538" i="4"/>
  <c r="N538" i="4" s="1"/>
  <c r="H539" i="4"/>
  <c r="N539" i="4" s="1"/>
  <c r="H540" i="4"/>
  <c r="N540" i="4" s="1"/>
  <c r="H541" i="4"/>
  <c r="N541" i="4" s="1"/>
  <c r="H542" i="4"/>
  <c r="N542" i="4" s="1"/>
  <c r="H543" i="4"/>
  <c r="N543" i="4" s="1"/>
  <c r="H544" i="4"/>
  <c r="N544" i="4" s="1"/>
  <c r="H545" i="4"/>
  <c r="N545" i="4" s="1"/>
  <c r="H546" i="4"/>
  <c r="N546" i="4" s="1"/>
  <c r="H547" i="4"/>
  <c r="N547" i="4" s="1"/>
  <c r="H548" i="4"/>
  <c r="N548" i="4" s="1"/>
  <c r="H549" i="4"/>
  <c r="N549" i="4" s="1"/>
  <c r="H550" i="4"/>
  <c r="N550" i="4" s="1"/>
  <c r="H551" i="4"/>
  <c r="N551" i="4" s="1"/>
  <c r="H2" i="4"/>
  <c r="N2" i="4" s="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2" i="4"/>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7" i="2"/>
  <c r="O7" i="2"/>
  <c r="O8" i="2" s="1"/>
  <c r="O9" i="2" s="1"/>
  <c r="O10" i="2"/>
  <c r="O11" i="2"/>
  <c r="O12" i="2" s="1"/>
  <c r="O13" i="2" s="1"/>
  <c r="O14" i="2" s="1"/>
  <c r="O15" i="2" s="1"/>
  <c r="O16" i="2"/>
  <c r="O17" i="2" s="1"/>
  <c r="O18" i="2" s="1"/>
  <c r="O19" i="2" s="1"/>
  <c r="O20" i="2" s="1"/>
  <c r="O21" i="2" s="1"/>
  <c r="O22" i="2" s="1"/>
  <c r="O44" i="2"/>
  <c r="O45" i="2" s="1"/>
  <c r="O46" i="2" s="1"/>
  <c r="O59" i="2"/>
  <c r="O60" i="2" s="1"/>
  <c r="O61" i="2" s="1"/>
  <c r="O62" i="2" s="1"/>
  <c r="O63" i="2"/>
  <c r="O64" i="2"/>
  <c r="O65" i="2" s="1"/>
  <c r="O66" i="2"/>
  <c r="R66" i="2" s="1"/>
  <c r="O78" i="2"/>
  <c r="O79" i="2" s="1"/>
  <c r="O80" i="2"/>
  <c r="O81" i="2" s="1"/>
  <c r="O82" i="2" s="1"/>
  <c r="O83" i="2" s="1"/>
  <c r="O84" i="2"/>
  <c r="O85" i="2" s="1"/>
  <c r="O86" i="2" s="1"/>
  <c r="O87" i="2"/>
  <c r="O88" i="2" s="1"/>
  <c r="O89" i="2" s="1"/>
  <c r="O90" i="2"/>
  <c r="O91" i="2"/>
  <c r="O92" i="2" s="1"/>
  <c r="O93" i="2" s="1"/>
  <c r="O94" i="2" s="1"/>
  <c r="O95" i="2" s="1"/>
  <c r="O96" i="2"/>
  <c r="O97" i="2" s="1"/>
  <c r="O98" i="2" s="1"/>
  <c r="O99" i="2" s="1"/>
  <c r="O100" i="2" s="1"/>
  <c r="O101" i="2"/>
  <c r="O102" i="2" s="1"/>
  <c r="O105" i="2"/>
  <c r="O106" i="2" s="1"/>
  <c r="O107" i="2" s="1"/>
  <c r="O108" i="2"/>
  <c r="O109" i="2" s="1"/>
  <c r="O110" i="2"/>
  <c r="O111" i="2" s="1"/>
  <c r="O112" i="2" s="1"/>
  <c r="O113" i="2" s="1"/>
  <c r="O114" i="2" s="1"/>
  <c r="O115" i="2" s="1"/>
  <c r="O116" i="2" s="1"/>
  <c r="O117" i="2" s="1"/>
  <c r="O118" i="2" s="1"/>
  <c r="O121" i="2"/>
  <c r="O122" i="2" s="1"/>
  <c r="O123" i="2" s="1"/>
  <c r="O124" i="2" s="1"/>
  <c r="O125" i="2"/>
  <c r="O126" i="2"/>
  <c r="O127" i="2" s="1"/>
  <c r="O128" i="2" s="1"/>
  <c r="O129" i="2" s="1"/>
  <c r="O130" i="2" s="1"/>
  <c r="O131" i="2" s="1"/>
  <c r="O132" i="2"/>
  <c r="O133" i="2" s="1"/>
  <c r="O134" i="2" s="1"/>
  <c r="O135" i="2"/>
  <c r="O136" i="2" s="1"/>
  <c r="O137" i="2" s="1"/>
  <c r="O138" i="2"/>
  <c r="R138" i="2" s="1"/>
  <c r="O139" i="2"/>
  <c r="O140" i="2" s="1"/>
  <c r="O141" i="2"/>
  <c r="O142" i="2"/>
  <c r="O143" i="2" s="1"/>
  <c r="O144" i="2" s="1"/>
  <c r="O145" i="2" s="1"/>
  <c r="O146" i="2" s="1"/>
  <c r="O147" i="2" s="1"/>
  <c r="O148" i="2" s="1"/>
  <c r="O149" i="2" s="1"/>
  <c r="O150" i="2"/>
  <c r="O151" i="2" s="1"/>
  <c r="O152" i="2" s="1"/>
  <c r="O153" i="2"/>
  <c r="O154" i="2"/>
  <c r="O155" i="2" s="1"/>
  <c r="O156" i="2"/>
  <c r="O157" i="2" s="1"/>
  <c r="O158" i="2"/>
  <c r="O159" i="2"/>
  <c r="O160" i="2"/>
  <c r="O161" i="2" s="1"/>
  <c r="O162" i="2" s="1"/>
  <c r="O163" i="2" s="1"/>
  <c r="O164" i="2" s="1"/>
  <c r="O165" i="2" s="1"/>
  <c r="O166" i="2" s="1"/>
  <c r="O167" i="2"/>
  <c r="O168" i="2"/>
  <c r="O169" i="2" s="1"/>
  <c r="O170" i="2"/>
  <c r="O171" i="2"/>
  <c r="O172" i="2" s="1"/>
  <c r="O173" i="2"/>
  <c r="O174" i="2" s="1"/>
  <c r="O175" i="2"/>
  <c r="O176" i="2" s="1"/>
  <c r="O177" i="2" s="1"/>
  <c r="O178" i="2"/>
  <c r="O179" i="2"/>
  <c r="O180" i="2"/>
  <c r="O181" i="2" s="1"/>
  <c r="O182" i="2" s="1"/>
  <c r="O183" i="2" s="1"/>
  <c r="O184" i="2"/>
  <c r="O185" i="2" s="1"/>
  <c r="O186" i="2" s="1"/>
  <c r="O187" i="2"/>
  <c r="O188" i="2" s="1"/>
  <c r="O189" i="2" s="1"/>
  <c r="O190" i="2" s="1"/>
  <c r="O191" i="2"/>
  <c r="O192" i="2" s="1"/>
  <c r="O193" i="2"/>
  <c r="O194" i="2" s="1"/>
  <c r="O195" i="2" s="1"/>
  <c r="O196" i="2" s="1"/>
  <c r="O197" i="2" s="1"/>
  <c r="O198" i="2"/>
  <c r="O199" i="2" s="1"/>
  <c r="O200" i="2" s="1"/>
  <c r="O201" i="2" s="1"/>
  <c r="O202" i="2" s="1"/>
  <c r="O203" i="2"/>
  <c r="O204" i="2" s="1"/>
  <c r="O205" i="2" s="1"/>
  <c r="O206" i="2"/>
  <c r="O207" i="2"/>
  <c r="O208" i="2" s="1"/>
  <c r="O209" i="2" s="1"/>
  <c r="O210" i="2" s="1"/>
  <c r="O211" i="2"/>
  <c r="O212" i="2" s="1"/>
  <c r="O213" i="2" s="1"/>
  <c r="O214" i="2"/>
  <c r="O215" i="2" s="1"/>
  <c r="O216" i="2" s="1"/>
  <c r="O217" i="2" s="1"/>
  <c r="O218" i="2" s="1"/>
  <c r="O219" i="2" s="1"/>
  <c r="O220" i="2"/>
  <c r="O221" i="2" s="1"/>
  <c r="O222" i="2"/>
  <c r="O223" i="2" s="1"/>
  <c r="O224" i="2" s="1"/>
  <c r="O225" i="2" s="1"/>
  <c r="O226" i="2"/>
  <c r="O227" i="2"/>
  <c r="O228" i="2" s="1"/>
  <c r="O229" i="2" s="1"/>
  <c r="O230" i="2"/>
  <c r="O231" i="2" s="1"/>
  <c r="O232" i="2" s="1"/>
  <c r="O233" i="2"/>
  <c r="O234" i="2" s="1"/>
  <c r="O235" i="2" s="1"/>
  <c r="O236" i="2" s="1"/>
  <c r="O237" i="2"/>
  <c r="O238" i="2" s="1"/>
  <c r="O248" i="2"/>
  <c r="O249" i="2" s="1"/>
  <c r="O250" i="2"/>
  <c r="O251" i="2" s="1"/>
  <c r="O252" i="2"/>
  <c r="O253" i="2" s="1"/>
  <c r="O254" i="2"/>
  <c r="O255" i="2" s="1"/>
  <c r="O256" i="2"/>
  <c r="O257" i="2" s="1"/>
  <c r="O258" i="2" s="1"/>
  <c r="O259" i="2" s="1"/>
  <c r="O260" i="2" s="1"/>
  <c r="O261" i="2" s="1"/>
  <c r="O262" i="2"/>
  <c r="O263" i="2" s="1"/>
  <c r="O264" i="2"/>
  <c r="O265" i="2" s="1"/>
  <c r="O266" i="2" s="1"/>
  <c r="O267" i="2"/>
  <c r="O268" i="2" s="1"/>
  <c r="O269" i="2" s="1"/>
  <c r="O270" i="2"/>
  <c r="O271" i="2" s="1"/>
  <c r="O272" i="2" s="1"/>
  <c r="O273" i="2"/>
  <c r="O274" i="2"/>
  <c r="O275" i="2"/>
  <c r="O276" i="2" s="1"/>
  <c r="O277" i="2" s="1"/>
  <c r="O278" i="2"/>
  <c r="O279" i="2" s="1"/>
  <c r="O280" i="2" s="1"/>
  <c r="O281" i="2"/>
  <c r="O282" i="2" s="1"/>
  <c r="O285" i="2"/>
  <c r="O286" i="2" s="1"/>
  <c r="O289" i="2"/>
  <c r="O290" i="2"/>
  <c r="O291" i="2" s="1"/>
  <c r="O292" i="2" s="1"/>
  <c r="O293" i="2"/>
  <c r="O294" i="2" s="1"/>
  <c r="O303" i="2"/>
  <c r="O304" i="2" s="1"/>
  <c r="O305" i="2" s="1"/>
  <c r="O306" i="2" s="1"/>
  <c r="O309" i="2"/>
  <c r="O310" i="2"/>
  <c r="O311" i="2" s="1"/>
  <c r="O312" i="2" s="1"/>
  <c r="O313" i="2" s="1"/>
  <c r="O314" i="2" s="1"/>
  <c r="O315" i="2" s="1"/>
  <c r="O316" i="2" s="1"/>
  <c r="O317" i="2" s="1"/>
  <c r="O318" i="2" s="1"/>
  <c r="O319" i="2"/>
  <c r="O320" i="2" s="1"/>
  <c r="O321" i="2" s="1"/>
  <c r="O322" i="2"/>
  <c r="O323" i="2"/>
  <c r="O324" i="2" s="1"/>
  <c r="O325" i="2" s="1"/>
  <c r="O326" i="2" s="1"/>
  <c r="O329" i="2"/>
  <c r="O330" i="2"/>
  <c r="O331" i="2"/>
  <c r="O332" i="2" s="1"/>
  <c r="O333" i="2" s="1"/>
  <c r="O334" i="2"/>
  <c r="O335" i="2" s="1"/>
  <c r="O336" i="2" s="1"/>
  <c r="O337" i="2" s="1"/>
  <c r="O338" i="2" s="1"/>
  <c r="O339" i="2" s="1"/>
  <c r="O340" i="2" s="1"/>
  <c r="O341" i="2" s="1"/>
  <c r="O342" i="2" s="1"/>
  <c r="O343" i="2" s="1"/>
  <c r="O344" i="2"/>
  <c r="O345" i="2" s="1"/>
  <c r="O346" i="2" s="1"/>
  <c r="O347" i="2"/>
  <c r="O348" i="2" s="1"/>
  <c r="O349" i="2" s="1"/>
  <c r="O350" i="2"/>
  <c r="O351" i="2" s="1"/>
  <c r="O352" i="2" s="1"/>
  <c r="O353" i="2" s="1"/>
  <c r="O354" i="2"/>
  <c r="O355" i="2"/>
  <c r="O356" i="2" s="1"/>
  <c r="O357" i="2" s="1"/>
  <c r="O358" i="2"/>
  <c r="O359" i="2" s="1"/>
  <c r="O360" i="2" s="1"/>
  <c r="O361" i="2" s="1"/>
  <c r="O362" i="2" s="1"/>
  <c r="O363" i="2" s="1"/>
  <c r="O364" i="2" s="1"/>
  <c r="O365" i="2"/>
  <c r="O366" i="2"/>
  <c r="O367" i="2" s="1"/>
  <c r="O368" i="2" s="1"/>
  <c r="O369" i="2" s="1"/>
  <c r="O370" i="2" s="1"/>
  <c r="O371" i="2" s="1"/>
  <c r="O372" i="2" s="1"/>
  <c r="O373" i="2" s="1"/>
  <c r="O374" i="2" s="1"/>
  <c r="O377" i="2"/>
  <c r="O378" i="2"/>
  <c r="O379" i="2" s="1"/>
  <c r="O380" i="2" s="1"/>
  <c r="O381" i="2"/>
  <c r="O382" i="2"/>
  <c r="O383" i="2" s="1"/>
  <c r="O384" i="2"/>
  <c r="O385" i="2" s="1"/>
  <c r="O386" i="2" s="1"/>
  <c r="O387" i="2" s="1"/>
  <c r="O388" i="2" s="1"/>
  <c r="O389" i="2" s="1"/>
  <c r="O390" i="2" s="1"/>
  <c r="O394" i="2"/>
  <c r="O395" i="2" s="1"/>
  <c r="O396" i="2" s="1"/>
  <c r="O397" i="2"/>
  <c r="O398" i="2"/>
  <c r="O399" i="2" s="1"/>
  <c r="O400" i="2" s="1"/>
  <c r="O401" i="2" s="1"/>
  <c r="O402" i="2" s="1"/>
  <c r="O403" i="2" s="1"/>
  <c r="O404" i="2" s="1"/>
  <c r="O405" i="2" s="1"/>
  <c r="O406" i="2" s="1"/>
  <c r="O428" i="2"/>
  <c r="O429" i="2" s="1"/>
  <c r="O430" i="2"/>
  <c r="O431" i="2" s="1"/>
  <c r="O432" i="2" s="1"/>
  <c r="O433" i="2"/>
  <c r="O434" i="2" s="1"/>
  <c r="O438" i="2"/>
  <c r="O439" i="2" s="1"/>
  <c r="O440" i="2" s="1"/>
  <c r="O441" i="2" s="1"/>
  <c r="O442" i="2" s="1"/>
  <c r="O443" i="2"/>
  <c r="O444" i="2" s="1"/>
  <c r="O445" i="2" s="1"/>
  <c r="O446" i="2"/>
  <c r="O447" i="2" s="1"/>
  <c r="O448" i="2" s="1"/>
  <c r="O449" i="2" s="1"/>
  <c r="O450" i="2" s="1"/>
  <c r="O451" i="2" s="1"/>
  <c r="O452" i="2" s="1"/>
  <c r="O453" i="2" s="1"/>
  <c r="O454" i="2" s="1"/>
  <c r="O455" i="2"/>
  <c r="O456" i="2" s="1"/>
  <c r="O457" i="2" s="1"/>
  <c r="O458" i="2" s="1"/>
  <c r="O463" i="2"/>
  <c r="O464" i="2"/>
  <c r="O465" i="2" s="1"/>
  <c r="O466" i="2"/>
  <c r="O467" i="2"/>
  <c r="O468" i="2" s="1"/>
  <c r="O469" i="2"/>
  <c r="O470" i="2" s="1"/>
  <c r="O474" i="2"/>
  <c r="O475" i="2" s="1"/>
  <c r="O476" i="2" s="1"/>
  <c r="O477" i="2"/>
  <c r="O478" i="2"/>
  <c r="O479" i="2"/>
  <c r="O480" i="2"/>
  <c r="O481" i="2" s="1"/>
  <c r="O482" i="2" s="1"/>
  <c r="O483" i="2"/>
  <c r="O484" i="2" s="1"/>
  <c r="O485" i="2" s="1"/>
  <c r="O486" i="2" s="1"/>
  <c r="O487" i="2"/>
  <c r="O488" i="2"/>
  <c r="O489" i="2" s="1"/>
  <c r="O490" i="2" s="1"/>
  <c r="O491" i="2" s="1"/>
  <c r="O492" i="2" s="1"/>
  <c r="O493" i="2"/>
  <c r="O494" i="2" s="1"/>
  <c r="O495" i="2" s="1"/>
  <c r="O496" i="2"/>
  <c r="O497" i="2" s="1"/>
  <c r="O498" i="2"/>
  <c r="O499" i="2"/>
  <c r="O500" i="2"/>
  <c r="O501" i="2" s="1"/>
  <c r="O502" i="2" s="1"/>
  <c r="O505" i="2"/>
  <c r="O506" i="2" s="1"/>
  <c r="O507" i="2"/>
  <c r="O508" i="2" s="1"/>
  <c r="O509" i="2"/>
  <c r="O510" i="2"/>
  <c r="O511" i="2" s="1"/>
  <c r="O512" i="2"/>
  <c r="O513" i="2" s="1"/>
  <c r="O514" i="2" s="1"/>
  <c r="O515" i="2"/>
  <c r="O516" i="2" s="1"/>
  <c r="O517" i="2" s="1"/>
  <c r="O518" i="2"/>
  <c r="O519" i="2" s="1"/>
  <c r="O520" i="2" s="1"/>
  <c r="O521" i="2"/>
  <c r="O522" i="2" s="1"/>
  <c r="O523" i="2" s="1"/>
  <c r="O524" i="2"/>
  <c r="O525" i="2"/>
  <c r="O526" i="2"/>
  <c r="O527" i="2" s="1"/>
  <c r="O528" i="2"/>
  <c r="O529" i="2" s="1"/>
  <c r="O530" i="2" s="1"/>
  <c r="O531" i="2"/>
  <c r="O532" i="2" s="1"/>
  <c r="O533" i="2" s="1"/>
  <c r="O534" i="2"/>
  <c r="O535" i="2" s="1"/>
  <c r="O536" i="2" s="1"/>
  <c r="O537" i="2" s="1"/>
  <c r="O538" i="2"/>
  <c r="O539" i="2"/>
  <c r="O540" i="2" s="1"/>
  <c r="O541" i="2" s="1"/>
  <c r="O542" i="2" s="1"/>
  <c r="O543" i="2" s="1"/>
  <c r="O544" i="2"/>
  <c r="O545" i="2" s="1"/>
  <c r="O546" i="2" s="1"/>
  <c r="O547" i="2" s="1"/>
  <c r="O548" i="2" s="1"/>
  <c r="O549" i="2" s="1"/>
  <c r="O550" i="2"/>
  <c r="O551" i="2" s="1"/>
  <c r="O552" i="2" s="1"/>
  <c r="O553" i="2"/>
  <c r="O554" i="2" s="1"/>
  <c r="O555" i="2" s="1"/>
  <c r="O556" i="2"/>
  <c r="O557" i="2" s="1"/>
  <c r="O558" i="2" s="1"/>
  <c r="O643" i="2"/>
  <c r="O644" i="2" s="1"/>
  <c r="O645" i="2" s="1"/>
  <c r="O646" i="2"/>
  <c r="O647" i="2"/>
  <c r="O648" i="2"/>
  <c r="O649" i="2" s="1"/>
  <c r="O650" i="2" s="1"/>
  <c r="O651" i="2"/>
  <c r="O652" i="2" s="1"/>
  <c r="O653" i="2" s="1"/>
  <c r="O654" i="2"/>
  <c r="O655" i="2" s="1"/>
  <c r="O656" i="2"/>
  <c r="O657" i="2" s="1"/>
  <c r="O658" i="2" s="1"/>
  <c r="O659" i="2"/>
  <c r="O660" i="2" s="1"/>
  <c r="O661" i="2" s="1"/>
  <c r="O662" i="2"/>
  <c r="O663" i="2"/>
  <c r="O664" i="2" s="1"/>
  <c r="O665" i="2" s="1"/>
  <c r="O666" i="2"/>
  <c r="O667" i="2" s="1"/>
  <c r="O668" i="2" s="1"/>
  <c r="O669" i="2"/>
  <c r="O670" i="2"/>
  <c r="O671" i="2" s="1"/>
  <c r="O672" i="2"/>
  <c r="O673" i="2" s="1"/>
  <c r="O674" i="2" s="1"/>
  <c r="O675" i="2"/>
  <c r="O676" i="2" s="1"/>
  <c r="O677" i="2" s="1"/>
  <c r="O678" i="2"/>
  <c r="O679" i="2" s="1"/>
  <c r="O680" i="2" s="1"/>
  <c r="O681" i="2"/>
  <c r="O682" i="2" s="1"/>
  <c r="O683" i="2"/>
  <c r="O684" i="2" s="1"/>
  <c r="O685" i="2"/>
  <c r="O686" i="2" s="1"/>
  <c r="O689" i="2"/>
  <c r="O690" i="2" s="1"/>
  <c r="O691" i="2" s="1"/>
  <c r="O692" i="2" s="1"/>
  <c r="O693" i="2"/>
  <c r="O694" i="2" s="1"/>
  <c r="O697" i="2"/>
  <c r="O698" i="2" s="1"/>
  <c r="O699" i="2" s="1"/>
  <c r="O700" i="2" s="1"/>
  <c r="O701" i="2"/>
  <c r="O702" i="2" s="1"/>
  <c r="O703" i="2"/>
  <c r="O704" i="2" s="1"/>
  <c r="O705" i="2" s="1"/>
  <c r="O706" i="2" s="1"/>
  <c r="O708" i="2"/>
  <c r="O709" i="2" s="1"/>
  <c r="O710" i="2" s="1"/>
  <c r="O714" i="2"/>
  <c r="O715" i="2" s="1"/>
  <c r="O716" i="2"/>
  <c r="O717" i="2" s="1"/>
  <c r="O718" i="2" s="1"/>
  <c r="O719" i="2" s="1"/>
  <c r="O720" i="2" s="1"/>
  <c r="O721" i="2" s="1"/>
  <c r="O722" i="2" s="1"/>
  <c r="O723" i="2" s="1"/>
  <c r="O724" i="2"/>
  <c r="O725" i="2" s="1"/>
  <c r="O726" i="2" s="1"/>
  <c r="O742" i="2"/>
  <c r="O743" i="2" s="1"/>
  <c r="O744" i="2"/>
  <c r="O745" i="2" s="1"/>
  <c r="O746" i="2" s="1"/>
  <c r="O747" i="2" s="1"/>
  <c r="O748" i="2"/>
  <c r="O749" i="2" s="1"/>
  <c r="O750" i="2"/>
  <c r="O751" i="2" s="1"/>
  <c r="O752" i="2"/>
  <c r="O753" i="2" s="1"/>
  <c r="O754" i="2"/>
  <c r="O755" i="2"/>
  <c r="O756" i="2" s="1"/>
  <c r="O757" i="2" s="1"/>
  <c r="O758" i="2"/>
  <c r="O759" i="2" s="1"/>
  <c r="O760" i="2" s="1"/>
  <c r="O761" i="2" s="1"/>
  <c r="O762" i="2" s="1"/>
  <c r="O763" i="2" s="1"/>
  <c r="O764" i="2" s="1"/>
  <c r="O765" i="2" s="1"/>
  <c r="O766" i="2"/>
  <c r="O767" i="2" s="1"/>
  <c r="O768" i="2"/>
  <c r="O769" i="2" s="1"/>
  <c r="O770" i="2" s="1"/>
  <c r="O771" i="2"/>
  <c r="O772" i="2" s="1"/>
  <c r="O773" i="2" s="1"/>
  <c r="O774" i="2" s="1"/>
  <c r="O775" i="2"/>
  <c r="O776" i="2" s="1"/>
  <c r="O777" i="2" s="1"/>
  <c r="O778" i="2" s="1"/>
  <c r="O779" i="2" s="1"/>
  <c r="O780" i="2" s="1"/>
  <c r="O781" i="2" s="1"/>
  <c r="O782" i="2"/>
  <c r="O783" i="2" s="1"/>
  <c r="O784" i="2" s="1"/>
  <c r="O785" i="2" s="1"/>
  <c r="O786" i="2"/>
  <c r="O787" i="2" s="1"/>
  <c r="O788" i="2" s="1"/>
  <c r="O789" i="2"/>
  <c r="O790" i="2" s="1"/>
  <c r="O792" i="2"/>
  <c r="O793" i="2" s="1"/>
  <c r="O794" i="2" s="1"/>
  <c r="O795" i="2"/>
  <c r="O796" i="2" s="1"/>
  <c r="O797" i="2" s="1"/>
  <c r="O798" i="2" s="1"/>
  <c r="O799" i="2"/>
  <c r="O800" i="2"/>
  <c r="O801" i="2" s="1"/>
  <c r="O802" i="2"/>
  <c r="O803" i="2"/>
  <c r="O804" i="2" s="1"/>
  <c r="O805" i="2"/>
  <c r="O806" i="2" s="1"/>
  <c r="O807" i="2"/>
  <c r="O808" i="2"/>
  <c r="O809" i="2" s="1"/>
  <c r="O810" i="2" s="1"/>
  <c r="O811" i="2"/>
  <c r="O812" i="2" s="1"/>
  <c r="O813" i="2" s="1"/>
  <c r="O814" i="2"/>
  <c r="O815" i="2" s="1"/>
  <c r="O816" i="2" s="1"/>
  <c r="O817" i="2"/>
  <c r="O818" i="2" s="1"/>
  <c r="O819" i="2" s="1"/>
  <c r="O820" i="2" s="1"/>
  <c r="O821" i="2"/>
  <c r="O822" i="2" s="1"/>
  <c r="O823" i="2" s="1"/>
  <c r="O824" i="2" s="1"/>
  <c r="O825" i="2" s="1"/>
  <c r="O826" i="2" s="1"/>
  <c r="O827" i="2" s="1"/>
  <c r="O828" i="2" s="1"/>
  <c r="O829" i="2" s="1"/>
  <c r="O830" i="2" s="1"/>
  <c r="O831" i="2" s="1"/>
  <c r="O832" i="2" s="1"/>
  <c r="O833" i="2" s="1"/>
  <c r="O834" i="2" s="1"/>
  <c r="O835" i="2" s="1"/>
  <c r="O836" i="2" s="1"/>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7" i="2"/>
  <c r="R8" i="2"/>
  <c r="R9" i="2"/>
  <c r="R10" i="2"/>
  <c r="R14" i="2"/>
  <c r="R15" i="2"/>
  <c r="R18" i="2"/>
  <c r="R42" i="2"/>
  <c r="R43" i="2"/>
  <c r="R57" i="2"/>
  <c r="R58" i="2"/>
  <c r="R61" i="2"/>
  <c r="R62" i="2"/>
  <c r="R64" i="2"/>
  <c r="R65" i="2"/>
  <c r="R76" i="2"/>
  <c r="R77" i="2"/>
  <c r="R79" i="2"/>
  <c r="R82" i="2"/>
  <c r="R83" i="2"/>
  <c r="R85" i="2"/>
  <c r="R86" i="2"/>
  <c r="R89" i="2"/>
  <c r="R94" i="2"/>
  <c r="R95" i="2"/>
  <c r="R99" i="2"/>
  <c r="R100" i="2"/>
  <c r="R103" i="2"/>
  <c r="R104" i="2"/>
  <c r="R106" i="2"/>
  <c r="R107" i="2"/>
  <c r="R114" i="2"/>
  <c r="R119" i="2"/>
  <c r="R120" i="2"/>
  <c r="R123" i="2"/>
  <c r="R124" i="2"/>
  <c r="R126" i="2"/>
  <c r="R130" i="2"/>
  <c r="R131" i="2"/>
  <c r="R133" i="2"/>
  <c r="R134" i="2"/>
  <c r="R136" i="2"/>
  <c r="R137" i="2"/>
  <c r="R139" i="2"/>
  <c r="R140" i="2"/>
  <c r="R142" i="2"/>
  <c r="R146" i="2"/>
  <c r="R148" i="2"/>
  <c r="R149" i="2"/>
  <c r="R151" i="2"/>
  <c r="R152" i="2"/>
  <c r="R154" i="2"/>
  <c r="R155" i="2"/>
  <c r="R157" i="2"/>
  <c r="R158" i="2"/>
  <c r="R162" i="2"/>
  <c r="R166" i="2"/>
  <c r="R169" i="2"/>
  <c r="R170" i="2"/>
  <c r="R172" i="2"/>
  <c r="R174" i="2"/>
  <c r="R177" i="2"/>
  <c r="R179" i="2"/>
  <c r="R182" i="2"/>
  <c r="R183" i="2"/>
  <c r="R185" i="2"/>
  <c r="R186" i="2"/>
  <c r="R189" i="2"/>
  <c r="R190" i="2"/>
  <c r="R192" i="2"/>
  <c r="R194" i="2"/>
  <c r="R198" i="2"/>
  <c r="R202" i="2"/>
  <c r="R205" i="2"/>
  <c r="R206" i="2"/>
  <c r="R209" i="2"/>
  <c r="R210" i="2"/>
  <c r="R212" i="2"/>
  <c r="R213" i="2"/>
  <c r="R214" i="2"/>
  <c r="R218" i="2"/>
  <c r="R219" i="2"/>
  <c r="R222" i="2"/>
  <c r="R224" i="2"/>
  <c r="R225" i="2"/>
  <c r="R226" i="2"/>
  <c r="R228" i="2"/>
  <c r="R229" i="2"/>
  <c r="R232" i="2"/>
  <c r="R234" i="2"/>
  <c r="R236" i="2"/>
  <c r="R247" i="2"/>
  <c r="R249" i="2"/>
  <c r="R250" i="2"/>
  <c r="R251" i="2"/>
  <c r="R253" i="2"/>
  <c r="R255" i="2"/>
  <c r="R261" i="2"/>
  <c r="R262" i="2"/>
  <c r="R263" i="2"/>
  <c r="R265" i="2"/>
  <c r="R266" i="2"/>
  <c r="R268" i="2"/>
  <c r="R269" i="2"/>
  <c r="R271" i="2"/>
  <c r="R272" i="2"/>
  <c r="R274" i="2"/>
  <c r="R276" i="2"/>
  <c r="R277" i="2"/>
  <c r="R278" i="2"/>
  <c r="R280" i="2"/>
  <c r="R283" i="2"/>
  <c r="R284" i="2"/>
  <c r="R288" i="2"/>
  <c r="R291" i="2"/>
  <c r="R292" i="2"/>
  <c r="R301" i="2"/>
  <c r="R302" i="2"/>
  <c r="R307" i="2"/>
  <c r="R308" i="2"/>
  <c r="R317" i="2"/>
  <c r="R318" i="2"/>
  <c r="R320" i="2"/>
  <c r="R321" i="2"/>
  <c r="R322" i="2"/>
  <c r="R327" i="2"/>
  <c r="R328" i="2"/>
  <c r="R330" i="2"/>
  <c r="R332" i="2"/>
  <c r="R333" i="2"/>
  <c r="R334" i="2"/>
  <c r="R338" i="2"/>
  <c r="R342" i="2"/>
  <c r="R343" i="2"/>
  <c r="R345" i="2"/>
  <c r="R346" i="2"/>
  <c r="R348" i="2"/>
  <c r="R349" i="2"/>
  <c r="R352" i="2"/>
  <c r="R353" i="2"/>
  <c r="R354" i="2"/>
  <c r="R356" i="2"/>
  <c r="R357" i="2"/>
  <c r="R363" i="2"/>
  <c r="R364" i="2"/>
  <c r="R366" i="2"/>
  <c r="R375" i="2"/>
  <c r="R376" i="2"/>
  <c r="R378" i="2"/>
  <c r="R379" i="2"/>
  <c r="R380" i="2"/>
  <c r="R382" i="2"/>
  <c r="R383" i="2"/>
  <c r="R386" i="2"/>
  <c r="R392" i="2"/>
  <c r="R393" i="2"/>
  <c r="R395" i="2"/>
  <c r="R396" i="2"/>
  <c r="R398" i="2"/>
  <c r="R402" i="2"/>
  <c r="R427" i="2"/>
  <c r="R429" i="2"/>
  <c r="R431" i="2"/>
  <c r="R432" i="2"/>
  <c r="R436" i="2"/>
  <c r="R437" i="2"/>
  <c r="R438" i="2"/>
  <c r="R441" i="2"/>
  <c r="R442" i="2"/>
  <c r="R444" i="2"/>
  <c r="R445" i="2"/>
  <c r="R454" i="2"/>
  <c r="R461" i="2"/>
  <c r="R462" i="2"/>
  <c r="R464" i="2"/>
  <c r="R465" i="2"/>
  <c r="R467" i="2"/>
  <c r="R468" i="2"/>
  <c r="R473" i="2"/>
  <c r="R474" i="2"/>
  <c r="R475" i="2"/>
  <c r="R476" i="2"/>
  <c r="R478" i="2"/>
  <c r="R481" i="2"/>
  <c r="R482" i="2"/>
  <c r="R485" i="2"/>
  <c r="R486" i="2"/>
  <c r="R490" i="2"/>
  <c r="R492" i="2"/>
  <c r="R495" i="2"/>
  <c r="R497" i="2"/>
  <c r="R498" i="2"/>
  <c r="R499" i="2"/>
  <c r="R503" i="2"/>
  <c r="R504" i="2"/>
  <c r="R506" i="2"/>
  <c r="R508" i="2"/>
  <c r="R510" i="2"/>
  <c r="R511" i="2"/>
  <c r="R513" i="2"/>
  <c r="R514" i="2"/>
  <c r="R516" i="2"/>
  <c r="R517" i="2"/>
  <c r="R519" i="2"/>
  <c r="R520" i="2"/>
  <c r="R522" i="2"/>
  <c r="R523" i="2"/>
  <c r="R526" i="2"/>
  <c r="R527" i="2"/>
  <c r="R529" i="2"/>
  <c r="R530" i="2"/>
  <c r="R532" i="2"/>
  <c r="R533" i="2"/>
  <c r="R534" i="2"/>
  <c r="R536" i="2"/>
  <c r="R537" i="2"/>
  <c r="R538" i="2"/>
  <c r="R542" i="2"/>
  <c r="R543" i="2"/>
  <c r="R548" i="2"/>
  <c r="R549" i="2"/>
  <c r="R551" i="2"/>
  <c r="R552" i="2"/>
  <c r="R554" i="2"/>
  <c r="R555" i="2"/>
  <c r="R642" i="2"/>
  <c r="R645" i="2"/>
  <c r="R646" i="2"/>
  <c r="R649" i="2"/>
  <c r="R650" i="2"/>
  <c r="R652" i="2"/>
  <c r="R653" i="2"/>
  <c r="R654" i="2"/>
  <c r="R658" i="2"/>
  <c r="R661" i="2"/>
  <c r="R662" i="2"/>
  <c r="R665" i="2"/>
  <c r="R666" i="2"/>
  <c r="R667" i="2"/>
  <c r="R668" i="2"/>
  <c r="R670" i="2"/>
  <c r="R671" i="2"/>
  <c r="R673" i="2"/>
  <c r="R674" i="2"/>
  <c r="R676" i="2"/>
  <c r="R677" i="2"/>
  <c r="R680" i="2"/>
  <c r="R682" i="2"/>
  <c r="R684" i="2"/>
  <c r="R687" i="2"/>
  <c r="R688" i="2"/>
  <c r="R690" i="2"/>
  <c r="R691" i="2"/>
  <c r="R692" i="2"/>
  <c r="R695" i="2"/>
  <c r="R696" i="2"/>
  <c r="R699" i="2"/>
  <c r="R700" i="2"/>
  <c r="R702" i="2"/>
  <c r="R707" i="2"/>
  <c r="R713" i="2"/>
  <c r="R715" i="2"/>
  <c r="R722" i="2"/>
  <c r="R723" i="2"/>
  <c r="R740" i="2"/>
  <c r="R741" i="2"/>
  <c r="R743" i="2"/>
  <c r="R746" i="2"/>
  <c r="R747" i="2"/>
  <c r="R749" i="2"/>
  <c r="R750" i="2"/>
  <c r="R751" i="2"/>
  <c r="R753" i="2"/>
  <c r="R754" i="2"/>
  <c r="R757" i="2"/>
  <c r="R765" i="2"/>
  <c r="R766" i="2"/>
  <c r="R767" i="2"/>
  <c r="R769" i="2"/>
  <c r="R770" i="2"/>
  <c r="R773" i="2"/>
  <c r="R774" i="2"/>
  <c r="R780" i="2"/>
  <c r="R781" i="2"/>
  <c r="R784" i="2"/>
  <c r="R785" i="2"/>
  <c r="R786" i="2"/>
  <c r="R787" i="2"/>
  <c r="R788" i="2"/>
  <c r="R791" i="2"/>
  <c r="R793" i="2"/>
  <c r="R794" i="2"/>
  <c r="R797" i="2"/>
  <c r="R798" i="2"/>
  <c r="R800" i="2"/>
  <c r="R801" i="2"/>
  <c r="R803" i="2"/>
  <c r="R804" i="2"/>
  <c r="R806" i="2"/>
  <c r="R809" i="2"/>
  <c r="R810" i="2"/>
  <c r="R812" i="2"/>
  <c r="R813" i="2"/>
  <c r="R815" i="2"/>
  <c r="R816" i="2"/>
  <c r="R819" i="2"/>
  <c r="R820" i="2"/>
  <c r="P8" i="2"/>
  <c r="P9" i="2"/>
  <c r="P14" i="2"/>
  <c r="P15" i="2"/>
  <c r="P42" i="2"/>
  <c r="P43" i="2"/>
  <c r="P57" i="2"/>
  <c r="P58" i="2"/>
  <c r="P61" i="2"/>
  <c r="P62" i="2"/>
  <c r="P64" i="2"/>
  <c r="P65" i="2"/>
  <c r="P76" i="2"/>
  <c r="P77" i="2"/>
  <c r="P79" i="2"/>
  <c r="P82" i="2"/>
  <c r="P83" i="2"/>
  <c r="P85" i="2"/>
  <c r="P86" i="2"/>
  <c r="P89" i="2"/>
  <c r="P94" i="2"/>
  <c r="P95" i="2"/>
  <c r="P99" i="2"/>
  <c r="P100" i="2"/>
  <c r="P103" i="2"/>
  <c r="P104" i="2"/>
  <c r="P106" i="2"/>
  <c r="P107" i="2"/>
  <c r="P119" i="2"/>
  <c r="P120" i="2"/>
  <c r="P123" i="2"/>
  <c r="P124" i="2"/>
  <c r="P130" i="2"/>
  <c r="P131" i="2"/>
  <c r="P133" i="2"/>
  <c r="P134" i="2"/>
  <c r="P136" i="2"/>
  <c r="P137" i="2"/>
  <c r="P139" i="2"/>
  <c r="P140" i="2"/>
  <c r="P148" i="2"/>
  <c r="P149" i="2"/>
  <c r="P151" i="2"/>
  <c r="P152" i="2"/>
  <c r="P154" i="2"/>
  <c r="P155" i="2"/>
  <c r="P157" i="2"/>
  <c r="P158" i="2"/>
  <c r="P166" i="2"/>
  <c r="P169" i="2"/>
  <c r="P172" i="2"/>
  <c r="P174" i="2"/>
  <c r="P177" i="2"/>
  <c r="P179" i="2"/>
  <c r="P182" i="2"/>
  <c r="P183" i="2"/>
  <c r="P185" i="2"/>
  <c r="P186" i="2"/>
  <c r="P187" i="2"/>
  <c r="P189" i="2"/>
  <c r="P190" i="2"/>
  <c r="P192" i="2"/>
  <c r="P202" i="2"/>
  <c r="P205" i="2"/>
  <c r="P206" i="2"/>
  <c r="P209" i="2"/>
  <c r="P210" i="2"/>
  <c r="P212" i="2"/>
  <c r="P213" i="2"/>
  <c r="P218" i="2"/>
  <c r="P219" i="2"/>
  <c r="P224" i="2"/>
  <c r="P225" i="2"/>
  <c r="P228" i="2"/>
  <c r="P229" i="2"/>
  <c r="P232" i="2"/>
  <c r="P236" i="2"/>
  <c r="P247" i="2"/>
  <c r="P249" i="2"/>
  <c r="P251" i="2"/>
  <c r="P253" i="2"/>
  <c r="P255" i="2"/>
  <c r="P261" i="2"/>
  <c r="P263" i="2"/>
  <c r="P265" i="2"/>
  <c r="P266" i="2"/>
  <c r="P268" i="2"/>
  <c r="P269" i="2"/>
  <c r="P271" i="2"/>
  <c r="P272" i="2"/>
  <c r="P276" i="2"/>
  <c r="P277" i="2"/>
  <c r="P280" i="2"/>
  <c r="P283" i="2"/>
  <c r="P284" i="2"/>
  <c r="P288" i="2"/>
  <c r="P291" i="2"/>
  <c r="P292" i="2"/>
  <c r="P301" i="2"/>
  <c r="P302" i="2"/>
  <c r="P307" i="2"/>
  <c r="P308" i="2"/>
  <c r="P317" i="2"/>
  <c r="P318" i="2"/>
  <c r="P320" i="2"/>
  <c r="P321" i="2"/>
  <c r="P327" i="2"/>
  <c r="P328" i="2"/>
  <c r="P330" i="2"/>
  <c r="P332" i="2"/>
  <c r="P333" i="2"/>
  <c r="P342" i="2"/>
  <c r="P343" i="2"/>
  <c r="P345" i="2"/>
  <c r="P346" i="2"/>
  <c r="P348" i="2"/>
  <c r="P349" i="2"/>
  <c r="P352" i="2"/>
  <c r="P353" i="2"/>
  <c r="P356" i="2"/>
  <c r="P357" i="2"/>
  <c r="P363" i="2"/>
  <c r="P364" i="2"/>
  <c r="P375" i="2"/>
  <c r="P376" i="2"/>
  <c r="P379" i="2"/>
  <c r="P380" i="2"/>
  <c r="P382" i="2"/>
  <c r="P383" i="2"/>
  <c r="P392" i="2"/>
  <c r="P393" i="2"/>
  <c r="P395" i="2"/>
  <c r="P396" i="2"/>
  <c r="P427" i="2"/>
  <c r="P429" i="2"/>
  <c r="P431" i="2"/>
  <c r="P432" i="2"/>
  <c r="P436" i="2"/>
  <c r="P437" i="2"/>
  <c r="P441" i="2"/>
  <c r="P442" i="2"/>
  <c r="P444" i="2"/>
  <c r="P445" i="2"/>
  <c r="P454" i="2"/>
  <c r="P461" i="2"/>
  <c r="P462" i="2"/>
  <c r="P464" i="2"/>
  <c r="P465" i="2"/>
  <c r="P467" i="2"/>
  <c r="P468" i="2"/>
  <c r="P473" i="2"/>
  <c r="P475" i="2"/>
  <c r="P476" i="2"/>
  <c r="P478" i="2"/>
  <c r="P481" i="2"/>
  <c r="P482" i="2"/>
  <c r="P485" i="2"/>
  <c r="P486" i="2"/>
  <c r="P492" i="2"/>
  <c r="P495" i="2"/>
  <c r="P497" i="2"/>
  <c r="P499" i="2"/>
  <c r="P503" i="2"/>
  <c r="P504" i="2"/>
  <c r="P506" i="2"/>
  <c r="P508" i="2"/>
  <c r="P510" i="2"/>
  <c r="P511" i="2"/>
  <c r="P513" i="2"/>
  <c r="P514" i="2"/>
  <c r="P516" i="2"/>
  <c r="P517" i="2"/>
  <c r="P519" i="2"/>
  <c r="P520" i="2"/>
  <c r="P522" i="2"/>
  <c r="P523" i="2"/>
  <c r="P526" i="2"/>
  <c r="P527" i="2"/>
  <c r="P529" i="2"/>
  <c r="P530" i="2"/>
  <c r="P532" i="2"/>
  <c r="P533" i="2"/>
  <c r="P536" i="2"/>
  <c r="P537" i="2"/>
  <c r="P542" i="2"/>
  <c r="P543" i="2"/>
  <c r="P548" i="2"/>
  <c r="P549" i="2"/>
  <c r="P551" i="2"/>
  <c r="P552" i="2"/>
  <c r="P554" i="2"/>
  <c r="P555" i="2"/>
  <c r="P642" i="2"/>
  <c r="P645" i="2"/>
  <c r="P646" i="2"/>
  <c r="P649" i="2"/>
  <c r="P650" i="2"/>
  <c r="P652" i="2"/>
  <c r="P653" i="2"/>
  <c r="P658" i="2"/>
  <c r="P661" i="2"/>
  <c r="P662" i="2"/>
  <c r="P665" i="2"/>
  <c r="P667" i="2"/>
  <c r="P668" i="2"/>
  <c r="P670" i="2"/>
  <c r="P671" i="2"/>
  <c r="P673" i="2"/>
  <c r="P674" i="2"/>
  <c r="P676" i="2"/>
  <c r="P677" i="2"/>
  <c r="P680" i="2"/>
  <c r="P684" i="2"/>
  <c r="P687" i="2"/>
  <c r="P688" i="2"/>
  <c r="P691" i="2"/>
  <c r="P692" i="2"/>
  <c r="P695" i="2"/>
  <c r="P696" i="2"/>
  <c r="P699" i="2"/>
  <c r="P700" i="2"/>
  <c r="P702" i="2"/>
  <c r="P707" i="2"/>
  <c r="P713" i="2"/>
  <c r="P715" i="2"/>
  <c r="P722" i="2"/>
  <c r="P723" i="2"/>
  <c r="P740" i="2"/>
  <c r="P741" i="2"/>
  <c r="P743" i="2"/>
  <c r="P747" i="2"/>
  <c r="P749" i="2"/>
  <c r="P751" i="2"/>
  <c r="P753" i="2"/>
  <c r="P757" i="2"/>
  <c r="P765" i="2"/>
  <c r="P767" i="2"/>
  <c r="P769" i="2"/>
  <c r="P770" i="2"/>
  <c r="P773" i="2"/>
  <c r="P774" i="2"/>
  <c r="P780" i="2"/>
  <c r="P781" i="2"/>
  <c r="P784" i="2"/>
  <c r="P785" i="2"/>
  <c r="P787" i="2"/>
  <c r="P788" i="2"/>
  <c r="P791" i="2"/>
  <c r="P793" i="2"/>
  <c r="P794" i="2"/>
  <c r="P797" i="2"/>
  <c r="P798" i="2"/>
  <c r="P800" i="2"/>
  <c r="P801" i="2"/>
  <c r="P803" i="2"/>
  <c r="P804" i="2"/>
  <c r="P806" i="2"/>
  <c r="P809" i="2"/>
  <c r="P810" i="2"/>
  <c r="P812" i="2"/>
  <c r="P813" i="2"/>
  <c r="P815" i="2"/>
  <c r="P816" i="2"/>
  <c r="P819" i="2"/>
  <c r="P820" i="2"/>
  <c r="P822" i="2"/>
  <c r="P823" i="2"/>
  <c r="P824" i="2"/>
  <c r="R394" i="2"/>
  <c r="N10" i="2"/>
  <c r="N11" i="2" s="1"/>
  <c r="P11" i="2" s="1"/>
  <c r="N16" i="2"/>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c r="P44" i="2" s="1"/>
  <c r="N59" i="2"/>
  <c r="P59" i="2" s="1"/>
  <c r="N63" i="2"/>
  <c r="N64" i="2" s="1"/>
  <c r="N65" i="2" s="1"/>
  <c r="N66" i="2"/>
  <c r="N67" i="2" s="1"/>
  <c r="N68" i="2" s="1"/>
  <c r="N69" i="2" s="1"/>
  <c r="N70" i="2" s="1"/>
  <c r="N71" i="2" s="1"/>
  <c r="N72" i="2" s="1"/>
  <c r="N73" i="2" s="1"/>
  <c r="N74" i="2" s="1"/>
  <c r="N75" i="2" s="1"/>
  <c r="N76" i="2" s="1"/>
  <c r="N77" i="2" s="1"/>
  <c r="N78" i="2"/>
  <c r="N79" i="2" s="1"/>
  <c r="N80" i="2" s="1"/>
  <c r="N81" i="2" s="1"/>
  <c r="N82" i="2" s="1"/>
  <c r="N83" i="2" s="1"/>
  <c r="N84" i="2"/>
  <c r="N85" i="2" s="1"/>
  <c r="N86" i="2" s="1"/>
  <c r="N87" i="2"/>
  <c r="N88" i="2" s="1"/>
  <c r="N89" i="2" s="1"/>
  <c r="N90" i="2" s="1"/>
  <c r="N91" i="2" s="1"/>
  <c r="N92" i="2" s="1"/>
  <c r="N93" i="2" s="1"/>
  <c r="N94" i="2" s="1"/>
  <c r="N95" i="2" s="1"/>
  <c r="N96" i="2"/>
  <c r="N97" i="2" s="1"/>
  <c r="N98" i="2" s="1"/>
  <c r="N99" i="2" s="1"/>
  <c r="N100" i="2" s="1"/>
  <c r="N101" i="2"/>
  <c r="P101" i="2" s="1"/>
  <c r="N105" i="2"/>
  <c r="N106" i="2" s="1"/>
  <c r="N107" i="2" s="1"/>
  <c r="N108" i="2"/>
  <c r="N109" i="2" s="1"/>
  <c r="N110" i="2" s="1"/>
  <c r="N111" i="2" s="1"/>
  <c r="N112" i="2" s="1"/>
  <c r="N113" i="2" s="1"/>
  <c r="N114" i="2" s="1"/>
  <c r="N115" i="2" s="1"/>
  <c r="N116" i="2" s="1"/>
  <c r="N117" i="2" s="1"/>
  <c r="N118" i="2" s="1"/>
  <c r="N119" i="2" s="1"/>
  <c r="N120" i="2" s="1"/>
  <c r="N121" i="2"/>
  <c r="N122" i="2" s="1"/>
  <c r="N123" i="2" s="1"/>
  <c r="N124" i="2" s="1"/>
  <c r="N125" i="2"/>
  <c r="N126" i="2" s="1"/>
  <c r="N127" i="2" s="1"/>
  <c r="N128" i="2" s="1"/>
  <c r="N129" i="2" s="1"/>
  <c r="N130" i="2" s="1"/>
  <c r="N131" i="2" s="1"/>
  <c r="N132" i="2"/>
  <c r="P132" i="2" s="1"/>
  <c r="N135" i="2"/>
  <c r="N136" i="2" s="1"/>
  <c r="N137" i="2" s="1"/>
  <c r="N138" i="2"/>
  <c r="N139" i="2" s="1"/>
  <c r="N140" i="2" s="1"/>
  <c r="N141" i="2"/>
  <c r="N142" i="2" s="1"/>
  <c r="N143" i="2" s="1"/>
  <c r="N144" i="2" s="1"/>
  <c r="N145" i="2" s="1"/>
  <c r="N146" i="2" s="1"/>
  <c r="N147" i="2" s="1"/>
  <c r="N148" i="2" s="1"/>
  <c r="N149" i="2" s="1"/>
  <c r="N150" i="2"/>
  <c r="N151" i="2" s="1"/>
  <c r="N152" i="2" s="1"/>
  <c r="N153" i="2"/>
  <c r="P153" i="2" s="1"/>
  <c r="N156" i="2"/>
  <c r="N157" i="2" s="1"/>
  <c r="N158" i="2" s="1"/>
  <c r="N159" i="2"/>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c r="N185" i="2" s="1"/>
  <c r="N186" i="2" s="1"/>
  <c r="N187" i="2"/>
  <c r="N188" i="2" s="1"/>
  <c r="N189" i="2" s="1"/>
  <c r="N190" i="2" s="1"/>
  <c r="N191" i="2"/>
  <c r="N192" i="2" s="1"/>
  <c r="N193" i="2" s="1"/>
  <c r="N194" i="2" s="1"/>
  <c r="N195" i="2" s="1"/>
  <c r="N196" i="2" s="1"/>
  <c r="N197" i="2" s="1"/>
  <c r="N198" i="2" s="1"/>
  <c r="N199" i="2" s="1"/>
  <c r="N200" i="2" s="1"/>
  <c r="N201" i="2" s="1"/>
  <c r="N202" i="2" s="1"/>
  <c r="N203" i="2" s="1"/>
  <c r="N204" i="2" s="1"/>
  <c r="N205" i="2" s="1"/>
  <c r="N206" i="2" s="1"/>
  <c r="N207" i="2"/>
  <c r="N208" i="2" s="1"/>
  <c r="N209" i="2" s="1"/>
  <c r="N210" i="2" s="1"/>
  <c r="N211" i="2"/>
  <c r="N212" i="2" s="1"/>
  <c r="N213" i="2" s="1"/>
  <c r="N214" i="2"/>
  <c r="N215" i="2" s="1"/>
  <c r="N216" i="2" s="1"/>
  <c r="N217" i="2" s="1"/>
  <c r="N218" i="2" s="1"/>
  <c r="N219" i="2" s="1"/>
  <c r="N220" i="2"/>
  <c r="N221" i="2" s="1"/>
  <c r="N222" i="2" s="1"/>
  <c r="N223" i="2" s="1"/>
  <c r="N224" i="2" s="1"/>
  <c r="N225" i="2" s="1"/>
  <c r="N226" i="2"/>
  <c r="N227" i="2" s="1"/>
  <c r="N228" i="2" s="1"/>
  <c r="N229" i="2" s="1"/>
  <c r="N230" i="2"/>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c r="N268" i="2" s="1"/>
  <c r="N269" i="2" s="1"/>
  <c r="N270" i="2"/>
  <c r="N271" i="2" s="1"/>
  <c r="N272" i="2" s="1"/>
  <c r="N273" i="2"/>
  <c r="N274" i="2" s="1"/>
  <c r="N275" i="2" s="1"/>
  <c r="N276" i="2" s="1"/>
  <c r="N277" i="2" s="1"/>
  <c r="N278" i="2"/>
  <c r="N279" i="2" s="1"/>
  <c r="N280" i="2" s="1"/>
  <c r="N281" i="2" s="1"/>
  <c r="N282" i="2" s="1"/>
  <c r="N283" i="2" s="1"/>
  <c r="N284" i="2" s="1"/>
  <c r="N285" i="2"/>
  <c r="N286" i="2" s="1"/>
  <c r="N287" i="2" s="1"/>
  <c r="N288" i="2" s="1"/>
  <c r="N289" i="2" s="1"/>
  <c r="N290" i="2" s="1"/>
  <c r="N291" i="2" s="1"/>
  <c r="N292" i="2" s="1"/>
  <c r="N293" i="2"/>
  <c r="P293" i="2" s="1"/>
  <c r="N303" i="2"/>
  <c r="N304" i="2" s="1"/>
  <c r="N305" i="2" s="1"/>
  <c r="N306" i="2" s="1"/>
  <c r="N307" i="2" s="1"/>
  <c r="N308" i="2" s="1"/>
  <c r="N309" i="2"/>
  <c r="N310" i="2" s="1"/>
  <c r="N311" i="2" s="1"/>
  <c r="N312" i="2" s="1"/>
  <c r="N313" i="2" s="1"/>
  <c r="N314" i="2" s="1"/>
  <c r="N315" i="2" s="1"/>
  <c r="N316" i="2" s="1"/>
  <c r="N317" i="2" s="1"/>
  <c r="N318" i="2" s="1"/>
  <c r="N319" i="2"/>
  <c r="N320" i="2" s="1"/>
  <c r="N321" i="2" s="1"/>
  <c r="N322" i="2"/>
  <c r="N323" i="2" s="1"/>
  <c r="N324" i="2" s="1"/>
  <c r="N325" i="2" s="1"/>
  <c r="N326" i="2" s="1"/>
  <c r="N327" i="2" s="1"/>
  <c r="N328" i="2" s="1"/>
  <c r="N329" i="2"/>
  <c r="N330" i="2" s="1"/>
  <c r="N331" i="2" s="1"/>
  <c r="N332" i="2" s="1"/>
  <c r="N333" i="2" s="1"/>
  <c r="N334" i="2"/>
  <c r="N335" i="2" s="1"/>
  <c r="N336" i="2" s="1"/>
  <c r="N337" i="2" s="1"/>
  <c r="N338" i="2" s="1"/>
  <c r="N339" i="2" s="1"/>
  <c r="N340" i="2" s="1"/>
  <c r="N341" i="2" s="1"/>
  <c r="N342" i="2" s="1"/>
  <c r="N343" i="2" s="1"/>
  <c r="N344" i="2"/>
  <c r="N345" i="2" s="1"/>
  <c r="N346" i="2" s="1"/>
  <c r="N347" i="2"/>
  <c r="N348" i="2" s="1"/>
  <c r="N349" i="2" s="1"/>
  <c r="N350" i="2"/>
  <c r="N351" i="2" s="1"/>
  <c r="N352" i="2" s="1"/>
  <c r="N353" i="2" s="1"/>
  <c r="N354" i="2"/>
  <c r="N355" i="2" s="1"/>
  <c r="N356" i="2" s="1"/>
  <c r="N357" i="2" s="1"/>
  <c r="N358" i="2"/>
  <c r="P358" i="2" s="1"/>
  <c r="N365" i="2"/>
  <c r="N366" i="2" s="1"/>
  <c r="N367" i="2" s="1"/>
  <c r="N368" i="2" s="1"/>
  <c r="N369" i="2" s="1"/>
  <c r="N370" i="2" s="1"/>
  <c r="N371" i="2" s="1"/>
  <c r="N372" i="2" s="1"/>
  <c r="N373" i="2" s="1"/>
  <c r="N374" i="2" s="1"/>
  <c r="N375" i="2" s="1"/>
  <c r="N376" i="2" s="1"/>
  <c r="N377" i="2"/>
  <c r="N378" i="2" s="1"/>
  <c r="N379" i="2" s="1"/>
  <c r="N380" i="2" s="1"/>
  <c r="N381" i="2"/>
  <c r="N382" i="2" s="1"/>
  <c r="N383" i="2" s="1"/>
  <c r="N384" i="2"/>
  <c r="N385" i="2" s="1"/>
  <c r="N386" i="2" s="1"/>
  <c r="N387" i="2" s="1"/>
  <c r="N388" i="2" s="1"/>
  <c r="N389" i="2" s="1"/>
  <c r="N390" i="2" s="1"/>
  <c r="N391" i="2" s="1"/>
  <c r="N392" i="2" s="1"/>
  <c r="N393" i="2" s="1"/>
  <c r="N394" i="2"/>
  <c r="N395" i="2" s="1"/>
  <c r="N396" i="2" s="1"/>
  <c r="N397" i="2"/>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c r="N434" i="2" s="1"/>
  <c r="N435" i="2" s="1"/>
  <c r="N436" i="2" s="1"/>
  <c r="N437" i="2" s="1"/>
  <c r="N438" i="2"/>
  <c r="N439" i="2" s="1"/>
  <c r="N440" i="2" s="1"/>
  <c r="N441" i="2" s="1"/>
  <c r="N442" i="2" s="1"/>
  <c r="N443" i="2"/>
  <c r="N444" i="2" s="1"/>
  <c r="N445" i="2" s="1"/>
  <c r="N446" i="2"/>
  <c r="N447" i="2" s="1"/>
  <c r="N448" i="2" s="1"/>
  <c r="N449" i="2" s="1"/>
  <c r="N450" i="2" s="1"/>
  <c r="N451" i="2" s="1"/>
  <c r="N452" i="2" s="1"/>
  <c r="N453" i="2" s="1"/>
  <c r="N454" i="2" s="1"/>
  <c r="N455" i="2" s="1"/>
  <c r="N456" i="2" s="1"/>
  <c r="N457" i="2" s="1"/>
  <c r="N458" i="2" s="1"/>
  <c r="N459" i="2" s="1"/>
  <c r="N460" i="2" s="1"/>
  <c r="N461" i="2" s="1"/>
  <c r="N462" i="2" s="1"/>
  <c r="N463" i="2"/>
  <c r="N464" i="2" s="1"/>
  <c r="N465" i="2" s="1"/>
  <c r="N466" i="2"/>
  <c r="N467" i="2" s="1"/>
  <c r="N468" i="2" s="1"/>
  <c r="N469" i="2"/>
  <c r="N470" i="2" s="1"/>
  <c r="N471" i="2" s="1"/>
  <c r="N472" i="2" s="1"/>
  <c r="N473" i="2" s="1"/>
  <c r="N474" i="2" s="1"/>
  <c r="N475" i="2" s="1"/>
  <c r="N476" i="2" s="1"/>
  <c r="N477" i="2"/>
  <c r="N478" i="2" s="1"/>
  <c r="N479" i="2" s="1"/>
  <c r="N483" i="2"/>
  <c r="N484" i="2" s="1"/>
  <c r="N485" i="2" s="1"/>
  <c r="N486" i="2" s="1"/>
  <c r="N487" i="2"/>
  <c r="N488" i="2" s="1"/>
  <c r="N489" i="2" s="1"/>
  <c r="N490" i="2" s="1"/>
  <c r="N491" i="2" s="1"/>
  <c r="N492" i="2" s="1"/>
  <c r="N493" i="2" s="1"/>
  <c r="N494" i="2" s="1"/>
  <c r="N495" i="2" s="1"/>
  <c r="N496" i="2" s="1"/>
  <c r="N497" i="2" s="1"/>
  <c r="N498" i="2" s="1"/>
  <c r="N499" i="2" s="1"/>
  <c r="N500" i="2" s="1"/>
  <c r="N501" i="2" s="1"/>
  <c r="N502" i="2" s="1"/>
  <c r="N503" i="2" s="1"/>
  <c r="N504" i="2" s="1"/>
  <c r="N505" i="2"/>
  <c r="N506" i="2" s="1"/>
  <c r="N507" i="2" s="1"/>
  <c r="N508" i="2" s="1"/>
  <c r="N509" i="2" s="1"/>
  <c r="N510" i="2" s="1"/>
  <c r="N511" i="2" s="1"/>
  <c r="N512" i="2"/>
  <c r="N513" i="2" s="1"/>
  <c r="N514" i="2" s="1"/>
  <c r="N515" i="2"/>
  <c r="N516" i="2" s="1"/>
  <c r="N517" i="2" s="1"/>
  <c r="N518" i="2"/>
  <c r="N519" i="2" s="1"/>
  <c r="N520" i="2" s="1"/>
  <c r="N521" i="2"/>
  <c r="N522" i="2" s="1"/>
  <c r="N523" i="2" s="1"/>
  <c r="N524" i="2"/>
  <c r="N525" i="2" s="1"/>
  <c r="N526" i="2" s="1"/>
  <c r="N527" i="2" s="1"/>
  <c r="N528" i="2"/>
  <c r="N529" i="2" s="1"/>
  <c r="N530" i="2" s="1"/>
  <c r="N531" i="2"/>
  <c r="N532" i="2" s="1"/>
  <c r="N533" i="2" s="1"/>
  <c r="N534" i="2"/>
  <c r="N535" i="2" s="1"/>
  <c r="N536" i="2" s="1"/>
  <c r="N537" i="2" s="1"/>
  <c r="N538" i="2"/>
  <c r="N539" i="2" s="1"/>
  <c r="N540" i="2" s="1"/>
  <c r="N541" i="2" s="1"/>
  <c r="N542" i="2" s="1"/>
  <c r="N543" i="2" s="1"/>
  <c r="N544" i="2"/>
  <c r="N545" i="2" s="1"/>
  <c r="N546" i="2" s="1"/>
  <c r="N547" i="2" s="1"/>
  <c r="N548" i="2" s="1"/>
  <c r="N549" i="2" s="1"/>
  <c r="N550" i="2"/>
  <c r="N551" i="2" s="1"/>
  <c r="N552" i="2" s="1"/>
  <c r="N553" i="2"/>
  <c r="P553" i="2" s="1"/>
  <c r="N556" i="2"/>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N578" i="2" s="1"/>
  <c r="N579" i="2" s="1"/>
  <c r="N580" i="2" s="1"/>
  <c r="N581" i="2" s="1"/>
  <c r="N582" i="2" s="1"/>
  <c r="N583" i="2" s="1"/>
  <c r="N584" i="2" s="1"/>
  <c r="N585" i="2" s="1"/>
  <c r="N586" i="2" s="1"/>
  <c r="N587" i="2" s="1"/>
  <c r="N588" i="2" s="1"/>
  <c r="N589" i="2" s="1"/>
  <c r="N590" i="2" s="1"/>
  <c r="N591" i="2" s="1"/>
  <c r="N592" i="2" s="1"/>
  <c r="N593" i="2" s="1"/>
  <c r="N594" i="2" s="1"/>
  <c r="N595" i="2" s="1"/>
  <c r="N596" i="2" s="1"/>
  <c r="N597" i="2" s="1"/>
  <c r="N598" i="2" s="1"/>
  <c r="N599" i="2" s="1"/>
  <c r="N600" i="2" s="1"/>
  <c r="N601" i="2" s="1"/>
  <c r="N602" i="2" s="1"/>
  <c r="N603" i="2" s="1"/>
  <c r="N604" i="2" s="1"/>
  <c r="N605" i="2" s="1"/>
  <c r="N606" i="2" s="1"/>
  <c r="N607" i="2" s="1"/>
  <c r="N608" i="2" s="1"/>
  <c r="N609" i="2" s="1"/>
  <c r="N610" i="2" s="1"/>
  <c r="N611" i="2" s="1"/>
  <c r="N612" i="2" s="1"/>
  <c r="N613" i="2" s="1"/>
  <c r="N614" i="2" s="1"/>
  <c r="N615" i="2" s="1"/>
  <c r="N616" i="2" s="1"/>
  <c r="N617" i="2" s="1"/>
  <c r="N618" i="2" s="1"/>
  <c r="N619" i="2" s="1"/>
  <c r="N620" i="2" s="1"/>
  <c r="N621" i="2" s="1"/>
  <c r="N622" i="2" s="1"/>
  <c r="N623" i="2" s="1"/>
  <c r="N624" i="2" s="1"/>
  <c r="N625" i="2" s="1"/>
  <c r="N626" i="2" s="1"/>
  <c r="N627" i="2" s="1"/>
  <c r="N628" i="2" s="1"/>
  <c r="N629" i="2" s="1"/>
  <c r="N630" i="2" s="1"/>
  <c r="N631" i="2" s="1"/>
  <c r="N632" i="2" s="1"/>
  <c r="N633" i="2" s="1"/>
  <c r="N634" i="2" s="1"/>
  <c r="N635" i="2" s="1"/>
  <c r="N636" i="2" s="1"/>
  <c r="N637" i="2" s="1"/>
  <c r="N638" i="2" s="1"/>
  <c r="N639" i="2" s="1"/>
  <c r="N640" i="2" s="1"/>
  <c r="N641" i="2" s="1"/>
  <c r="N642" i="2" s="1"/>
  <c r="N643" i="2" s="1"/>
  <c r="N644" i="2" s="1"/>
  <c r="N645" i="2" s="1"/>
  <c r="N646" i="2" s="1"/>
  <c r="N647" i="2"/>
  <c r="N648" i="2" s="1"/>
  <c r="N649" i="2" s="1"/>
  <c r="N650" i="2" s="1"/>
  <c r="N651" i="2"/>
  <c r="N652" i="2" s="1"/>
  <c r="N653" i="2" s="1"/>
  <c r="N654" i="2"/>
  <c r="N655" i="2" s="1"/>
  <c r="N656" i="2" s="1"/>
  <c r="N657" i="2" s="1"/>
  <c r="N658" i="2" s="1"/>
  <c r="N659" i="2" s="1"/>
  <c r="N660" i="2" s="1"/>
  <c r="N661" i="2" s="1"/>
  <c r="N662" i="2" s="1"/>
  <c r="N663" i="2"/>
  <c r="N664" i="2" s="1"/>
  <c r="N669" i="2"/>
  <c r="N670" i="2" s="1"/>
  <c r="N671" i="2" s="1"/>
  <c r="N672" i="2"/>
  <c r="N673" i="2" s="1"/>
  <c r="N674" i="2" s="1"/>
  <c r="N675" i="2"/>
  <c r="N676" i="2" s="1"/>
  <c r="N677" i="2" s="1"/>
  <c r="N678" i="2"/>
  <c r="N679" i="2" s="1"/>
  <c r="N680" i="2" s="1"/>
  <c r="N681" i="2" s="1"/>
  <c r="N682" i="2" s="1"/>
  <c r="N683" i="2" s="1"/>
  <c r="N684" i="2" s="1"/>
  <c r="N685" i="2" s="1"/>
  <c r="N686" i="2" s="1"/>
  <c r="N687" i="2" s="1"/>
  <c r="N688" i="2" s="1"/>
  <c r="N689" i="2"/>
  <c r="N690" i="2" s="1"/>
  <c r="N691" i="2" s="1"/>
  <c r="N692" i="2" s="1"/>
  <c r="N693" i="2"/>
  <c r="N694" i="2" s="1"/>
  <c r="N695" i="2" s="1"/>
  <c r="N696" i="2" s="1"/>
  <c r="N697" i="2"/>
  <c r="P697" i="2" s="1"/>
  <c r="N701" i="2"/>
  <c r="N702" i="2" s="1"/>
  <c r="N703" i="2" s="1"/>
  <c r="N704" i="2" s="1"/>
  <c r="N705" i="2" s="1"/>
  <c r="N706" i="2" s="1"/>
  <c r="N707" i="2" s="1"/>
  <c r="N708" i="2" s="1"/>
  <c r="N709" i="2" s="1"/>
  <c r="N710" i="2" s="1"/>
  <c r="N711" i="2" s="1"/>
  <c r="N712" i="2" s="1"/>
  <c r="N713" i="2" s="1"/>
  <c r="N714" i="2" s="1"/>
  <c r="N715" i="2" s="1"/>
  <c r="N716" i="2" s="1"/>
  <c r="N717" i="2" s="1"/>
  <c r="N718" i="2" s="1"/>
  <c r="N719" i="2" s="1"/>
  <c r="N720" i="2" s="1"/>
  <c r="N721" i="2" s="1"/>
  <c r="N722" i="2" s="1"/>
  <c r="N723" i="2" s="1"/>
  <c r="N724" i="2"/>
  <c r="N725" i="2" s="1"/>
  <c r="N726" i="2" s="1"/>
  <c r="N727" i="2" s="1"/>
  <c r="N728" i="2" s="1"/>
  <c r="N729" i="2" s="1"/>
  <c r="N730" i="2" s="1"/>
  <c r="N731" i="2" s="1"/>
  <c r="N732" i="2" s="1"/>
  <c r="N733" i="2" s="1"/>
  <c r="N734" i="2" s="1"/>
  <c r="N735" i="2" s="1"/>
  <c r="N736" i="2" s="1"/>
  <c r="N737" i="2" s="1"/>
  <c r="N738" i="2" s="1"/>
  <c r="N739" i="2" s="1"/>
  <c r="N740" i="2" s="1"/>
  <c r="N741" i="2" s="1"/>
  <c r="N742" i="2"/>
  <c r="N743" i="2" s="1"/>
  <c r="N744" i="2" s="1"/>
  <c r="N745" i="2" s="1"/>
  <c r="N746" i="2" s="1"/>
  <c r="N747" i="2" s="1"/>
  <c r="N748" i="2" s="1"/>
  <c r="N749" i="2" s="1"/>
  <c r="N750" i="2" s="1"/>
  <c r="N751" i="2" s="1"/>
  <c r="N752" i="2" s="1"/>
  <c r="N753" i="2" s="1"/>
  <c r="N754" i="2" s="1"/>
  <c r="N755" i="2" s="1"/>
  <c r="N756" i="2" s="1"/>
  <c r="N757" i="2" s="1"/>
  <c r="N758" i="2" s="1"/>
  <c r="N759" i="2" s="1"/>
  <c r="N760" i="2" s="1"/>
  <c r="N761" i="2" s="1"/>
  <c r="N762" i="2" s="1"/>
  <c r="N763" i="2" s="1"/>
  <c r="N764" i="2" s="1"/>
  <c r="N765" i="2" s="1"/>
  <c r="N766" i="2" s="1"/>
  <c r="N767" i="2" s="1"/>
  <c r="N768" i="2" s="1"/>
  <c r="N769" i="2" s="1"/>
  <c r="N770" i="2" s="1"/>
  <c r="N771" i="2"/>
  <c r="N772" i="2" s="1"/>
  <c r="N773" i="2" s="1"/>
  <c r="N774" i="2" s="1"/>
  <c r="N775" i="2"/>
  <c r="N776" i="2" s="1"/>
  <c r="N777" i="2" s="1"/>
  <c r="N778" i="2" s="1"/>
  <c r="N779" i="2" s="1"/>
  <c r="N780" i="2" s="1"/>
  <c r="N781" i="2" s="1"/>
  <c r="N782" i="2"/>
  <c r="N783" i="2" s="1"/>
  <c r="N786" i="2"/>
  <c r="N787" i="2" s="1"/>
  <c r="N788" i="2" s="1"/>
  <c r="N789" i="2"/>
  <c r="N790" i="2" s="1"/>
  <c r="N791" i="2" s="1"/>
  <c r="N792" i="2" s="1"/>
  <c r="N793" i="2" s="1"/>
  <c r="N794" i="2" s="1"/>
  <c r="N795" i="2"/>
  <c r="N796" i="2" s="1"/>
  <c r="N797" i="2" s="1"/>
  <c r="N798" i="2" s="1"/>
  <c r="N799" i="2"/>
  <c r="N800" i="2" s="1"/>
  <c r="N801" i="2" s="1"/>
  <c r="N802" i="2"/>
  <c r="N803" i="2" s="1"/>
  <c r="N804" i="2" s="1"/>
  <c r="N805" i="2"/>
  <c r="N806" i="2" s="1"/>
  <c r="N807" i="2" s="1"/>
  <c r="N808" i="2" s="1"/>
  <c r="N809" i="2" s="1"/>
  <c r="N810" i="2" s="1"/>
  <c r="N811" i="2"/>
  <c r="N812" i="2" s="1"/>
  <c r="N813" i="2" s="1"/>
  <c r="N814" i="2"/>
  <c r="N815" i="2" s="1"/>
  <c r="N816" i="2" s="1"/>
  <c r="N817" i="2"/>
  <c r="N818" i="2" s="1"/>
  <c r="N819" i="2" s="1"/>
  <c r="N820" i="2" s="1"/>
  <c r="N821" i="2"/>
  <c r="N822" i="2" s="1"/>
  <c r="N7" i="2"/>
  <c r="N8" i="2" s="1"/>
  <c r="N9" i="2" s="1"/>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4" i="2"/>
  <c r="O687" i="2" l="1"/>
  <c r="O688" i="2" s="1"/>
  <c r="R686" i="2"/>
  <c r="O407" i="2"/>
  <c r="O408" i="2" s="1"/>
  <c r="O409" i="2" s="1"/>
  <c r="O410" i="2" s="1"/>
  <c r="R406" i="2"/>
  <c r="O375" i="2"/>
  <c r="O376" i="2" s="1"/>
  <c r="R374" i="2"/>
  <c r="O459" i="2"/>
  <c r="O460" i="2" s="1"/>
  <c r="O461" i="2" s="1"/>
  <c r="O462" i="2" s="1"/>
  <c r="R458" i="2"/>
  <c r="O307" i="2"/>
  <c r="O308" i="2" s="1"/>
  <c r="R306" i="2"/>
  <c r="O103" i="2"/>
  <c r="O104" i="2" s="1"/>
  <c r="R102" i="2"/>
  <c r="O711" i="2"/>
  <c r="O712" i="2" s="1"/>
  <c r="O713" i="2" s="1"/>
  <c r="R710" i="2"/>
  <c r="O295" i="2"/>
  <c r="O296" i="2" s="1"/>
  <c r="O297" i="2" s="1"/>
  <c r="O298" i="2" s="1"/>
  <c r="R294" i="2"/>
  <c r="O707" i="2"/>
  <c r="R706" i="2"/>
  <c r="O559" i="2"/>
  <c r="O560" i="2" s="1"/>
  <c r="O561" i="2" s="1"/>
  <c r="O562" i="2" s="1"/>
  <c r="R558" i="2"/>
  <c r="O471" i="2"/>
  <c r="O472" i="2" s="1"/>
  <c r="O473" i="2" s="1"/>
  <c r="R470" i="2"/>
  <c r="O327" i="2"/>
  <c r="O328" i="2" s="1"/>
  <c r="R326" i="2"/>
  <c r="O239" i="2"/>
  <c r="O240" i="2" s="1"/>
  <c r="O241" i="2" s="1"/>
  <c r="O242" i="2" s="1"/>
  <c r="R238" i="2"/>
  <c r="O435" i="2"/>
  <c r="O436" i="2" s="1"/>
  <c r="O437" i="2" s="1"/>
  <c r="R434" i="2"/>
  <c r="O287" i="2"/>
  <c r="O288" i="2" s="1"/>
  <c r="R286" i="2"/>
  <c r="O283" i="2"/>
  <c r="O284" i="2" s="1"/>
  <c r="R282" i="2"/>
  <c r="O727" i="2"/>
  <c r="O728" i="2" s="1"/>
  <c r="O729" i="2" s="1"/>
  <c r="O730" i="2" s="1"/>
  <c r="R726" i="2"/>
  <c r="O503" i="2"/>
  <c r="O504" i="2" s="1"/>
  <c r="R502" i="2"/>
  <c r="R714" i="2"/>
  <c r="R698" i="2"/>
  <c r="R450" i="2"/>
  <c r="R290" i="2"/>
  <c r="R230" i="2"/>
  <c r="R122" i="2"/>
  <c r="R814" i="2"/>
  <c r="R742" i="2"/>
  <c r="R550" i="2"/>
  <c r="R446" i="2"/>
  <c r="O67" i="2"/>
  <c r="O68" i="2" s="1"/>
  <c r="O69" i="2" s="1"/>
  <c r="O70" i="2" s="1"/>
  <c r="P551" i="4"/>
  <c r="M551" i="4"/>
  <c r="R551" i="4" s="1"/>
  <c r="P543" i="4"/>
  <c r="M543" i="4"/>
  <c r="R543" i="4" s="1"/>
  <c r="P535" i="4"/>
  <c r="M535" i="4"/>
  <c r="R535" i="4" s="1"/>
  <c r="P527" i="4"/>
  <c r="M527" i="4"/>
  <c r="R527" i="4" s="1"/>
  <c r="P519" i="4"/>
  <c r="M519" i="4"/>
  <c r="R519" i="4" s="1"/>
  <c r="P511" i="4"/>
  <c r="M511" i="4"/>
  <c r="R511" i="4" s="1"/>
  <c r="P503" i="4"/>
  <c r="M503" i="4"/>
  <c r="R503" i="4" s="1"/>
  <c r="P495" i="4"/>
  <c r="M495" i="4"/>
  <c r="R495" i="4" s="1"/>
  <c r="P487" i="4"/>
  <c r="M487" i="4"/>
  <c r="R487" i="4" s="1"/>
  <c r="P479" i="4"/>
  <c r="M479" i="4"/>
  <c r="R479" i="4" s="1"/>
  <c r="P471" i="4"/>
  <c r="M471" i="4"/>
  <c r="R471" i="4" s="1"/>
  <c r="P463" i="4"/>
  <c r="M463" i="4"/>
  <c r="R463" i="4" s="1"/>
  <c r="P455" i="4"/>
  <c r="M455" i="4"/>
  <c r="R455" i="4" s="1"/>
  <c r="P447" i="4"/>
  <c r="M447" i="4"/>
  <c r="R447" i="4" s="1"/>
  <c r="P439" i="4"/>
  <c r="M439" i="4"/>
  <c r="R439" i="4" s="1"/>
  <c r="P431" i="4"/>
  <c r="M431" i="4"/>
  <c r="R431" i="4" s="1"/>
  <c r="P423" i="4"/>
  <c r="M423" i="4"/>
  <c r="R423" i="4" s="1"/>
  <c r="P415" i="4"/>
  <c r="M415" i="4"/>
  <c r="R415" i="4" s="1"/>
  <c r="P407" i="4"/>
  <c r="M407" i="4"/>
  <c r="R407" i="4" s="1"/>
  <c r="P399" i="4"/>
  <c r="M399" i="4"/>
  <c r="R399" i="4" s="1"/>
  <c r="P391" i="4"/>
  <c r="M391" i="4"/>
  <c r="R391" i="4" s="1"/>
  <c r="P383" i="4"/>
  <c r="M383" i="4"/>
  <c r="R383" i="4" s="1"/>
  <c r="P375" i="4"/>
  <c r="M375" i="4"/>
  <c r="R375" i="4" s="1"/>
  <c r="P367" i="4"/>
  <c r="M367" i="4"/>
  <c r="R367" i="4" s="1"/>
  <c r="P359" i="4"/>
  <c r="M359" i="4"/>
  <c r="R359" i="4" s="1"/>
  <c r="P351" i="4"/>
  <c r="M351" i="4"/>
  <c r="R351" i="4" s="1"/>
  <c r="P343" i="4"/>
  <c r="M343" i="4"/>
  <c r="R343" i="4" s="1"/>
  <c r="P335" i="4"/>
  <c r="M335" i="4"/>
  <c r="R335" i="4" s="1"/>
  <c r="P327" i="4"/>
  <c r="M327" i="4"/>
  <c r="R327" i="4" s="1"/>
  <c r="P319" i="4"/>
  <c r="M319" i="4"/>
  <c r="R319" i="4" s="1"/>
  <c r="P311" i="4"/>
  <c r="M311" i="4"/>
  <c r="R311" i="4" s="1"/>
  <c r="P303" i="4"/>
  <c r="M303" i="4"/>
  <c r="R303" i="4" s="1"/>
  <c r="P295" i="4"/>
  <c r="M295" i="4"/>
  <c r="R295" i="4" s="1"/>
  <c r="P287" i="4"/>
  <c r="M287" i="4"/>
  <c r="R287" i="4" s="1"/>
  <c r="P279" i="4"/>
  <c r="M279" i="4"/>
  <c r="R279" i="4" s="1"/>
  <c r="P271" i="4"/>
  <c r="M271" i="4"/>
  <c r="R271" i="4" s="1"/>
  <c r="P263" i="4"/>
  <c r="M263" i="4"/>
  <c r="R263" i="4" s="1"/>
  <c r="P255" i="4"/>
  <c r="M255" i="4"/>
  <c r="R255" i="4" s="1"/>
  <c r="P247" i="4"/>
  <c r="M247" i="4"/>
  <c r="R247" i="4" s="1"/>
  <c r="P239" i="4"/>
  <c r="M239" i="4"/>
  <c r="R239" i="4" s="1"/>
  <c r="P231" i="4"/>
  <c r="M231" i="4"/>
  <c r="R231" i="4" s="1"/>
  <c r="P223" i="4"/>
  <c r="M223" i="4"/>
  <c r="R223" i="4" s="1"/>
  <c r="P215" i="4"/>
  <c r="M215" i="4"/>
  <c r="R215" i="4" s="1"/>
  <c r="P207" i="4"/>
  <c r="M207" i="4"/>
  <c r="R207" i="4" s="1"/>
  <c r="P199" i="4"/>
  <c r="M199" i="4"/>
  <c r="R199" i="4" s="1"/>
  <c r="P191" i="4"/>
  <c r="M191" i="4"/>
  <c r="R191" i="4" s="1"/>
  <c r="P183" i="4"/>
  <c r="M183" i="4"/>
  <c r="R183" i="4" s="1"/>
  <c r="P175" i="4"/>
  <c r="M175" i="4"/>
  <c r="R175" i="4" s="1"/>
  <c r="P167" i="4"/>
  <c r="M167" i="4"/>
  <c r="R167" i="4" s="1"/>
  <c r="P159" i="4"/>
  <c r="M159" i="4"/>
  <c r="R159" i="4" s="1"/>
  <c r="P151" i="4"/>
  <c r="M151" i="4"/>
  <c r="R151" i="4" s="1"/>
  <c r="P143" i="4"/>
  <c r="M143" i="4"/>
  <c r="R143" i="4" s="1"/>
  <c r="P135" i="4"/>
  <c r="M135" i="4"/>
  <c r="R135" i="4" s="1"/>
  <c r="P127" i="4"/>
  <c r="M127" i="4"/>
  <c r="R127" i="4" s="1"/>
  <c r="P119" i="4"/>
  <c r="M119" i="4"/>
  <c r="R119" i="4" s="1"/>
  <c r="P111" i="4"/>
  <c r="M111" i="4"/>
  <c r="R111" i="4" s="1"/>
  <c r="P103" i="4"/>
  <c r="M103" i="4"/>
  <c r="R103" i="4" s="1"/>
  <c r="P95" i="4"/>
  <c r="M95" i="4"/>
  <c r="R95" i="4" s="1"/>
  <c r="P87" i="4"/>
  <c r="M87" i="4"/>
  <c r="R87" i="4" s="1"/>
  <c r="P79" i="4"/>
  <c r="M79" i="4"/>
  <c r="R79" i="4" s="1"/>
  <c r="P71" i="4"/>
  <c r="M71" i="4"/>
  <c r="R71" i="4" s="1"/>
  <c r="P63" i="4"/>
  <c r="M63" i="4"/>
  <c r="R63" i="4" s="1"/>
  <c r="P55" i="4"/>
  <c r="M55" i="4"/>
  <c r="R55" i="4" s="1"/>
  <c r="P47" i="4"/>
  <c r="M47" i="4"/>
  <c r="R47" i="4" s="1"/>
  <c r="P39" i="4"/>
  <c r="M39" i="4"/>
  <c r="R39" i="4" s="1"/>
  <c r="P31" i="4"/>
  <c r="M31" i="4"/>
  <c r="R31" i="4" s="1"/>
  <c r="P23" i="4"/>
  <c r="M23" i="4"/>
  <c r="R23" i="4" s="1"/>
  <c r="P15" i="4"/>
  <c r="M15" i="4"/>
  <c r="R15" i="4" s="1"/>
  <c r="P7" i="4"/>
  <c r="M7" i="4"/>
  <c r="R7" i="4" s="1"/>
  <c r="P542" i="4"/>
  <c r="M542" i="4"/>
  <c r="R542" i="4" s="1"/>
  <c r="P526" i="4"/>
  <c r="M526" i="4"/>
  <c r="R526" i="4" s="1"/>
  <c r="P502" i="4"/>
  <c r="M502" i="4"/>
  <c r="R502" i="4" s="1"/>
  <c r="P470" i="4"/>
  <c r="M470" i="4"/>
  <c r="R470" i="4" s="1"/>
  <c r="P462" i="4"/>
  <c r="M462" i="4"/>
  <c r="R462" i="4" s="1"/>
  <c r="P430" i="4"/>
  <c r="M430" i="4"/>
  <c r="R430" i="4" s="1"/>
  <c r="P406" i="4"/>
  <c r="M406" i="4"/>
  <c r="R406" i="4" s="1"/>
  <c r="P374" i="4"/>
  <c r="M374" i="4"/>
  <c r="R374" i="4" s="1"/>
  <c r="P358" i="4"/>
  <c r="M358" i="4"/>
  <c r="R358" i="4" s="1"/>
  <c r="P334" i="4"/>
  <c r="M334" i="4"/>
  <c r="R334" i="4" s="1"/>
  <c r="P318" i="4"/>
  <c r="M318" i="4"/>
  <c r="R318" i="4" s="1"/>
  <c r="P302" i="4"/>
  <c r="M302" i="4"/>
  <c r="R302" i="4" s="1"/>
  <c r="P270" i="4"/>
  <c r="M270" i="4"/>
  <c r="R270" i="4" s="1"/>
  <c r="P238" i="4"/>
  <c r="M238" i="4"/>
  <c r="R238" i="4" s="1"/>
  <c r="P214" i="4"/>
  <c r="M214" i="4"/>
  <c r="R214" i="4" s="1"/>
  <c r="P190" i="4"/>
  <c r="M190" i="4"/>
  <c r="R190" i="4" s="1"/>
  <c r="P174" i="4"/>
  <c r="M174" i="4"/>
  <c r="R174" i="4" s="1"/>
  <c r="P142" i="4"/>
  <c r="M142" i="4"/>
  <c r="R142" i="4" s="1"/>
  <c r="P126" i="4"/>
  <c r="M126" i="4"/>
  <c r="R126" i="4" s="1"/>
  <c r="P102" i="4"/>
  <c r="M102" i="4"/>
  <c r="R102" i="4" s="1"/>
  <c r="P78" i="4"/>
  <c r="M78" i="4"/>
  <c r="R78" i="4" s="1"/>
  <c r="P62" i="4"/>
  <c r="M62" i="4"/>
  <c r="R62" i="4" s="1"/>
  <c r="P38" i="4"/>
  <c r="M38" i="4"/>
  <c r="R38" i="4" s="1"/>
  <c r="P14" i="4"/>
  <c r="M14" i="4"/>
  <c r="R14" i="4" s="1"/>
  <c r="P6" i="4"/>
  <c r="M6" i="4"/>
  <c r="R6" i="4" s="1"/>
  <c r="P549" i="4"/>
  <c r="M549" i="4"/>
  <c r="R549" i="4" s="1"/>
  <c r="P541" i="4"/>
  <c r="M541" i="4"/>
  <c r="R541" i="4" s="1"/>
  <c r="P533" i="4"/>
  <c r="M533" i="4"/>
  <c r="R533" i="4" s="1"/>
  <c r="P525" i="4"/>
  <c r="M525" i="4"/>
  <c r="R525" i="4" s="1"/>
  <c r="P517" i="4"/>
  <c r="M517" i="4"/>
  <c r="R517" i="4" s="1"/>
  <c r="P509" i="4"/>
  <c r="M509" i="4"/>
  <c r="R509" i="4" s="1"/>
  <c r="P501" i="4"/>
  <c r="M501" i="4"/>
  <c r="R501" i="4" s="1"/>
  <c r="P493" i="4"/>
  <c r="M493" i="4"/>
  <c r="R493" i="4" s="1"/>
  <c r="P485" i="4"/>
  <c r="M485" i="4"/>
  <c r="R485" i="4" s="1"/>
  <c r="P477" i="4"/>
  <c r="M477" i="4"/>
  <c r="R477" i="4" s="1"/>
  <c r="P469" i="4"/>
  <c r="M469" i="4"/>
  <c r="R469" i="4" s="1"/>
  <c r="P461" i="4"/>
  <c r="M461" i="4"/>
  <c r="R461" i="4" s="1"/>
  <c r="P453" i="4"/>
  <c r="M453" i="4"/>
  <c r="R453" i="4" s="1"/>
  <c r="P445" i="4"/>
  <c r="M445" i="4"/>
  <c r="R445" i="4" s="1"/>
  <c r="P437" i="4"/>
  <c r="M437" i="4"/>
  <c r="R437" i="4" s="1"/>
  <c r="P429" i="4"/>
  <c r="M429" i="4"/>
  <c r="R429" i="4" s="1"/>
  <c r="P421" i="4"/>
  <c r="M421" i="4"/>
  <c r="R421" i="4" s="1"/>
  <c r="P413" i="4"/>
  <c r="M413" i="4"/>
  <c r="R413" i="4" s="1"/>
  <c r="P405" i="4"/>
  <c r="M405" i="4"/>
  <c r="R405" i="4" s="1"/>
  <c r="P397" i="4"/>
  <c r="M397" i="4"/>
  <c r="R397" i="4" s="1"/>
  <c r="P389" i="4"/>
  <c r="M389" i="4"/>
  <c r="R389" i="4" s="1"/>
  <c r="P381" i="4"/>
  <c r="M381" i="4"/>
  <c r="R381" i="4" s="1"/>
  <c r="P373" i="4"/>
  <c r="M373" i="4"/>
  <c r="R373" i="4" s="1"/>
  <c r="P365" i="4"/>
  <c r="M365" i="4"/>
  <c r="R365" i="4" s="1"/>
  <c r="P357" i="4"/>
  <c r="M357" i="4"/>
  <c r="R357" i="4" s="1"/>
  <c r="P349" i="4"/>
  <c r="M349" i="4"/>
  <c r="R349" i="4" s="1"/>
  <c r="P341" i="4"/>
  <c r="M341" i="4"/>
  <c r="R341" i="4" s="1"/>
  <c r="P333" i="4"/>
  <c r="M333" i="4"/>
  <c r="R333" i="4" s="1"/>
  <c r="P325" i="4"/>
  <c r="M325" i="4"/>
  <c r="R325" i="4" s="1"/>
  <c r="P317" i="4"/>
  <c r="M317" i="4"/>
  <c r="R317" i="4" s="1"/>
  <c r="P309" i="4"/>
  <c r="M309" i="4"/>
  <c r="R309" i="4" s="1"/>
  <c r="P301" i="4"/>
  <c r="M301" i="4"/>
  <c r="R301" i="4" s="1"/>
  <c r="P293" i="4"/>
  <c r="M293" i="4"/>
  <c r="R293" i="4" s="1"/>
  <c r="P285" i="4"/>
  <c r="M285" i="4"/>
  <c r="R285" i="4" s="1"/>
  <c r="P277" i="4"/>
  <c r="M277" i="4"/>
  <c r="R277" i="4" s="1"/>
  <c r="P269" i="4"/>
  <c r="M269" i="4"/>
  <c r="R269" i="4" s="1"/>
  <c r="P261" i="4"/>
  <c r="M261" i="4"/>
  <c r="R261" i="4" s="1"/>
  <c r="P253" i="4"/>
  <c r="M253" i="4"/>
  <c r="R253" i="4" s="1"/>
  <c r="P245" i="4"/>
  <c r="M245" i="4"/>
  <c r="R245" i="4" s="1"/>
  <c r="P237" i="4"/>
  <c r="M237" i="4"/>
  <c r="R237" i="4" s="1"/>
  <c r="P229" i="4"/>
  <c r="M229" i="4"/>
  <c r="R229" i="4" s="1"/>
  <c r="P221" i="4"/>
  <c r="M221" i="4"/>
  <c r="R221" i="4" s="1"/>
  <c r="P213" i="4"/>
  <c r="M213" i="4"/>
  <c r="R213" i="4" s="1"/>
  <c r="P205" i="4"/>
  <c r="M205" i="4"/>
  <c r="R205" i="4" s="1"/>
  <c r="P197" i="4"/>
  <c r="M197" i="4"/>
  <c r="R197" i="4" s="1"/>
  <c r="P189" i="4"/>
  <c r="M189" i="4"/>
  <c r="R189" i="4" s="1"/>
  <c r="P181" i="4"/>
  <c r="M181" i="4"/>
  <c r="R181" i="4" s="1"/>
  <c r="P173" i="4"/>
  <c r="M173" i="4"/>
  <c r="R173" i="4" s="1"/>
  <c r="P165" i="4"/>
  <c r="M165" i="4"/>
  <c r="R165" i="4" s="1"/>
  <c r="P157" i="4"/>
  <c r="M157" i="4"/>
  <c r="R157" i="4" s="1"/>
  <c r="P149" i="4"/>
  <c r="M149" i="4"/>
  <c r="R149" i="4" s="1"/>
  <c r="P141" i="4"/>
  <c r="M141" i="4"/>
  <c r="R141" i="4" s="1"/>
  <c r="P133" i="4"/>
  <c r="M133" i="4"/>
  <c r="R133" i="4" s="1"/>
  <c r="P125" i="4"/>
  <c r="M125" i="4"/>
  <c r="R125" i="4" s="1"/>
  <c r="P117" i="4"/>
  <c r="M117" i="4"/>
  <c r="R117" i="4" s="1"/>
  <c r="P109" i="4"/>
  <c r="M109" i="4"/>
  <c r="R109" i="4" s="1"/>
  <c r="P101" i="4"/>
  <c r="M101" i="4"/>
  <c r="R101" i="4" s="1"/>
  <c r="P93" i="4"/>
  <c r="M93" i="4"/>
  <c r="R93" i="4" s="1"/>
  <c r="P85" i="4"/>
  <c r="M85" i="4"/>
  <c r="R85" i="4" s="1"/>
  <c r="P77" i="4"/>
  <c r="M77" i="4"/>
  <c r="R77" i="4" s="1"/>
  <c r="P69" i="4"/>
  <c r="M69" i="4"/>
  <c r="R69" i="4" s="1"/>
  <c r="P61" i="4"/>
  <c r="M61" i="4"/>
  <c r="R61" i="4" s="1"/>
  <c r="P53" i="4"/>
  <c r="M53" i="4"/>
  <c r="R53" i="4" s="1"/>
  <c r="P45" i="4"/>
  <c r="M45" i="4"/>
  <c r="R45" i="4" s="1"/>
  <c r="P37" i="4"/>
  <c r="M37" i="4"/>
  <c r="R37" i="4" s="1"/>
  <c r="P29" i="4"/>
  <c r="M29" i="4"/>
  <c r="R29" i="4" s="1"/>
  <c r="P21" i="4"/>
  <c r="M21" i="4"/>
  <c r="R21" i="4" s="1"/>
  <c r="P13" i="4"/>
  <c r="M13" i="4"/>
  <c r="R13" i="4" s="1"/>
  <c r="P5" i="4"/>
  <c r="M5" i="4"/>
  <c r="R5" i="4" s="1"/>
  <c r="N359" i="2"/>
  <c r="N360" i="2" s="1"/>
  <c r="N361" i="2" s="1"/>
  <c r="N362" i="2" s="1"/>
  <c r="N363" i="2" s="1"/>
  <c r="N364" i="2" s="1"/>
  <c r="R678" i="2"/>
  <c r="R518" i="2"/>
  <c r="R430" i="2"/>
  <c r="R110" i="2"/>
  <c r="R98" i="2"/>
  <c r="P548" i="4"/>
  <c r="M548" i="4"/>
  <c r="R548" i="4" s="1"/>
  <c r="P540" i="4"/>
  <c r="M540" i="4"/>
  <c r="R540" i="4" s="1"/>
  <c r="P532" i="4"/>
  <c r="M532" i="4"/>
  <c r="R532" i="4" s="1"/>
  <c r="P524" i="4"/>
  <c r="M524" i="4"/>
  <c r="R524" i="4" s="1"/>
  <c r="P516" i="4"/>
  <c r="M516" i="4"/>
  <c r="R516" i="4" s="1"/>
  <c r="P508" i="4"/>
  <c r="M508" i="4"/>
  <c r="R508" i="4" s="1"/>
  <c r="P500" i="4"/>
  <c r="M500" i="4"/>
  <c r="R500" i="4" s="1"/>
  <c r="P492" i="4"/>
  <c r="M492" i="4"/>
  <c r="R492" i="4" s="1"/>
  <c r="P484" i="4"/>
  <c r="M484" i="4"/>
  <c r="R484" i="4" s="1"/>
  <c r="P476" i="4"/>
  <c r="M476" i="4"/>
  <c r="R476" i="4" s="1"/>
  <c r="P468" i="4"/>
  <c r="M468" i="4"/>
  <c r="R468" i="4" s="1"/>
  <c r="P460" i="4"/>
  <c r="M460" i="4"/>
  <c r="R460" i="4" s="1"/>
  <c r="P452" i="4"/>
  <c r="M452" i="4"/>
  <c r="R452" i="4" s="1"/>
  <c r="P444" i="4"/>
  <c r="M444" i="4"/>
  <c r="R444" i="4" s="1"/>
  <c r="P436" i="4"/>
  <c r="M436" i="4"/>
  <c r="R436" i="4" s="1"/>
  <c r="P428" i="4"/>
  <c r="M428" i="4"/>
  <c r="R428" i="4" s="1"/>
  <c r="P420" i="4"/>
  <c r="M420" i="4"/>
  <c r="R420" i="4" s="1"/>
  <c r="P412" i="4"/>
  <c r="M412" i="4"/>
  <c r="R412" i="4" s="1"/>
  <c r="P404" i="4"/>
  <c r="M404" i="4"/>
  <c r="R404" i="4" s="1"/>
  <c r="P396" i="4"/>
  <c r="M396" i="4"/>
  <c r="R396" i="4" s="1"/>
  <c r="P388" i="4"/>
  <c r="M388" i="4"/>
  <c r="R388" i="4" s="1"/>
  <c r="P380" i="4"/>
  <c r="M380" i="4"/>
  <c r="R380" i="4" s="1"/>
  <c r="P372" i="4"/>
  <c r="M372" i="4"/>
  <c r="R372" i="4" s="1"/>
  <c r="P364" i="4"/>
  <c r="M364" i="4"/>
  <c r="R364" i="4" s="1"/>
  <c r="P356" i="4"/>
  <c r="M356" i="4"/>
  <c r="R356" i="4" s="1"/>
  <c r="P348" i="4"/>
  <c r="M348" i="4"/>
  <c r="R348" i="4" s="1"/>
  <c r="P340" i="4"/>
  <c r="M340" i="4"/>
  <c r="R340" i="4" s="1"/>
  <c r="P332" i="4"/>
  <c r="M332" i="4"/>
  <c r="R332" i="4" s="1"/>
  <c r="P324" i="4"/>
  <c r="M324" i="4"/>
  <c r="R324" i="4" s="1"/>
  <c r="P316" i="4"/>
  <c r="M316" i="4"/>
  <c r="R316" i="4" s="1"/>
  <c r="P308" i="4"/>
  <c r="M308" i="4"/>
  <c r="R308" i="4" s="1"/>
  <c r="P300" i="4"/>
  <c r="M300" i="4"/>
  <c r="R300" i="4" s="1"/>
  <c r="P292" i="4"/>
  <c r="M292" i="4"/>
  <c r="R292" i="4" s="1"/>
  <c r="P284" i="4"/>
  <c r="M284" i="4"/>
  <c r="R284" i="4" s="1"/>
  <c r="P276" i="4"/>
  <c r="M276" i="4"/>
  <c r="R276" i="4" s="1"/>
  <c r="P268" i="4"/>
  <c r="M268" i="4"/>
  <c r="R268" i="4" s="1"/>
  <c r="P260" i="4"/>
  <c r="M260" i="4"/>
  <c r="R260" i="4" s="1"/>
  <c r="P252" i="4"/>
  <c r="M252" i="4"/>
  <c r="R252" i="4" s="1"/>
  <c r="P244" i="4"/>
  <c r="M244" i="4"/>
  <c r="R244" i="4" s="1"/>
  <c r="P236" i="4"/>
  <c r="M236" i="4"/>
  <c r="R236" i="4" s="1"/>
  <c r="P228" i="4"/>
  <c r="M228" i="4"/>
  <c r="R228" i="4" s="1"/>
  <c r="P220" i="4"/>
  <c r="M220" i="4"/>
  <c r="R220" i="4" s="1"/>
  <c r="P212" i="4"/>
  <c r="M212" i="4"/>
  <c r="R212" i="4" s="1"/>
  <c r="P204" i="4"/>
  <c r="M204" i="4"/>
  <c r="R204" i="4" s="1"/>
  <c r="P196" i="4"/>
  <c r="M196" i="4"/>
  <c r="R196" i="4" s="1"/>
  <c r="P188" i="4"/>
  <c r="M188" i="4"/>
  <c r="R188" i="4" s="1"/>
  <c r="P180" i="4"/>
  <c r="M180" i="4"/>
  <c r="R180" i="4" s="1"/>
  <c r="P172" i="4"/>
  <c r="M172" i="4"/>
  <c r="R172" i="4" s="1"/>
  <c r="P164" i="4"/>
  <c r="M164" i="4"/>
  <c r="R164" i="4" s="1"/>
  <c r="P156" i="4"/>
  <c r="M156" i="4"/>
  <c r="R156" i="4" s="1"/>
  <c r="P148" i="4"/>
  <c r="M148" i="4"/>
  <c r="R148" i="4" s="1"/>
  <c r="P140" i="4"/>
  <c r="M140" i="4"/>
  <c r="R140" i="4" s="1"/>
  <c r="P132" i="4"/>
  <c r="M132" i="4"/>
  <c r="R132" i="4" s="1"/>
  <c r="P124" i="4"/>
  <c r="M124" i="4"/>
  <c r="P116" i="4"/>
  <c r="M116" i="4"/>
  <c r="P108" i="4"/>
  <c r="M108" i="4"/>
  <c r="P100" i="4"/>
  <c r="M100" i="4"/>
  <c r="P92" i="4"/>
  <c r="M92" i="4"/>
  <c r="P84" i="4"/>
  <c r="M84" i="4"/>
  <c r="P76" i="4"/>
  <c r="M76" i="4"/>
  <c r="P68" i="4"/>
  <c r="M68" i="4"/>
  <c r="P60" i="4"/>
  <c r="M60" i="4"/>
  <c r="P52" i="4"/>
  <c r="M52" i="4"/>
  <c r="P44" i="4"/>
  <c r="M44" i="4"/>
  <c r="P36" i="4"/>
  <c r="M36" i="4"/>
  <c r="P28" i="4"/>
  <c r="M28" i="4"/>
  <c r="P20" i="4"/>
  <c r="M20" i="4"/>
  <c r="P12" i="4"/>
  <c r="M12" i="4"/>
  <c r="P4" i="4"/>
  <c r="M4" i="4"/>
  <c r="O546" i="4"/>
  <c r="O538" i="4"/>
  <c r="O530" i="4"/>
  <c r="O522" i="4"/>
  <c r="O514" i="4"/>
  <c r="O506" i="4"/>
  <c r="O498" i="4"/>
  <c r="O490" i="4"/>
  <c r="O482" i="4"/>
  <c r="O474" i="4"/>
  <c r="O466" i="4"/>
  <c r="O458" i="4"/>
  <c r="O450" i="4"/>
  <c r="O442" i="4"/>
  <c r="O434" i="4"/>
  <c r="O426" i="4"/>
  <c r="O418" i="4"/>
  <c r="O410" i="4"/>
  <c r="O402" i="4"/>
  <c r="O394" i="4"/>
  <c r="O386" i="4"/>
  <c r="O378" i="4"/>
  <c r="P534" i="4"/>
  <c r="M534" i="4"/>
  <c r="R534" i="4" s="1"/>
  <c r="P486" i="4"/>
  <c r="M486" i="4"/>
  <c r="R486" i="4" s="1"/>
  <c r="P438" i="4"/>
  <c r="M438" i="4"/>
  <c r="R438" i="4" s="1"/>
  <c r="P398" i="4"/>
  <c r="M398" i="4"/>
  <c r="R398" i="4" s="1"/>
  <c r="P342" i="4"/>
  <c r="M342" i="4"/>
  <c r="R342" i="4" s="1"/>
  <c r="P294" i="4"/>
  <c r="M294" i="4"/>
  <c r="R294" i="4" s="1"/>
  <c r="P246" i="4"/>
  <c r="M246" i="4"/>
  <c r="R246" i="4" s="1"/>
  <c r="P206" i="4"/>
  <c r="M206" i="4"/>
  <c r="R206" i="4" s="1"/>
  <c r="P158" i="4"/>
  <c r="M158" i="4"/>
  <c r="R158" i="4" s="1"/>
  <c r="P110" i="4"/>
  <c r="M110" i="4"/>
  <c r="R110" i="4" s="1"/>
  <c r="P70" i="4"/>
  <c r="M70" i="4"/>
  <c r="R70" i="4" s="1"/>
  <c r="P22" i="4"/>
  <c r="M22" i="4"/>
  <c r="R22" i="4" s="1"/>
  <c r="R782" i="2"/>
  <c r="R362" i="2"/>
  <c r="R254" i="2"/>
  <c r="P547" i="4"/>
  <c r="M547" i="4"/>
  <c r="R547" i="4" s="1"/>
  <c r="P539" i="4"/>
  <c r="M539" i="4"/>
  <c r="R539" i="4" s="1"/>
  <c r="P531" i="4"/>
  <c r="M531" i="4"/>
  <c r="R531" i="4" s="1"/>
  <c r="P523" i="4"/>
  <c r="M523" i="4"/>
  <c r="R523" i="4" s="1"/>
  <c r="P515" i="4"/>
  <c r="M515" i="4"/>
  <c r="R515" i="4" s="1"/>
  <c r="P507" i="4"/>
  <c r="M507" i="4"/>
  <c r="R507" i="4" s="1"/>
  <c r="P499" i="4"/>
  <c r="M499" i="4"/>
  <c r="R499" i="4" s="1"/>
  <c r="P491" i="4"/>
  <c r="M491" i="4"/>
  <c r="R491" i="4" s="1"/>
  <c r="P483" i="4"/>
  <c r="M483" i="4"/>
  <c r="R483" i="4" s="1"/>
  <c r="P475" i="4"/>
  <c r="M475" i="4"/>
  <c r="R475" i="4" s="1"/>
  <c r="P467" i="4"/>
  <c r="M467" i="4"/>
  <c r="R467" i="4" s="1"/>
  <c r="P459" i="4"/>
  <c r="M459" i="4"/>
  <c r="R459" i="4" s="1"/>
  <c r="P451" i="4"/>
  <c r="M451" i="4"/>
  <c r="R451" i="4" s="1"/>
  <c r="P443" i="4"/>
  <c r="M443" i="4"/>
  <c r="R443" i="4" s="1"/>
  <c r="P435" i="4"/>
  <c r="M435" i="4"/>
  <c r="R435" i="4" s="1"/>
  <c r="P427" i="4"/>
  <c r="M427" i="4"/>
  <c r="R427" i="4" s="1"/>
  <c r="P419" i="4"/>
  <c r="M419" i="4"/>
  <c r="R419" i="4" s="1"/>
  <c r="P411" i="4"/>
  <c r="M411" i="4"/>
  <c r="R411" i="4" s="1"/>
  <c r="P403" i="4"/>
  <c r="M403" i="4"/>
  <c r="R403" i="4" s="1"/>
  <c r="P395" i="4"/>
  <c r="M395" i="4"/>
  <c r="R395" i="4" s="1"/>
  <c r="P387" i="4"/>
  <c r="M387" i="4"/>
  <c r="R387" i="4" s="1"/>
  <c r="P379" i="4"/>
  <c r="M379" i="4"/>
  <c r="R379" i="4" s="1"/>
  <c r="P371" i="4"/>
  <c r="M371" i="4"/>
  <c r="R371" i="4" s="1"/>
  <c r="P363" i="4"/>
  <c r="M363" i="4"/>
  <c r="R363" i="4" s="1"/>
  <c r="P355" i="4"/>
  <c r="M355" i="4"/>
  <c r="R355" i="4" s="1"/>
  <c r="P347" i="4"/>
  <c r="M347" i="4"/>
  <c r="R347" i="4" s="1"/>
  <c r="P339" i="4"/>
  <c r="M339" i="4"/>
  <c r="R339" i="4" s="1"/>
  <c r="P331" i="4"/>
  <c r="M331" i="4"/>
  <c r="R331" i="4" s="1"/>
  <c r="P323" i="4"/>
  <c r="M323" i="4"/>
  <c r="R323" i="4" s="1"/>
  <c r="P315" i="4"/>
  <c r="M315" i="4"/>
  <c r="R315" i="4" s="1"/>
  <c r="P307" i="4"/>
  <c r="M307" i="4"/>
  <c r="R307" i="4" s="1"/>
  <c r="P299" i="4"/>
  <c r="M299" i="4"/>
  <c r="R299" i="4" s="1"/>
  <c r="P291" i="4"/>
  <c r="M291" i="4"/>
  <c r="R291" i="4" s="1"/>
  <c r="P283" i="4"/>
  <c r="M283" i="4"/>
  <c r="R283" i="4" s="1"/>
  <c r="P275" i="4"/>
  <c r="M275" i="4"/>
  <c r="R275" i="4" s="1"/>
  <c r="P267" i="4"/>
  <c r="M267" i="4"/>
  <c r="R267" i="4" s="1"/>
  <c r="P259" i="4"/>
  <c r="M259" i="4"/>
  <c r="R259" i="4" s="1"/>
  <c r="P251" i="4"/>
  <c r="M251" i="4"/>
  <c r="R251" i="4" s="1"/>
  <c r="P243" i="4"/>
  <c r="M243" i="4"/>
  <c r="R243" i="4" s="1"/>
  <c r="P235" i="4"/>
  <c r="M235" i="4"/>
  <c r="R235" i="4" s="1"/>
  <c r="P227" i="4"/>
  <c r="M227" i="4"/>
  <c r="R227" i="4" s="1"/>
  <c r="P219" i="4"/>
  <c r="M219" i="4"/>
  <c r="R219" i="4" s="1"/>
  <c r="P211" i="4"/>
  <c r="M211" i="4"/>
  <c r="R211" i="4" s="1"/>
  <c r="P203" i="4"/>
  <c r="M203" i="4"/>
  <c r="R203" i="4" s="1"/>
  <c r="P195" i="4"/>
  <c r="M195" i="4"/>
  <c r="R195" i="4" s="1"/>
  <c r="P187" i="4"/>
  <c r="M187" i="4"/>
  <c r="R187" i="4" s="1"/>
  <c r="P179" i="4"/>
  <c r="M179" i="4"/>
  <c r="R179" i="4" s="1"/>
  <c r="P171" i="4"/>
  <c r="M171" i="4"/>
  <c r="R171" i="4" s="1"/>
  <c r="P163" i="4"/>
  <c r="M163" i="4"/>
  <c r="R163" i="4" s="1"/>
  <c r="P155" i="4"/>
  <c r="M155" i="4"/>
  <c r="R155" i="4" s="1"/>
  <c r="P147" i="4"/>
  <c r="M147" i="4"/>
  <c r="R147" i="4" s="1"/>
  <c r="P139" i="4"/>
  <c r="M139" i="4"/>
  <c r="R139" i="4" s="1"/>
  <c r="P131" i="4"/>
  <c r="M131" i="4"/>
  <c r="R131" i="4" s="1"/>
  <c r="P123" i="4"/>
  <c r="M123" i="4"/>
  <c r="R123" i="4" s="1"/>
  <c r="P115" i="4"/>
  <c r="M115" i="4"/>
  <c r="R115" i="4" s="1"/>
  <c r="P107" i="4"/>
  <c r="M107" i="4"/>
  <c r="R107" i="4" s="1"/>
  <c r="P99" i="4"/>
  <c r="M99" i="4"/>
  <c r="R99" i="4" s="1"/>
  <c r="P91" i="4"/>
  <c r="M91" i="4"/>
  <c r="R91" i="4" s="1"/>
  <c r="P83" i="4"/>
  <c r="M83" i="4"/>
  <c r="R83" i="4" s="1"/>
  <c r="P75" i="4"/>
  <c r="M75" i="4"/>
  <c r="R75" i="4" s="1"/>
  <c r="P67" i="4"/>
  <c r="M67" i="4"/>
  <c r="R67" i="4" s="1"/>
  <c r="P59" i="4"/>
  <c r="M59" i="4"/>
  <c r="R59" i="4" s="1"/>
  <c r="P51" i="4"/>
  <c r="M51" i="4"/>
  <c r="R51" i="4" s="1"/>
  <c r="P43" i="4"/>
  <c r="M43" i="4"/>
  <c r="R43" i="4" s="1"/>
  <c r="P35" i="4"/>
  <c r="M35" i="4"/>
  <c r="R35" i="4" s="1"/>
  <c r="P27" i="4"/>
  <c r="M27" i="4"/>
  <c r="R27" i="4" s="1"/>
  <c r="P19" i="4"/>
  <c r="M19" i="4"/>
  <c r="R19" i="4" s="1"/>
  <c r="P11" i="4"/>
  <c r="M11" i="4"/>
  <c r="R11" i="4" s="1"/>
  <c r="P3" i="4"/>
  <c r="M3" i="4"/>
  <c r="R3" i="4" s="1"/>
  <c r="P550" i="4"/>
  <c r="M550" i="4"/>
  <c r="R550" i="4" s="1"/>
  <c r="P510" i="4"/>
  <c r="M510" i="4"/>
  <c r="R510" i="4" s="1"/>
  <c r="P478" i="4"/>
  <c r="M478" i="4"/>
  <c r="R478" i="4" s="1"/>
  <c r="P446" i="4"/>
  <c r="M446" i="4"/>
  <c r="R446" i="4" s="1"/>
  <c r="P422" i="4"/>
  <c r="M422" i="4"/>
  <c r="R422" i="4" s="1"/>
  <c r="P390" i="4"/>
  <c r="M390" i="4"/>
  <c r="R390" i="4" s="1"/>
  <c r="P366" i="4"/>
  <c r="M366" i="4"/>
  <c r="R366" i="4" s="1"/>
  <c r="P326" i="4"/>
  <c r="M326" i="4"/>
  <c r="R326" i="4" s="1"/>
  <c r="P286" i="4"/>
  <c r="M286" i="4"/>
  <c r="R286" i="4" s="1"/>
  <c r="P262" i="4"/>
  <c r="M262" i="4"/>
  <c r="R262" i="4" s="1"/>
  <c r="P230" i="4"/>
  <c r="M230" i="4"/>
  <c r="R230" i="4" s="1"/>
  <c r="P198" i="4"/>
  <c r="M198" i="4"/>
  <c r="R198" i="4" s="1"/>
  <c r="P166" i="4"/>
  <c r="M166" i="4"/>
  <c r="R166" i="4" s="1"/>
  <c r="P134" i="4"/>
  <c r="M134" i="4"/>
  <c r="R134" i="4" s="1"/>
  <c r="P94" i="4"/>
  <c r="M94" i="4"/>
  <c r="R94" i="4" s="1"/>
  <c r="P46" i="4"/>
  <c r="M46" i="4"/>
  <c r="R46" i="4" s="1"/>
  <c r="R7" i="2"/>
  <c r="R818" i="2"/>
  <c r="R358" i="2"/>
  <c r="P546" i="4"/>
  <c r="M546" i="4"/>
  <c r="R546" i="4" s="1"/>
  <c r="P538" i="4"/>
  <c r="M538" i="4"/>
  <c r="R538" i="4" s="1"/>
  <c r="P530" i="4"/>
  <c r="M530" i="4"/>
  <c r="R530" i="4" s="1"/>
  <c r="P522" i="4"/>
  <c r="M522" i="4"/>
  <c r="R522" i="4" s="1"/>
  <c r="P514" i="4"/>
  <c r="M514" i="4"/>
  <c r="R514" i="4" s="1"/>
  <c r="P506" i="4"/>
  <c r="M506" i="4"/>
  <c r="R506" i="4" s="1"/>
  <c r="P498" i="4"/>
  <c r="M498" i="4"/>
  <c r="R498" i="4" s="1"/>
  <c r="P490" i="4"/>
  <c r="M490" i="4"/>
  <c r="R490" i="4" s="1"/>
  <c r="P482" i="4"/>
  <c r="M482" i="4"/>
  <c r="R482" i="4" s="1"/>
  <c r="P474" i="4"/>
  <c r="M474" i="4"/>
  <c r="R474" i="4" s="1"/>
  <c r="P466" i="4"/>
  <c r="M466" i="4"/>
  <c r="R466" i="4" s="1"/>
  <c r="P458" i="4"/>
  <c r="M458" i="4"/>
  <c r="R458" i="4" s="1"/>
  <c r="P450" i="4"/>
  <c r="M450" i="4"/>
  <c r="R450" i="4" s="1"/>
  <c r="P442" i="4"/>
  <c r="M442" i="4"/>
  <c r="R442" i="4" s="1"/>
  <c r="P434" i="4"/>
  <c r="M434" i="4"/>
  <c r="R434" i="4" s="1"/>
  <c r="P426" i="4"/>
  <c r="M426" i="4"/>
  <c r="R426" i="4" s="1"/>
  <c r="P418" i="4"/>
  <c r="M418" i="4"/>
  <c r="R418" i="4" s="1"/>
  <c r="P410" i="4"/>
  <c r="M410" i="4"/>
  <c r="R410" i="4" s="1"/>
  <c r="P402" i="4"/>
  <c r="M402" i="4"/>
  <c r="R402" i="4" s="1"/>
  <c r="P394" i="4"/>
  <c r="M394" i="4"/>
  <c r="R394" i="4" s="1"/>
  <c r="P386" i="4"/>
  <c r="M386" i="4"/>
  <c r="R386" i="4" s="1"/>
  <c r="P378" i="4"/>
  <c r="M378" i="4"/>
  <c r="R378" i="4" s="1"/>
  <c r="P370" i="4"/>
  <c r="M370" i="4"/>
  <c r="P362" i="4"/>
  <c r="M362" i="4"/>
  <c r="P354" i="4"/>
  <c r="M354" i="4"/>
  <c r="P346" i="4"/>
  <c r="M346" i="4"/>
  <c r="P338" i="4"/>
  <c r="M338" i="4"/>
  <c r="P330" i="4"/>
  <c r="M330" i="4"/>
  <c r="P322" i="4"/>
  <c r="M322" i="4"/>
  <c r="P314" i="4"/>
  <c r="M314" i="4"/>
  <c r="P306" i="4"/>
  <c r="M306" i="4"/>
  <c r="P298" i="4"/>
  <c r="M298" i="4"/>
  <c r="P290" i="4"/>
  <c r="M290" i="4"/>
  <c r="P282" i="4"/>
  <c r="M282" i="4"/>
  <c r="P274" i="4"/>
  <c r="M274" i="4"/>
  <c r="P266" i="4"/>
  <c r="M266" i="4"/>
  <c r="P258" i="4"/>
  <c r="M258" i="4"/>
  <c r="P250" i="4"/>
  <c r="M250" i="4"/>
  <c r="P242" i="4"/>
  <c r="M242" i="4"/>
  <c r="P234" i="4"/>
  <c r="M234" i="4"/>
  <c r="P226" i="4"/>
  <c r="M226" i="4"/>
  <c r="P218" i="4"/>
  <c r="M218" i="4"/>
  <c r="P210" i="4"/>
  <c r="M210" i="4"/>
  <c r="P202" i="4"/>
  <c r="M202" i="4"/>
  <c r="P194" i="4"/>
  <c r="M194" i="4"/>
  <c r="P186" i="4"/>
  <c r="M186" i="4"/>
  <c r="P178" i="4"/>
  <c r="M178" i="4"/>
  <c r="P170" i="4"/>
  <c r="M170" i="4"/>
  <c r="P162" i="4"/>
  <c r="M162" i="4"/>
  <c r="P154" i="4"/>
  <c r="M154" i="4"/>
  <c r="P146" i="4"/>
  <c r="M146" i="4"/>
  <c r="P138" i="4"/>
  <c r="M138" i="4"/>
  <c r="P130" i="4"/>
  <c r="M130" i="4"/>
  <c r="P122" i="4"/>
  <c r="M122" i="4"/>
  <c r="P114" i="4"/>
  <c r="M114" i="4"/>
  <c r="P106" i="4"/>
  <c r="M106" i="4"/>
  <c r="P98" i="4"/>
  <c r="M98" i="4"/>
  <c r="P90" i="4"/>
  <c r="M90" i="4"/>
  <c r="P82" i="4"/>
  <c r="M82" i="4"/>
  <c r="P74" i="4"/>
  <c r="M74" i="4"/>
  <c r="P66" i="4"/>
  <c r="M66" i="4"/>
  <c r="P58" i="4"/>
  <c r="M58" i="4"/>
  <c r="P50" i="4"/>
  <c r="M50" i="4"/>
  <c r="P42" i="4"/>
  <c r="M42" i="4"/>
  <c r="P34" i="4"/>
  <c r="M34" i="4"/>
  <c r="P26" i="4"/>
  <c r="M26" i="4"/>
  <c r="P18" i="4"/>
  <c r="M18" i="4"/>
  <c r="P10" i="4"/>
  <c r="M10" i="4"/>
  <c r="P518" i="4"/>
  <c r="M518" i="4"/>
  <c r="R518" i="4" s="1"/>
  <c r="P494" i="4"/>
  <c r="M494" i="4"/>
  <c r="R494" i="4" s="1"/>
  <c r="P454" i="4"/>
  <c r="M454" i="4"/>
  <c r="R454" i="4" s="1"/>
  <c r="P414" i="4"/>
  <c r="M414" i="4"/>
  <c r="R414" i="4" s="1"/>
  <c r="P382" i="4"/>
  <c r="M382" i="4"/>
  <c r="R382" i="4" s="1"/>
  <c r="P350" i="4"/>
  <c r="M350" i="4"/>
  <c r="R350" i="4" s="1"/>
  <c r="P310" i="4"/>
  <c r="M310" i="4"/>
  <c r="R310" i="4" s="1"/>
  <c r="P278" i="4"/>
  <c r="M278" i="4"/>
  <c r="R278" i="4" s="1"/>
  <c r="P254" i="4"/>
  <c r="M254" i="4"/>
  <c r="R254" i="4" s="1"/>
  <c r="P222" i="4"/>
  <c r="M222" i="4"/>
  <c r="R222" i="4" s="1"/>
  <c r="P182" i="4"/>
  <c r="M182" i="4"/>
  <c r="R182" i="4" s="1"/>
  <c r="P150" i="4"/>
  <c r="M150" i="4"/>
  <c r="R150" i="4" s="1"/>
  <c r="P118" i="4"/>
  <c r="M118" i="4"/>
  <c r="R118" i="4" s="1"/>
  <c r="P86" i="4"/>
  <c r="M86" i="4"/>
  <c r="R86" i="4" s="1"/>
  <c r="P54" i="4"/>
  <c r="M54" i="4"/>
  <c r="R54" i="4" s="1"/>
  <c r="P30" i="4"/>
  <c r="M30" i="4"/>
  <c r="R30" i="4" s="1"/>
  <c r="R758" i="2"/>
  <c r="P2" i="4"/>
  <c r="M2" i="4"/>
  <c r="R2" i="4" s="1"/>
  <c r="P545" i="4"/>
  <c r="M545" i="4"/>
  <c r="R545" i="4" s="1"/>
  <c r="P537" i="4"/>
  <c r="M537" i="4"/>
  <c r="R537" i="4" s="1"/>
  <c r="P529" i="4"/>
  <c r="M529" i="4"/>
  <c r="R529" i="4" s="1"/>
  <c r="P521" i="4"/>
  <c r="M521" i="4"/>
  <c r="R521" i="4" s="1"/>
  <c r="P513" i="4"/>
  <c r="M513" i="4"/>
  <c r="R513" i="4" s="1"/>
  <c r="P505" i="4"/>
  <c r="M505" i="4"/>
  <c r="R505" i="4" s="1"/>
  <c r="P497" i="4"/>
  <c r="M497" i="4"/>
  <c r="R497" i="4" s="1"/>
  <c r="P489" i="4"/>
  <c r="M489" i="4"/>
  <c r="R489" i="4" s="1"/>
  <c r="P481" i="4"/>
  <c r="M481" i="4"/>
  <c r="R481" i="4" s="1"/>
  <c r="P473" i="4"/>
  <c r="M473" i="4"/>
  <c r="R473" i="4" s="1"/>
  <c r="P465" i="4"/>
  <c r="M465" i="4"/>
  <c r="R465" i="4" s="1"/>
  <c r="P457" i="4"/>
  <c r="M457" i="4"/>
  <c r="R457" i="4" s="1"/>
  <c r="P449" i="4"/>
  <c r="M449" i="4"/>
  <c r="R449" i="4" s="1"/>
  <c r="P441" i="4"/>
  <c r="M441" i="4"/>
  <c r="R441" i="4" s="1"/>
  <c r="P433" i="4"/>
  <c r="M433" i="4"/>
  <c r="R433" i="4" s="1"/>
  <c r="P425" i="4"/>
  <c r="M425" i="4"/>
  <c r="R425" i="4" s="1"/>
  <c r="P417" i="4"/>
  <c r="M417" i="4"/>
  <c r="R417" i="4" s="1"/>
  <c r="P409" i="4"/>
  <c r="M409" i="4"/>
  <c r="R409" i="4" s="1"/>
  <c r="P401" i="4"/>
  <c r="M401" i="4"/>
  <c r="R401" i="4" s="1"/>
  <c r="P393" i="4"/>
  <c r="M393" i="4"/>
  <c r="R393" i="4" s="1"/>
  <c r="P385" i="4"/>
  <c r="M385" i="4"/>
  <c r="R385" i="4" s="1"/>
  <c r="P377" i="4"/>
  <c r="M377" i="4"/>
  <c r="R377" i="4" s="1"/>
  <c r="P369" i="4"/>
  <c r="M369" i="4"/>
  <c r="R369" i="4" s="1"/>
  <c r="P361" i="4"/>
  <c r="M361" i="4"/>
  <c r="R361" i="4" s="1"/>
  <c r="P353" i="4"/>
  <c r="M353" i="4"/>
  <c r="R353" i="4" s="1"/>
  <c r="P345" i="4"/>
  <c r="M345" i="4"/>
  <c r="R345" i="4" s="1"/>
  <c r="P337" i="4"/>
  <c r="M337" i="4"/>
  <c r="R337" i="4" s="1"/>
  <c r="P329" i="4"/>
  <c r="M329" i="4"/>
  <c r="R329" i="4" s="1"/>
  <c r="P321" i="4"/>
  <c r="M321" i="4"/>
  <c r="R321" i="4" s="1"/>
  <c r="P313" i="4"/>
  <c r="M313" i="4"/>
  <c r="R313" i="4" s="1"/>
  <c r="P305" i="4"/>
  <c r="M305" i="4"/>
  <c r="R305" i="4" s="1"/>
  <c r="P297" i="4"/>
  <c r="M297" i="4"/>
  <c r="R297" i="4" s="1"/>
  <c r="P289" i="4"/>
  <c r="M289" i="4"/>
  <c r="R289" i="4" s="1"/>
  <c r="P281" i="4"/>
  <c r="M281" i="4"/>
  <c r="R281" i="4" s="1"/>
  <c r="P273" i="4"/>
  <c r="M273" i="4"/>
  <c r="R273" i="4" s="1"/>
  <c r="P265" i="4"/>
  <c r="M265" i="4"/>
  <c r="R265" i="4" s="1"/>
  <c r="P257" i="4"/>
  <c r="M257" i="4"/>
  <c r="R257" i="4" s="1"/>
  <c r="P249" i="4"/>
  <c r="M249" i="4"/>
  <c r="R249" i="4" s="1"/>
  <c r="P241" i="4"/>
  <c r="M241" i="4"/>
  <c r="R241" i="4" s="1"/>
  <c r="P233" i="4"/>
  <c r="M233" i="4"/>
  <c r="R233" i="4" s="1"/>
  <c r="P225" i="4"/>
  <c r="M225" i="4"/>
  <c r="R225" i="4" s="1"/>
  <c r="P217" i="4"/>
  <c r="M217" i="4"/>
  <c r="R217" i="4" s="1"/>
  <c r="P209" i="4"/>
  <c r="M209" i="4"/>
  <c r="R209" i="4" s="1"/>
  <c r="P201" i="4"/>
  <c r="M201" i="4"/>
  <c r="R201" i="4" s="1"/>
  <c r="P193" i="4"/>
  <c r="M193" i="4"/>
  <c r="R193" i="4" s="1"/>
  <c r="P185" i="4"/>
  <c r="M185" i="4"/>
  <c r="R185" i="4" s="1"/>
  <c r="P177" i="4"/>
  <c r="M177" i="4"/>
  <c r="R177" i="4" s="1"/>
  <c r="P169" i="4"/>
  <c r="M169" i="4"/>
  <c r="R169" i="4" s="1"/>
  <c r="P161" i="4"/>
  <c r="M161" i="4"/>
  <c r="R161" i="4" s="1"/>
  <c r="P153" i="4"/>
  <c r="M153" i="4"/>
  <c r="R153" i="4" s="1"/>
  <c r="P145" i="4"/>
  <c r="M145" i="4"/>
  <c r="R145" i="4" s="1"/>
  <c r="P137" i="4"/>
  <c r="M137" i="4"/>
  <c r="R137" i="4" s="1"/>
  <c r="P129" i="4"/>
  <c r="M129" i="4"/>
  <c r="R129" i="4" s="1"/>
  <c r="P121" i="4"/>
  <c r="M121" i="4"/>
  <c r="R121" i="4" s="1"/>
  <c r="P113" i="4"/>
  <c r="M113" i="4"/>
  <c r="R113" i="4" s="1"/>
  <c r="P105" i="4"/>
  <c r="M105" i="4"/>
  <c r="R105" i="4" s="1"/>
  <c r="P97" i="4"/>
  <c r="M97" i="4"/>
  <c r="R97" i="4" s="1"/>
  <c r="P89" i="4"/>
  <c r="M89" i="4"/>
  <c r="R89" i="4" s="1"/>
  <c r="P81" i="4"/>
  <c r="M81" i="4"/>
  <c r="R81" i="4" s="1"/>
  <c r="P73" i="4"/>
  <c r="M73" i="4"/>
  <c r="R73" i="4" s="1"/>
  <c r="P65" i="4"/>
  <c r="M65" i="4"/>
  <c r="R65" i="4" s="1"/>
  <c r="P57" i="4"/>
  <c r="M57" i="4"/>
  <c r="R57" i="4" s="1"/>
  <c r="P49" i="4"/>
  <c r="M49" i="4"/>
  <c r="R49" i="4" s="1"/>
  <c r="P41" i="4"/>
  <c r="M41" i="4"/>
  <c r="R41" i="4" s="1"/>
  <c r="P33" i="4"/>
  <c r="M33" i="4"/>
  <c r="R33" i="4" s="1"/>
  <c r="P25" i="4"/>
  <c r="M25" i="4"/>
  <c r="R25" i="4" s="1"/>
  <c r="P17" i="4"/>
  <c r="M17" i="4"/>
  <c r="R17" i="4" s="1"/>
  <c r="P9" i="4"/>
  <c r="M9" i="4"/>
  <c r="R9" i="4" s="1"/>
  <c r="P552" i="4"/>
  <c r="M552" i="4"/>
  <c r="R552" i="4" s="1"/>
  <c r="P544" i="4"/>
  <c r="M544" i="4"/>
  <c r="R544" i="4" s="1"/>
  <c r="P536" i="4"/>
  <c r="M536" i="4"/>
  <c r="R536" i="4" s="1"/>
  <c r="P528" i="4"/>
  <c r="M528" i="4"/>
  <c r="R528" i="4" s="1"/>
  <c r="P520" i="4"/>
  <c r="M520" i="4"/>
  <c r="R520" i="4" s="1"/>
  <c r="P512" i="4"/>
  <c r="M512" i="4"/>
  <c r="R512" i="4" s="1"/>
  <c r="P504" i="4"/>
  <c r="M504" i="4"/>
  <c r="R504" i="4" s="1"/>
  <c r="P496" i="4"/>
  <c r="M496" i="4"/>
  <c r="R496" i="4" s="1"/>
  <c r="P488" i="4"/>
  <c r="M488" i="4"/>
  <c r="R488" i="4" s="1"/>
  <c r="P480" i="4"/>
  <c r="M480" i="4"/>
  <c r="R480" i="4" s="1"/>
  <c r="P472" i="4"/>
  <c r="M472" i="4"/>
  <c r="R472" i="4" s="1"/>
  <c r="P464" i="4"/>
  <c r="M464" i="4"/>
  <c r="R464" i="4" s="1"/>
  <c r="P456" i="4"/>
  <c r="M456" i="4"/>
  <c r="R456" i="4" s="1"/>
  <c r="P448" i="4"/>
  <c r="M448" i="4"/>
  <c r="R448" i="4" s="1"/>
  <c r="P440" i="4"/>
  <c r="M440" i="4"/>
  <c r="R440" i="4" s="1"/>
  <c r="P432" i="4"/>
  <c r="M432" i="4"/>
  <c r="R432" i="4" s="1"/>
  <c r="P424" i="4"/>
  <c r="M424" i="4"/>
  <c r="R424" i="4" s="1"/>
  <c r="P416" i="4"/>
  <c r="M416" i="4"/>
  <c r="R416" i="4" s="1"/>
  <c r="P408" i="4"/>
  <c r="M408" i="4"/>
  <c r="R408" i="4" s="1"/>
  <c r="P400" i="4"/>
  <c r="M400" i="4"/>
  <c r="R400" i="4" s="1"/>
  <c r="P392" i="4"/>
  <c r="M392" i="4"/>
  <c r="R392" i="4" s="1"/>
  <c r="P384" i="4"/>
  <c r="M384" i="4"/>
  <c r="R384" i="4" s="1"/>
  <c r="P376" i="4"/>
  <c r="M376" i="4"/>
  <c r="R376" i="4" s="1"/>
  <c r="P368" i="4"/>
  <c r="M368" i="4"/>
  <c r="R368" i="4" s="1"/>
  <c r="P360" i="4"/>
  <c r="M360" i="4"/>
  <c r="R360" i="4" s="1"/>
  <c r="P352" i="4"/>
  <c r="M352" i="4"/>
  <c r="R352" i="4" s="1"/>
  <c r="P344" i="4"/>
  <c r="M344" i="4"/>
  <c r="R344" i="4" s="1"/>
  <c r="P336" i="4"/>
  <c r="M336" i="4"/>
  <c r="R336" i="4" s="1"/>
  <c r="P328" i="4"/>
  <c r="M328" i="4"/>
  <c r="R328" i="4" s="1"/>
  <c r="P320" i="4"/>
  <c r="M320" i="4"/>
  <c r="R320" i="4" s="1"/>
  <c r="P312" i="4"/>
  <c r="M312" i="4"/>
  <c r="R312" i="4" s="1"/>
  <c r="P304" i="4"/>
  <c r="M304" i="4"/>
  <c r="R304" i="4" s="1"/>
  <c r="P296" i="4"/>
  <c r="M296" i="4"/>
  <c r="R296" i="4" s="1"/>
  <c r="P288" i="4"/>
  <c r="M288" i="4"/>
  <c r="R288" i="4" s="1"/>
  <c r="P280" i="4"/>
  <c r="M280" i="4"/>
  <c r="R280" i="4" s="1"/>
  <c r="P272" i="4"/>
  <c r="M272" i="4"/>
  <c r="R272" i="4" s="1"/>
  <c r="P264" i="4"/>
  <c r="M264" i="4"/>
  <c r="R264" i="4" s="1"/>
  <c r="P256" i="4"/>
  <c r="M256" i="4"/>
  <c r="R256" i="4" s="1"/>
  <c r="P248" i="4"/>
  <c r="M248" i="4"/>
  <c r="R248" i="4" s="1"/>
  <c r="P240" i="4"/>
  <c r="M240" i="4"/>
  <c r="R240" i="4" s="1"/>
  <c r="P232" i="4"/>
  <c r="M232" i="4"/>
  <c r="R232" i="4" s="1"/>
  <c r="P224" i="4"/>
  <c r="M224" i="4"/>
  <c r="R224" i="4" s="1"/>
  <c r="P216" i="4"/>
  <c r="M216" i="4"/>
  <c r="R216" i="4" s="1"/>
  <c r="P208" i="4"/>
  <c r="M208" i="4"/>
  <c r="R208" i="4" s="1"/>
  <c r="P200" i="4"/>
  <c r="M200" i="4"/>
  <c r="R200" i="4" s="1"/>
  <c r="P192" i="4"/>
  <c r="M192" i="4"/>
  <c r="R192" i="4" s="1"/>
  <c r="P184" i="4"/>
  <c r="M184" i="4"/>
  <c r="R184" i="4" s="1"/>
  <c r="P176" i="4"/>
  <c r="M176" i="4"/>
  <c r="R176" i="4" s="1"/>
  <c r="P168" i="4"/>
  <c r="M168" i="4"/>
  <c r="R168" i="4" s="1"/>
  <c r="P160" i="4"/>
  <c r="M160" i="4"/>
  <c r="R160" i="4" s="1"/>
  <c r="P152" i="4"/>
  <c r="M152" i="4"/>
  <c r="R152" i="4" s="1"/>
  <c r="P144" i="4"/>
  <c r="M144" i="4"/>
  <c r="R144" i="4" s="1"/>
  <c r="P136" i="4"/>
  <c r="M136" i="4"/>
  <c r="R136" i="4" s="1"/>
  <c r="P128" i="4"/>
  <c r="M128" i="4"/>
  <c r="R128" i="4" s="1"/>
  <c r="P120" i="4"/>
  <c r="M120" i="4"/>
  <c r="R120" i="4" s="1"/>
  <c r="P112" i="4"/>
  <c r="M112" i="4"/>
  <c r="R112" i="4" s="1"/>
  <c r="P104" i="4"/>
  <c r="M104" i="4"/>
  <c r="R104" i="4" s="1"/>
  <c r="P96" i="4"/>
  <c r="M96" i="4"/>
  <c r="R96" i="4" s="1"/>
  <c r="P88" i="4"/>
  <c r="M88" i="4"/>
  <c r="R88" i="4" s="1"/>
  <c r="P80" i="4"/>
  <c r="M80" i="4"/>
  <c r="R80" i="4" s="1"/>
  <c r="P72" i="4"/>
  <c r="M72" i="4"/>
  <c r="R72" i="4" s="1"/>
  <c r="P64" i="4"/>
  <c r="M64" i="4"/>
  <c r="R64" i="4" s="1"/>
  <c r="P56" i="4"/>
  <c r="M56" i="4"/>
  <c r="R56" i="4" s="1"/>
  <c r="P48" i="4"/>
  <c r="M48" i="4"/>
  <c r="R48" i="4" s="1"/>
  <c r="P40" i="4"/>
  <c r="M40" i="4"/>
  <c r="R40" i="4" s="1"/>
  <c r="P32" i="4"/>
  <c r="M32" i="4"/>
  <c r="R32" i="4" s="1"/>
  <c r="P24" i="4"/>
  <c r="M24" i="4"/>
  <c r="R24" i="4" s="1"/>
  <c r="P16" i="4"/>
  <c r="M16" i="4"/>
  <c r="R16" i="4" s="1"/>
  <c r="P8" i="4"/>
  <c r="M8" i="4"/>
  <c r="R8" i="4" s="1"/>
  <c r="O124" i="4"/>
  <c r="O116" i="4"/>
  <c r="O108" i="4"/>
  <c r="O100" i="4"/>
  <c r="O92" i="4"/>
  <c r="O84" i="4"/>
  <c r="O76" i="4"/>
  <c r="O68" i="4"/>
  <c r="O60" i="4"/>
  <c r="O52" i="4"/>
  <c r="O44" i="4"/>
  <c r="O36" i="4"/>
  <c r="O28" i="4"/>
  <c r="O20" i="4"/>
  <c r="O12" i="4"/>
  <c r="O4" i="4"/>
  <c r="Q547" i="4"/>
  <c r="Q539" i="4"/>
  <c r="Q531" i="4"/>
  <c r="Q523" i="4"/>
  <c r="Q515" i="4"/>
  <c r="Q507" i="4"/>
  <c r="Q499" i="4"/>
  <c r="Q491" i="4"/>
  <c r="Q483" i="4"/>
  <c r="Q475" i="4"/>
  <c r="Q467" i="4"/>
  <c r="Q459" i="4"/>
  <c r="Q451" i="4"/>
  <c r="Q443" i="4"/>
  <c r="Q435" i="4"/>
  <c r="Q427" i="4"/>
  <c r="Q419" i="4"/>
  <c r="Q411" i="4"/>
  <c r="Q403" i="4"/>
  <c r="Q395" i="4"/>
  <c r="Q387" i="4"/>
  <c r="Q379" i="4"/>
  <c r="Q371" i="4"/>
  <c r="Q363" i="4"/>
  <c r="Q355" i="4"/>
  <c r="Q347" i="4"/>
  <c r="Q339" i="4"/>
  <c r="Q331" i="4"/>
  <c r="Q323" i="4"/>
  <c r="Q315" i="4"/>
  <c r="Q307" i="4"/>
  <c r="Q299" i="4"/>
  <c r="Q291" i="4"/>
  <c r="Q283" i="4"/>
  <c r="Q275" i="4"/>
  <c r="Q267" i="4"/>
  <c r="Q259" i="4"/>
  <c r="Q251" i="4"/>
  <c r="Q243" i="4"/>
  <c r="Q235" i="4"/>
  <c r="Q227" i="4"/>
  <c r="Q219" i="4"/>
  <c r="Q211" i="4"/>
  <c r="Q203" i="4"/>
  <c r="Q195" i="4"/>
  <c r="Q187" i="4"/>
  <c r="Q179" i="4"/>
  <c r="Q171" i="4"/>
  <c r="Q163" i="4"/>
  <c r="Q155" i="4"/>
  <c r="Q147" i="4"/>
  <c r="Q139" i="4"/>
  <c r="Q131" i="4"/>
  <c r="Q123" i="4"/>
  <c r="Q115" i="4"/>
  <c r="Q107" i="4"/>
  <c r="Q99" i="4"/>
  <c r="Q91" i="4"/>
  <c r="Q83" i="4"/>
  <c r="Q75" i="4"/>
  <c r="Q67" i="4"/>
  <c r="Q59" i="4"/>
  <c r="Q51" i="4"/>
  <c r="Q43" i="4"/>
  <c r="Q35" i="4"/>
  <c r="Q27" i="4"/>
  <c r="Q19" i="4"/>
  <c r="Q11" i="4"/>
  <c r="Q3" i="4"/>
  <c r="Q530" i="4"/>
  <c r="Q522" i="4"/>
  <c r="Q514" i="4"/>
  <c r="Q506" i="4"/>
  <c r="Q498" i="4"/>
  <c r="Q490" i="4"/>
  <c r="Q482" i="4"/>
  <c r="Q474" i="4"/>
  <c r="Q466" i="4"/>
  <c r="Q458" i="4"/>
  <c r="Q450" i="4"/>
  <c r="Q442" i="4"/>
  <c r="Q434" i="4"/>
  <c r="Q426" i="4"/>
  <c r="Q418" i="4"/>
  <c r="Q410" i="4"/>
  <c r="Q402" i="4"/>
  <c r="Q394" i="4"/>
  <c r="Q386" i="4"/>
  <c r="Q378" i="4"/>
  <c r="Q370" i="4"/>
  <c r="Q362" i="4"/>
  <c r="Q354" i="4"/>
  <c r="Q346" i="4"/>
  <c r="Q338" i="4"/>
  <c r="Q330" i="4"/>
  <c r="Q322" i="4"/>
  <c r="Q314" i="4"/>
  <c r="Q306" i="4"/>
  <c r="Q298" i="4"/>
  <c r="Q290" i="4"/>
  <c r="Q282" i="4"/>
  <c r="Q274" i="4"/>
  <c r="Q266" i="4"/>
  <c r="Q258" i="4"/>
  <c r="Q250" i="4"/>
  <c r="Q242" i="4"/>
  <c r="Q234" i="4"/>
  <c r="Q226" i="4"/>
  <c r="Q218" i="4"/>
  <c r="Q210" i="4"/>
  <c r="Q202" i="4"/>
  <c r="Q194" i="4"/>
  <c r="Q186" i="4"/>
  <c r="Q178" i="4"/>
  <c r="Q170" i="4"/>
  <c r="Q162" i="4"/>
  <c r="Q154" i="4"/>
  <c r="Q146" i="4"/>
  <c r="Q138" i="4"/>
  <c r="Q130" i="4"/>
  <c r="Q122" i="4"/>
  <c r="Q114" i="4"/>
  <c r="Q106" i="4"/>
  <c r="Q98" i="4"/>
  <c r="Q90" i="4"/>
  <c r="Q82" i="4"/>
  <c r="Q74" i="4"/>
  <c r="Q66" i="4"/>
  <c r="Q58" i="4"/>
  <c r="Q50" i="4"/>
  <c r="Q42" i="4"/>
  <c r="Q34" i="4"/>
  <c r="Q26" i="4"/>
  <c r="Q18" i="4"/>
  <c r="Q10" i="4"/>
  <c r="O370" i="4"/>
  <c r="O362" i="4"/>
  <c r="O354" i="4"/>
  <c r="O346" i="4"/>
  <c r="O338" i="4"/>
  <c r="O330" i="4"/>
  <c r="O322" i="4"/>
  <c r="O314" i="4"/>
  <c r="O306" i="4"/>
  <c r="O298" i="4"/>
  <c r="O290" i="4"/>
  <c r="O282" i="4"/>
  <c r="O274" i="4"/>
  <c r="O266" i="4"/>
  <c r="O258" i="4"/>
  <c r="O250" i="4"/>
  <c r="O242" i="4"/>
  <c r="O234" i="4"/>
  <c r="O226" i="4"/>
  <c r="O218" i="4"/>
  <c r="O210" i="4"/>
  <c r="O202" i="4"/>
  <c r="O194" i="4"/>
  <c r="O186" i="4"/>
  <c r="O178" i="4"/>
  <c r="O170" i="4"/>
  <c r="O162" i="4"/>
  <c r="O154" i="4"/>
  <c r="O146" i="4"/>
  <c r="O138" i="4"/>
  <c r="O130" i="4"/>
  <c r="O122" i="4"/>
  <c r="O114" i="4"/>
  <c r="O106" i="4"/>
  <c r="O98" i="4"/>
  <c r="O90" i="4"/>
  <c r="O82" i="4"/>
  <c r="O74" i="4"/>
  <c r="O66" i="4"/>
  <c r="O58" i="4"/>
  <c r="O50" i="4"/>
  <c r="O42" i="4"/>
  <c r="O34" i="4"/>
  <c r="O26" i="4"/>
  <c r="O18" i="4"/>
  <c r="O10" i="4"/>
  <c r="Q551" i="4"/>
  <c r="Q543" i="4"/>
  <c r="Q535" i="4"/>
  <c r="Q527" i="4"/>
  <c r="Q519" i="4"/>
  <c r="Q511" i="4"/>
  <c r="Q503" i="4"/>
  <c r="Q495" i="4"/>
  <c r="Q487" i="4"/>
  <c r="Q479" i="4"/>
  <c r="Q471" i="4"/>
  <c r="Q463" i="4"/>
  <c r="Q455" i="4"/>
  <c r="Q447" i="4"/>
  <c r="Q439" i="4"/>
  <c r="Q431" i="4"/>
  <c r="Q423" i="4"/>
  <c r="Q415" i="4"/>
  <c r="Q407" i="4"/>
  <c r="Q399" i="4"/>
  <c r="Q391" i="4"/>
  <c r="Q383" i="4"/>
  <c r="Q375" i="4"/>
  <c r="Q367" i="4"/>
  <c r="Q359" i="4"/>
  <c r="Q351" i="4"/>
  <c r="Q343" i="4"/>
  <c r="Q335" i="4"/>
  <c r="Q327" i="4"/>
  <c r="Q319" i="4"/>
  <c r="Q311" i="4"/>
  <c r="Q303" i="4"/>
  <c r="Q295" i="4"/>
  <c r="Q287" i="4"/>
  <c r="Q279" i="4"/>
  <c r="Q271" i="4"/>
  <c r="Q263" i="4"/>
  <c r="Q255" i="4"/>
  <c r="Q247" i="4"/>
  <c r="Q239" i="4"/>
  <c r="Q231" i="4"/>
  <c r="Q223" i="4"/>
  <c r="Q215" i="4"/>
  <c r="Q207" i="4"/>
  <c r="Q199" i="4"/>
  <c r="Q191" i="4"/>
  <c r="Q183" i="4"/>
  <c r="Q175" i="4"/>
  <c r="Q167" i="4"/>
  <c r="Q159" i="4"/>
  <c r="Q151" i="4"/>
  <c r="Q143" i="4"/>
  <c r="Q135" i="4"/>
  <c r="Q127" i="4"/>
  <c r="Q119" i="4"/>
  <c r="Q111" i="4"/>
  <c r="Q103" i="4"/>
  <c r="Q95" i="4"/>
  <c r="Q87" i="4"/>
  <c r="Q79" i="4"/>
  <c r="Q71" i="4"/>
  <c r="Q63" i="4"/>
  <c r="Q55" i="4"/>
  <c r="Q47" i="4"/>
  <c r="Q39" i="4"/>
  <c r="Q31" i="4"/>
  <c r="Q23" i="4"/>
  <c r="Q15" i="4"/>
  <c r="Q7" i="4"/>
  <c r="R730" i="2"/>
  <c r="O731" i="2"/>
  <c r="O732" i="2" s="1"/>
  <c r="O733" i="2" s="1"/>
  <c r="O734" i="2" s="1"/>
  <c r="O695" i="2"/>
  <c r="O696" i="2" s="1"/>
  <c r="R694" i="2"/>
  <c r="O119" i="2"/>
  <c r="O120" i="2" s="1"/>
  <c r="R118" i="2"/>
  <c r="O791" i="2"/>
  <c r="R790" i="2"/>
  <c r="O47" i="2"/>
  <c r="O48" i="2" s="1"/>
  <c r="O49" i="2" s="1"/>
  <c r="O50" i="2" s="1"/>
  <c r="O51" i="2" s="1"/>
  <c r="O52" i="2" s="1"/>
  <c r="O53" i="2" s="1"/>
  <c r="O54" i="2" s="1"/>
  <c r="R46" i="2"/>
  <c r="O23" i="2"/>
  <c r="O24" i="2" s="1"/>
  <c r="O25" i="2" s="1"/>
  <c r="O26" i="2" s="1"/>
  <c r="R22" i="2"/>
  <c r="O391" i="2"/>
  <c r="O392" i="2" s="1"/>
  <c r="O393" i="2" s="1"/>
  <c r="R390" i="2"/>
  <c r="O71" i="2"/>
  <c r="O72" i="2" s="1"/>
  <c r="O73" i="2" s="1"/>
  <c r="O74" i="2" s="1"/>
  <c r="R70" i="2"/>
  <c r="N45" i="2"/>
  <c r="N46" i="2" s="1"/>
  <c r="N47" i="2" s="1"/>
  <c r="N48" i="2" s="1"/>
  <c r="N49" i="2" s="1"/>
  <c r="N50" i="2" s="1"/>
  <c r="N51" i="2" s="1"/>
  <c r="N52" i="2" s="1"/>
  <c r="N53" i="2" s="1"/>
  <c r="N54" i="2" s="1"/>
  <c r="N55" i="2" s="1"/>
  <c r="N56" i="2" s="1"/>
  <c r="N57" i="2" s="1"/>
  <c r="N58" i="2" s="1"/>
  <c r="P207" i="2"/>
  <c r="R718" i="2"/>
  <c r="R494" i="2"/>
  <c r="P763" i="2"/>
  <c r="P470" i="2"/>
  <c r="P143" i="2"/>
  <c r="P531" i="2"/>
  <c r="P660" i="2"/>
  <c r="N294" i="2"/>
  <c r="N295" i="2" s="1"/>
  <c r="N296" i="2" s="1"/>
  <c r="N297" i="2" s="1"/>
  <c r="N298" i="2" s="1"/>
  <c r="N299" i="2" s="1"/>
  <c r="N300" i="2" s="1"/>
  <c r="N301" i="2" s="1"/>
  <c r="N302" i="2" s="1"/>
  <c r="P654" i="2"/>
  <c r="P563" i="2"/>
  <c r="P811" i="2"/>
  <c r="R231" i="2"/>
  <c r="N154" i="2"/>
  <c r="N155" i="2" s="1"/>
  <c r="N12" i="2"/>
  <c r="N13" i="2" s="1"/>
  <c r="N14" i="2" s="1"/>
  <c r="N15" i="2" s="1"/>
  <c r="P755" i="2"/>
  <c r="P655" i="2"/>
  <c r="P471" i="2"/>
  <c r="P303" i="2"/>
  <c r="P147" i="2"/>
  <c r="P70" i="2"/>
  <c r="R807" i="2"/>
  <c r="R799" i="2"/>
  <c r="R783" i="2"/>
  <c r="R775" i="2"/>
  <c r="R759" i="2"/>
  <c r="R727" i="2"/>
  <c r="R719" i="2"/>
  <c r="R711" i="2"/>
  <c r="R703" i="2"/>
  <c r="R679" i="2"/>
  <c r="R663" i="2"/>
  <c r="R655" i="2"/>
  <c r="R647" i="2"/>
  <c r="R559" i="2"/>
  <c r="R535" i="2"/>
  <c r="R487" i="2"/>
  <c r="R479" i="2"/>
  <c r="R471" i="2"/>
  <c r="R463" i="2"/>
  <c r="R455" i="2"/>
  <c r="R447" i="2"/>
  <c r="R439" i="2"/>
  <c r="R407" i="2"/>
  <c r="R399" i="2"/>
  <c r="R391" i="2"/>
  <c r="R367" i="2"/>
  <c r="R359" i="2"/>
  <c r="R351" i="2"/>
  <c r="R335" i="2"/>
  <c r="R319" i="2"/>
  <c r="R311" i="2"/>
  <c r="R303" i="2"/>
  <c r="R295" i="2"/>
  <c r="R287" i="2"/>
  <c r="R279" i="2"/>
  <c r="R239" i="2"/>
  <c r="R223" i="2"/>
  <c r="R215" i="2"/>
  <c r="R207" i="2"/>
  <c r="R199" i="2"/>
  <c r="R191" i="2"/>
  <c r="R175" i="2"/>
  <c r="R167" i="2"/>
  <c r="R159" i="2"/>
  <c r="R143" i="2"/>
  <c r="R135" i="2"/>
  <c r="R127" i="2"/>
  <c r="R111" i="2"/>
  <c r="R87" i="2"/>
  <c r="R71" i="2"/>
  <c r="R63" i="2"/>
  <c r="R47" i="2"/>
  <c r="R23" i="2"/>
  <c r="P39" i="2"/>
  <c r="R821" i="2"/>
  <c r="R805" i="2"/>
  <c r="R789" i="2"/>
  <c r="R733" i="2"/>
  <c r="R725" i="2"/>
  <c r="R717" i="2"/>
  <c r="R709" i="2"/>
  <c r="R701" i="2"/>
  <c r="R693" i="2"/>
  <c r="R685" i="2"/>
  <c r="R669" i="2"/>
  <c r="R557" i="2"/>
  <c r="R541" i="2"/>
  <c r="R525" i="2"/>
  <c r="R509" i="2"/>
  <c r="R501" i="2"/>
  <c r="R493" i="2"/>
  <c r="R477" i="2"/>
  <c r="R469" i="2"/>
  <c r="R453" i="2"/>
  <c r="R405" i="2"/>
  <c r="R397" i="2"/>
  <c r="R389" i="2"/>
  <c r="R381" i="2"/>
  <c r="R373" i="2"/>
  <c r="R365" i="2"/>
  <c r="R341" i="2"/>
  <c r="R325" i="2"/>
  <c r="R309" i="2"/>
  <c r="R293" i="2"/>
  <c r="R285" i="2"/>
  <c r="R237" i="2"/>
  <c r="R221" i="2"/>
  <c r="R197" i="2"/>
  <c r="R181" i="2"/>
  <c r="R173" i="2"/>
  <c r="R165" i="2"/>
  <c r="R141" i="2"/>
  <c r="R125" i="2"/>
  <c r="R117" i="2"/>
  <c r="R109" i="2"/>
  <c r="R101" i="2"/>
  <c r="R93" i="2"/>
  <c r="R69" i="2"/>
  <c r="R53" i="2"/>
  <c r="R45" i="2"/>
  <c r="R21" i="2"/>
  <c r="R13" i="2"/>
  <c r="R350" i="2"/>
  <c r="R150" i="2"/>
  <c r="N102" i="2"/>
  <c r="N103" i="2" s="1"/>
  <c r="N104" i="2" s="1"/>
  <c r="N60" i="2"/>
  <c r="N61" i="2" s="1"/>
  <c r="N62" i="2" s="1"/>
  <c r="P675" i="2"/>
  <c r="P540" i="2"/>
  <c r="P319" i="2"/>
  <c r="P31" i="2"/>
  <c r="R796" i="2"/>
  <c r="R772" i="2"/>
  <c r="R764" i="2"/>
  <c r="R756" i="2"/>
  <c r="R748" i="2"/>
  <c r="R732" i="2"/>
  <c r="R724" i="2"/>
  <c r="R716" i="2"/>
  <c r="R708" i="2"/>
  <c r="R660" i="2"/>
  <c r="R644" i="2"/>
  <c r="R556" i="2"/>
  <c r="R540" i="2"/>
  <c r="R524" i="2"/>
  <c r="R500" i="2"/>
  <c r="R484" i="2"/>
  <c r="R460" i="2"/>
  <c r="R452" i="2"/>
  <c r="R428" i="2"/>
  <c r="R404" i="2"/>
  <c r="R388" i="2"/>
  <c r="R372" i="2"/>
  <c r="R340" i="2"/>
  <c r="R324" i="2"/>
  <c r="R316" i="2"/>
  <c r="R260" i="2"/>
  <c r="R252" i="2"/>
  <c r="R220" i="2"/>
  <c r="R204" i="2"/>
  <c r="R196" i="2"/>
  <c r="R188" i="2"/>
  <c r="R180" i="2"/>
  <c r="R164" i="2"/>
  <c r="R156" i="2"/>
  <c r="R132" i="2"/>
  <c r="R116" i="2"/>
  <c r="R108" i="2"/>
  <c r="R92" i="2"/>
  <c r="R84" i="2"/>
  <c r="R68" i="2"/>
  <c r="R60" i="2"/>
  <c r="R52" i="2"/>
  <c r="R44" i="2"/>
  <c r="R20" i="2"/>
  <c r="R12" i="2"/>
  <c r="R310" i="2"/>
  <c r="R270" i="2"/>
  <c r="R78" i="2"/>
  <c r="N554" i="2"/>
  <c r="N555" i="2" s="1"/>
  <c r="P779" i="2"/>
  <c r="P764" i="2"/>
  <c r="P748" i="2"/>
  <c r="P539" i="2"/>
  <c r="P351" i="2"/>
  <c r="P188" i="2"/>
  <c r="P23" i="2"/>
  <c r="R811" i="2"/>
  <c r="R795" i="2"/>
  <c r="R779" i="2"/>
  <c r="R771" i="2"/>
  <c r="R763" i="2"/>
  <c r="R755" i="2"/>
  <c r="R731" i="2"/>
  <c r="R683" i="2"/>
  <c r="R675" i="2"/>
  <c r="R659" i="2"/>
  <c r="R651" i="2"/>
  <c r="R643" i="2"/>
  <c r="R547" i="2"/>
  <c r="R539" i="2"/>
  <c r="R531" i="2"/>
  <c r="R515" i="2"/>
  <c r="R507" i="2"/>
  <c r="R491" i="2"/>
  <c r="R483" i="2"/>
  <c r="R459" i="2"/>
  <c r="R451" i="2"/>
  <c r="R443" i="2"/>
  <c r="R435" i="2"/>
  <c r="R403" i="2"/>
  <c r="R387" i="2"/>
  <c r="R371" i="2"/>
  <c r="R355" i="2"/>
  <c r="R347" i="2"/>
  <c r="R339" i="2"/>
  <c r="R331" i="2"/>
  <c r="R323" i="2"/>
  <c r="R315" i="2"/>
  <c r="R275" i="2"/>
  <c r="R267" i="2"/>
  <c r="R259" i="2"/>
  <c r="R235" i="2"/>
  <c r="R227" i="2"/>
  <c r="R211" i="2"/>
  <c r="R203" i="2"/>
  <c r="R195" i="2"/>
  <c r="R187" i="2"/>
  <c r="R171" i="2"/>
  <c r="R163" i="2"/>
  <c r="R147" i="2"/>
  <c r="R115" i="2"/>
  <c r="R91" i="2"/>
  <c r="R67" i="2"/>
  <c r="R59" i="2"/>
  <c r="R51" i="2"/>
  <c r="R19" i="2"/>
  <c r="R11" i="2"/>
  <c r="P67" i="2"/>
  <c r="P775" i="2"/>
  <c r="P350" i="2"/>
  <c r="R802" i="2"/>
  <c r="R778" i="2"/>
  <c r="R762" i="2"/>
  <c r="R546" i="2"/>
  <c r="R466" i="2"/>
  <c r="R370" i="2"/>
  <c r="R314" i="2"/>
  <c r="R258" i="2"/>
  <c r="R178" i="2"/>
  <c r="R90" i="2"/>
  <c r="R50" i="2"/>
  <c r="P659" i="2"/>
  <c r="P550" i="2"/>
  <c r="P75" i="2"/>
  <c r="R817" i="2"/>
  <c r="R777" i="2"/>
  <c r="R761" i="2"/>
  <c r="R745" i="2"/>
  <c r="R729" i="2"/>
  <c r="R721" i="2"/>
  <c r="R705" i="2"/>
  <c r="R697" i="2"/>
  <c r="R689" i="2"/>
  <c r="R681" i="2"/>
  <c r="R657" i="2"/>
  <c r="R561" i="2"/>
  <c r="R553" i="2"/>
  <c r="R545" i="2"/>
  <c r="R521" i="2"/>
  <c r="R505" i="2"/>
  <c r="R489" i="2"/>
  <c r="R457" i="2"/>
  <c r="R449" i="2"/>
  <c r="R433" i="2"/>
  <c r="R409" i="2"/>
  <c r="R401" i="2"/>
  <c r="R385" i="2"/>
  <c r="R377" i="2"/>
  <c r="R369" i="2"/>
  <c r="R361" i="2"/>
  <c r="R337" i="2"/>
  <c r="R329" i="2"/>
  <c r="R313" i="2"/>
  <c r="R305" i="2"/>
  <c r="R297" i="2"/>
  <c r="R289" i="2"/>
  <c r="R281" i="2"/>
  <c r="R273" i="2"/>
  <c r="R257" i="2"/>
  <c r="R241" i="2"/>
  <c r="R233" i="2"/>
  <c r="R217" i="2"/>
  <c r="R201" i="2"/>
  <c r="R193" i="2"/>
  <c r="R161" i="2"/>
  <c r="R153" i="2"/>
  <c r="R145" i="2"/>
  <c r="R129" i="2"/>
  <c r="R121" i="2"/>
  <c r="R113" i="2"/>
  <c r="R105" i="2"/>
  <c r="R97" i="2"/>
  <c r="R81" i="2"/>
  <c r="R73" i="2"/>
  <c r="R49" i="2"/>
  <c r="R25" i="2"/>
  <c r="R17" i="2"/>
  <c r="N698" i="2"/>
  <c r="N699" i="2" s="1"/>
  <c r="N700" i="2" s="1"/>
  <c r="P756" i="2"/>
  <c r="P435" i="2"/>
  <c r="P267" i="2"/>
  <c r="P71" i="2"/>
  <c r="R808" i="2"/>
  <c r="R792" i="2"/>
  <c r="R776" i="2"/>
  <c r="R768" i="2"/>
  <c r="R760" i="2"/>
  <c r="R752" i="2"/>
  <c r="R744" i="2"/>
  <c r="R728" i="2"/>
  <c r="R720" i="2"/>
  <c r="R712" i="2"/>
  <c r="R704" i="2"/>
  <c r="R672" i="2"/>
  <c r="R664" i="2"/>
  <c r="R656" i="2"/>
  <c r="R648" i="2"/>
  <c r="R560" i="2"/>
  <c r="R544" i="2"/>
  <c r="R528" i="2"/>
  <c r="R512" i="2"/>
  <c r="R496" i="2"/>
  <c r="R488" i="2"/>
  <c r="R480" i="2"/>
  <c r="R472" i="2"/>
  <c r="R456" i="2"/>
  <c r="R448" i="2"/>
  <c r="R440" i="2"/>
  <c r="R408" i="2"/>
  <c r="R400" i="2"/>
  <c r="R384" i="2"/>
  <c r="R368" i="2"/>
  <c r="R360" i="2"/>
  <c r="R344" i="2"/>
  <c r="R336" i="2"/>
  <c r="R312" i="2"/>
  <c r="R304" i="2"/>
  <c r="R296" i="2"/>
  <c r="R264" i="2"/>
  <c r="R256" i="2"/>
  <c r="R248" i="2"/>
  <c r="R240" i="2"/>
  <c r="R216" i="2"/>
  <c r="R208" i="2"/>
  <c r="R200" i="2"/>
  <c r="R184" i="2"/>
  <c r="R176" i="2"/>
  <c r="R168" i="2"/>
  <c r="R160" i="2"/>
  <c r="R144" i="2"/>
  <c r="R128" i="2"/>
  <c r="R112" i="2"/>
  <c r="R96" i="2"/>
  <c r="R88" i="2"/>
  <c r="R80" i="2"/>
  <c r="R72" i="2"/>
  <c r="R48" i="2"/>
  <c r="R24" i="2"/>
  <c r="R16" i="2"/>
  <c r="N784" i="2"/>
  <c r="N785" i="2" s="1"/>
  <c r="P783" i="2"/>
  <c r="N480" i="2"/>
  <c r="P479" i="2"/>
  <c r="N665" i="2"/>
  <c r="N666" i="2" s="1"/>
  <c r="P664" i="2"/>
  <c r="P807" i="2"/>
  <c r="P799" i="2"/>
  <c r="P759" i="2"/>
  <c r="P735" i="2"/>
  <c r="P727" i="2"/>
  <c r="P719" i="2"/>
  <c r="P711" i="2"/>
  <c r="P703" i="2"/>
  <c r="P679" i="2"/>
  <c r="P663" i="2"/>
  <c r="P647" i="2"/>
  <c r="P639" i="2"/>
  <c r="P631" i="2"/>
  <c r="P623" i="2"/>
  <c r="P615" i="2"/>
  <c r="P607" i="2"/>
  <c r="P599" i="2"/>
  <c r="P591" i="2"/>
  <c r="P583" i="2"/>
  <c r="P575" i="2"/>
  <c r="P567" i="2"/>
  <c r="P559" i="2"/>
  <c r="P535" i="2"/>
  <c r="P487" i="2"/>
  <c r="P463" i="2"/>
  <c r="P455" i="2"/>
  <c r="P447" i="2"/>
  <c r="P439" i="2"/>
  <c r="P423" i="2"/>
  <c r="P415" i="2"/>
  <c r="P407" i="2"/>
  <c r="P399" i="2"/>
  <c r="P391" i="2"/>
  <c r="P367" i="2"/>
  <c r="P359" i="2"/>
  <c r="P335" i="2"/>
  <c r="P311" i="2"/>
  <c r="P287" i="2"/>
  <c r="P279" i="2"/>
  <c r="P239" i="2"/>
  <c r="P231" i="2"/>
  <c r="P223" i="2"/>
  <c r="P215" i="2"/>
  <c r="P199" i="2"/>
  <c r="P191" i="2"/>
  <c r="P175" i="2"/>
  <c r="P167" i="2"/>
  <c r="P159" i="2"/>
  <c r="P135" i="2"/>
  <c r="P127" i="2"/>
  <c r="P111" i="2"/>
  <c r="P87" i="2"/>
  <c r="P63" i="2"/>
  <c r="P55" i="2"/>
  <c r="P47" i="2"/>
  <c r="P814" i="2"/>
  <c r="P790" i="2"/>
  <c r="P782" i="2"/>
  <c r="P766" i="2"/>
  <c r="P758" i="2"/>
  <c r="P750" i="2"/>
  <c r="P742" i="2"/>
  <c r="P734" i="2"/>
  <c r="P726" i="2"/>
  <c r="P718" i="2"/>
  <c r="P710" i="2"/>
  <c r="P694" i="2"/>
  <c r="P686" i="2"/>
  <c r="P678" i="2"/>
  <c r="P638" i="2"/>
  <c r="P630" i="2"/>
  <c r="P622" i="2"/>
  <c r="P614" i="2"/>
  <c r="P606" i="2"/>
  <c r="P598" i="2"/>
  <c r="P590" i="2"/>
  <c r="P582" i="2"/>
  <c r="P574" i="2"/>
  <c r="P566" i="2"/>
  <c r="P558" i="2"/>
  <c r="P534" i="2"/>
  <c r="P518" i="2"/>
  <c r="P502" i="2"/>
  <c r="P494" i="2"/>
  <c r="P446" i="2"/>
  <c r="P438" i="2"/>
  <c r="P430" i="2"/>
  <c r="P422" i="2"/>
  <c r="P414" i="2"/>
  <c r="P406" i="2"/>
  <c r="P398" i="2"/>
  <c r="P390" i="2"/>
  <c r="P374" i="2"/>
  <c r="P366" i="2"/>
  <c r="P334" i="2"/>
  <c r="P326" i="2"/>
  <c r="P310" i="2"/>
  <c r="P294" i="2"/>
  <c r="P286" i="2"/>
  <c r="P278" i="2"/>
  <c r="P270" i="2"/>
  <c r="P262" i="2"/>
  <c r="P254" i="2"/>
  <c r="P246" i="2"/>
  <c r="P238" i="2"/>
  <c r="P230" i="2"/>
  <c r="P222" i="2"/>
  <c r="P214" i="2"/>
  <c r="P198" i="2"/>
  <c r="P150" i="2"/>
  <c r="P142" i="2"/>
  <c r="P126" i="2"/>
  <c r="P118" i="2"/>
  <c r="P110" i="2"/>
  <c r="P78" i="2"/>
  <c r="P54" i="2"/>
  <c r="P46" i="2"/>
  <c r="P38" i="2"/>
  <c r="P30" i="2"/>
  <c r="P22" i="2"/>
  <c r="N133" i="2"/>
  <c r="N134" i="2" s="1"/>
  <c r="P821" i="2"/>
  <c r="P805" i="2"/>
  <c r="P789" i="2"/>
  <c r="P733" i="2"/>
  <c r="P725" i="2"/>
  <c r="P717" i="2"/>
  <c r="P709" i="2"/>
  <c r="P701" i="2"/>
  <c r="P693" i="2"/>
  <c r="P685" i="2"/>
  <c r="P669" i="2"/>
  <c r="P637" i="2"/>
  <c r="P629" i="2"/>
  <c r="P621" i="2"/>
  <c r="P613" i="2"/>
  <c r="P605" i="2"/>
  <c r="P597" i="2"/>
  <c r="P589" i="2"/>
  <c r="P581" i="2"/>
  <c r="P573" i="2"/>
  <c r="P565" i="2"/>
  <c r="P557" i="2"/>
  <c r="P541" i="2"/>
  <c r="P525" i="2"/>
  <c r="P509" i="2"/>
  <c r="P501" i="2"/>
  <c r="P493" i="2"/>
  <c r="P477" i="2"/>
  <c r="P469" i="2"/>
  <c r="P453" i="2"/>
  <c r="P421" i="2"/>
  <c r="P413" i="2"/>
  <c r="P405" i="2"/>
  <c r="P397" i="2"/>
  <c r="P389" i="2"/>
  <c r="P381" i="2"/>
  <c r="P373" i="2"/>
  <c r="P365" i="2"/>
  <c r="P341" i="2"/>
  <c r="P325" i="2"/>
  <c r="P309" i="2"/>
  <c r="P285" i="2"/>
  <c r="P245" i="2"/>
  <c r="P237" i="2"/>
  <c r="P221" i="2"/>
  <c r="P197" i="2"/>
  <c r="P181" i="2"/>
  <c r="P173" i="2"/>
  <c r="P165" i="2"/>
  <c r="P141" i="2"/>
  <c r="P125" i="2"/>
  <c r="P117" i="2"/>
  <c r="P109" i="2"/>
  <c r="P93" i="2"/>
  <c r="P69" i="2"/>
  <c r="P53" i="2"/>
  <c r="P45" i="2"/>
  <c r="P37" i="2"/>
  <c r="P29" i="2"/>
  <c r="P21" i="2"/>
  <c r="P13" i="2"/>
  <c r="P796" i="2"/>
  <c r="P772" i="2"/>
  <c r="P732" i="2"/>
  <c r="P724" i="2"/>
  <c r="P716" i="2"/>
  <c r="P708" i="2"/>
  <c r="P644" i="2"/>
  <c r="P636" i="2"/>
  <c r="P628" i="2"/>
  <c r="P620" i="2"/>
  <c r="P612" i="2"/>
  <c r="P604" i="2"/>
  <c r="P596" i="2"/>
  <c r="P588" i="2"/>
  <c r="P580" i="2"/>
  <c r="P572" i="2"/>
  <c r="P564" i="2"/>
  <c r="P556" i="2"/>
  <c r="P524" i="2"/>
  <c r="P500" i="2"/>
  <c r="P484" i="2"/>
  <c r="P460" i="2"/>
  <c r="P452" i="2"/>
  <c r="P428" i="2"/>
  <c r="P420" i="2"/>
  <c r="P412" i="2"/>
  <c r="P404" i="2"/>
  <c r="P388" i="2"/>
  <c r="P372" i="2"/>
  <c r="P340" i="2"/>
  <c r="P324" i="2"/>
  <c r="P316" i="2"/>
  <c r="P260" i="2"/>
  <c r="P252" i="2"/>
  <c r="P244" i="2"/>
  <c r="P220" i="2"/>
  <c r="P204" i="2"/>
  <c r="P196" i="2"/>
  <c r="P180" i="2"/>
  <c r="P164" i="2"/>
  <c r="P156" i="2"/>
  <c r="P116" i="2"/>
  <c r="P108" i="2"/>
  <c r="P92" i="2"/>
  <c r="P84" i="2"/>
  <c r="P68" i="2"/>
  <c r="P60" i="2"/>
  <c r="P52" i="2"/>
  <c r="P36" i="2"/>
  <c r="P28" i="2"/>
  <c r="P20" i="2"/>
  <c r="P12" i="2"/>
  <c r="P795" i="2"/>
  <c r="P771" i="2"/>
  <c r="P739" i="2"/>
  <c r="P731" i="2"/>
  <c r="P683" i="2"/>
  <c r="P651" i="2"/>
  <c r="P643" i="2"/>
  <c r="P635" i="2"/>
  <c r="P627" i="2"/>
  <c r="P619" i="2"/>
  <c r="P611" i="2"/>
  <c r="P603" i="2"/>
  <c r="P595" i="2"/>
  <c r="P587" i="2"/>
  <c r="P579" i="2"/>
  <c r="P571" i="2"/>
  <c r="P547" i="2"/>
  <c r="P515" i="2"/>
  <c r="P507" i="2"/>
  <c r="P491" i="2"/>
  <c r="P483" i="2"/>
  <c r="P459" i="2"/>
  <c r="P451" i="2"/>
  <c r="P443" i="2"/>
  <c r="P419" i="2"/>
  <c r="P411" i="2"/>
  <c r="P403" i="2"/>
  <c r="P387" i="2"/>
  <c r="P371" i="2"/>
  <c r="P355" i="2"/>
  <c r="P347" i="2"/>
  <c r="P339" i="2"/>
  <c r="P331" i="2"/>
  <c r="P323" i="2"/>
  <c r="P315" i="2"/>
  <c r="P275" i="2"/>
  <c r="P259" i="2"/>
  <c r="P243" i="2"/>
  <c r="P235" i="2"/>
  <c r="P227" i="2"/>
  <c r="P211" i="2"/>
  <c r="P203" i="2"/>
  <c r="P195" i="2"/>
  <c r="P171" i="2"/>
  <c r="P163" i="2"/>
  <c r="P115" i="2"/>
  <c r="P91" i="2"/>
  <c r="P51" i="2"/>
  <c r="P35" i="2"/>
  <c r="P27" i="2"/>
  <c r="P19" i="2"/>
  <c r="P818" i="2"/>
  <c r="P802" i="2"/>
  <c r="P786" i="2"/>
  <c r="P778" i="2"/>
  <c r="P762" i="2"/>
  <c r="P754" i="2"/>
  <c r="P746" i="2"/>
  <c r="P738" i="2"/>
  <c r="P730" i="2"/>
  <c r="P714" i="2"/>
  <c r="P706" i="2"/>
  <c r="P698" i="2"/>
  <c r="P690" i="2"/>
  <c r="P682" i="2"/>
  <c r="P634" i="2"/>
  <c r="P626" i="2"/>
  <c r="P618" i="2"/>
  <c r="P610" i="2"/>
  <c r="P602" i="2"/>
  <c r="P594" i="2"/>
  <c r="P586" i="2"/>
  <c r="P578" i="2"/>
  <c r="P570" i="2"/>
  <c r="P562" i="2"/>
  <c r="P546" i="2"/>
  <c r="P538" i="2"/>
  <c r="P498" i="2"/>
  <c r="P490" i="2"/>
  <c r="P474" i="2"/>
  <c r="P466" i="2"/>
  <c r="P458" i="2"/>
  <c r="P450" i="2"/>
  <c r="P434" i="2"/>
  <c r="P426" i="2"/>
  <c r="P418" i="2"/>
  <c r="P410" i="2"/>
  <c r="P402" i="2"/>
  <c r="P394" i="2"/>
  <c r="P386" i="2"/>
  <c r="P378" i="2"/>
  <c r="P370" i="2"/>
  <c r="P362" i="2"/>
  <c r="P354" i="2"/>
  <c r="P338" i="2"/>
  <c r="P322" i="2"/>
  <c r="P314" i="2"/>
  <c r="P306" i="2"/>
  <c r="P290" i="2"/>
  <c r="P282" i="2"/>
  <c r="P274" i="2"/>
  <c r="P258" i="2"/>
  <c r="P250" i="2"/>
  <c r="P242" i="2"/>
  <c r="P234" i="2"/>
  <c r="P226" i="2"/>
  <c r="P194" i="2"/>
  <c r="P178" i="2"/>
  <c r="P170" i="2"/>
  <c r="P162" i="2"/>
  <c r="P146" i="2"/>
  <c r="P138" i="2"/>
  <c r="P122" i="2"/>
  <c r="P114" i="2"/>
  <c r="P98" i="2"/>
  <c r="P90" i="2"/>
  <c r="P74" i="2"/>
  <c r="P66" i="2"/>
  <c r="P50" i="2"/>
  <c r="P34" i="2"/>
  <c r="P26" i="2"/>
  <c r="P18" i="2"/>
  <c r="P10" i="2"/>
  <c r="P7" i="2"/>
  <c r="P817" i="2"/>
  <c r="P777" i="2"/>
  <c r="P761" i="2"/>
  <c r="P745" i="2"/>
  <c r="P737" i="2"/>
  <c r="P729" i="2"/>
  <c r="P721" i="2"/>
  <c r="P705" i="2"/>
  <c r="P689" i="2"/>
  <c r="P681" i="2"/>
  <c r="P657" i="2"/>
  <c r="P641" i="2"/>
  <c r="P633" i="2"/>
  <c r="P625" i="2"/>
  <c r="P617" i="2"/>
  <c r="P609" i="2"/>
  <c r="P601" i="2"/>
  <c r="P593" i="2"/>
  <c r="P585" i="2"/>
  <c r="P577" i="2"/>
  <c r="P569" i="2"/>
  <c r="P561" i="2"/>
  <c r="P545" i="2"/>
  <c r="P521" i="2"/>
  <c r="P505" i="2"/>
  <c r="P489" i="2"/>
  <c r="P457" i="2"/>
  <c r="P449" i="2"/>
  <c r="P433" i="2"/>
  <c r="P425" i="2"/>
  <c r="P417" i="2"/>
  <c r="P409" i="2"/>
  <c r="P401" i="2"/>
  <c r="P385" i="2"/>
  <c r="P377" i="2"/>
  <c r="P369" i="2"/>
  <c r="P361" i="2"/>
  <c r="P337" i="2"/>
  <c r="P329" i="2"/>
  <c r="P313" i="2"/>
  <c r="P305" i="2"/>
  <c r="P289" i="2"/>
  <c r="P281" i="2"/>
  <c r="P273" i="2"/>
  <c r="P257" i="2"/>
  <c r="P241" i="2"/>
  <c r="P233" i="2"/>
  <c r="P217" i="2"/>
  <c r="P201" i="2"/>
  <c r="P193" i="2"/>
  <c r="P161" i="2"/>
  <c r="P145" i="2"/>
  <c r="P129" i="2"/>
  <c r="P121" i="2"/>
  <c r="P113" i="2"/>
  <c r="P105" i="2"/>
  <c r="P97" i="2"/>
  <c r="P81" i="2"/>
  <c r="P73" i="2"/>
  <c r="P49" i="2"/>
  <c r="P41" i="2"/>
  <c r="P33" i="2"/>
  <c r="P25" i="2"/>
  <c r="P17" i="2"/>
  <c r="P808" i="2"/>
  <c r="P792" i="2"/>
  <c r="P776" i="2"/>
  <c r="P768" i="2"/>
  <c r="P760" i="2"/>
  <c r="P752" i="2"/>
  <c r="P744" i="2"/>
  <c r="P736" i="2"/>
  <c r="P728" i="2"/>
  <c r="P720" i="2"/>
  <c r="P712" i="2"/>
  <c r="P704" i="2"/>
  <c r="P672" i="2"/>
  <c r="P656" i="2"/>
  <c r="P648" i="2"/>
  <c r="P640" i="2"/>
  <c r="P632" i="2"/>
  <c r="P624" i="2"/>
  <c r="P616" i="2"/>
  <c r="P608" i="2"/>
  <c r="P600" i="2"/>
  <c r="P592" i="2"/>
  <c r="P584" i="2"/>
  <c r="P576" i="2"/>
  <c r="P568" i="2"/>
  <c r="P560" i="2"/>
  <c r="P544" i="2"/>
  <c r="P528" i="2"/>
  <c r="P512" i="2"/>
  <c r="P496" i="2"/>
  <c r="P488" i="2"/>
  <c r="P472" i="2"/>
  <c r="P456" i="2"/>
  <c r="P448" i="2"/>
  <c r="P440" i="2"/>
  <c r="P424" i="2"/>
  <c r="P416" i="2"/>
  <c r="P408" i="2"/>
  <c r="P400" i="2"/>
  <c r="P384" i="2"/>
  <c r="P368" i="2"/>
  <c r="P360" i="2"/>
  <c r="P344" i="2"/>
  <c r="P336" i="2"/>
  <c r="P312" i="2"/>
  <c r="P304" i="2"/>
  <c r="P264" i="2"/>
  <c r="P256" i="2"/>
  <c r="P248" i="2"/>
  <c r="P240" i="2"/>
  <c r="P216" i="2"/>
  <c r="P208" i="2"/>
  <c r="P200" i="2"/>
  <c r="P184" i="2"/>
  <c r="P176" i="2"/>
  <c r="P168" i="2"/>
  <c r="P160" i="2"/>
  <c r="P144" i="2"/>
  <c r="P128" i="2"/>
  <c r="P112" i="2"/>
  <c r="P96" i="2"/>
  <c r="P88" i="2"/>
  <c r="P80" i="2"/>
  <c r="P72" i="2"/>
  <c r="P56" i="2"/>
  <c r="P48" i="2"/>
  <c r="P40" i="2"/>
  <c r="P32" i="2"/>
  <c r="P24" i="2"/>
  <c r="P16" i="2"/>
  <c r="R26" i="4" l="1"/>
  <c r="R58" i="4"/>
  <c r="R90" i="4"/>
  <c r="R122" i="4"/>
  <c r="R154" i="4"/>
  <c r="R186" i="4"/>
  <c r="R218" i="4"/>
  <c r="R250" i="4"/>
  <c r="R282" i="4"/>
  <c r="R314" i="4"/>
  <c r="R346" i="4"/>
  <c r="R28" i="4"/>
  <c r="R60" i="4"/>
  <c r="R92" i="4"/>
  <c r="R124" i="4"/>
  <c r="O299" i="2"/>
  <c r="R298" i="2"/>
  <c r="R34" i="4"/>
  <c r="R66" i="4"/>
  <c r="R98" i="4"/>
  <c r="R130" i="4"/>
  <c r="R162" i="4"/>
  <c r="R194" i="4"/>
  <c r="R226" i="4"/>
  <c r="R258" i="4"/>
  <c r="R290" i="4"/>
  <c r="R322" i="4"/>
  <c r="R354" i="4"/>
  <c r="R4" i="4"/>
  <c r="R36" i="4"/>
  <c r="R68" i="4"/>
  <c r="R100" i="4"/>
  <c r="R10" i="4"/>
  <c r="R42" i="4"/>
  <c r="R74" i="4"/>
  <c r="R106" i="4"/>
  <c r="R138" i="4"/>
  <c r="R170" i="4"/>
  <c r="R202" i="4"/>
  <c r="R234" i="4"/>
  <c r="R266" i="4"/>
  <c r="R298" i="4"/>
  <c r="R330" i="4"/>
  <c r="R362" i="4"/>
  <c r="R12" i="4"/>
  <c r="R44" i="4"/>
  <c r="R76" i="4"/>
  <c r="R108" i="4"/>
  <c r="O563" i="2"/>
  <c r="R562" i="2"/>
  <c r="O411" i="2"/>
  <c r="R410" i="2"/>
  <c r="R18" i="4"/>
  <c r="R50" i="4"/>
  <c r="R82" i="4"/>
  <c r="R114" i="4"/>
  <c r="R146" i="4"/>
  <c r="R178" i="4"/>
  <c r="R210" i="4"/>
  <c r="R242" i="4"/>
  <c r="R274" i="4"/>
  <c r="R306" i="4"/>
  <c r="R338" i="4"/>
  <c r="R370" i="4"/>
  <c r="R20" i="4"/>
  <c r="R52" i="4"/>
  <c r="R84" i="4"/>
  <c r="R116" i="4"/>
  <c r="O243" i="2"/>
  <c r="R242" i="2"/>
  <c r="P300" i="2"/>
  <c r="P295" i="2"/>
  <c r="O75" i="2"/>
  <c r="R74" i="2"/>
  <c r="O55" i="2"/>
  <c r="R54" i="2"/>
  <c r="P299" i="2"/>
  <c r="O735" i="2"/>
  <c r="R734" i="2"/>
  <c r="P298" i="2"/>
  <c r="P297" i="2"/>
  <c r="O27" i="2"/>
  <c r="R26" i="2"/>
  <c r="P296" i="2"/>
  <c r="P102" i="2"/>
  <c r="N667" i="2"/>
  <c r="N668" i="2" s="1"/>
  <c r="P666" i="2"/>
  <c r="N481" i="2"/>
  <c r="N482" i="2" s="1"/>
  <c r="P480" i="2"/>
  <c r="O300" i="2" l="1"/>
  <c r="R299" i="2"/>
  <c r="O244" i="2"/>
  <c r="R243" i="2"/>
  <c r="O412" i="2"/>
  <c r="R411" i="2"/>
  <c r="O564" i="2"/>
  <c r="R563" i="2"/>
  <c r="O28" i="2"/>
  <c r="R27" i="2"/>
  <c r="O76" i="2"/>
  <c r="O77" i="2" s="1"/>
  <c r="R75" i="2"/>
  <c r="O736" i="2"/>
  <c r="R735" i="2"/>
  <c r="O56" i="2"/>
  <c r="R55" i="2"/>
  <c r="O565" i="2" l="1"/>
  <c r="R564" i="2"/>
  <c r="O413" i="2"/>
  <c r="R412" i="2"/>
  <c r="O245" i="2"/>
  <c r="R244" i="2"/>
  <c r="O301" i="2"/>
  <c r="O302" i="2" s="1"/>
  <c r="R300" i="2"/>
  <c r="O737" i="2"/>
  <c r="R736" i="2"/>
  <c r="O57" i="2"/>
  <c r="O58" i="2" s="1"/>
  <c r="R56" i="2"/>
  <c r="O29" i="2"/>
  <c r="R28" i="2"/>
  <c r="O246" i="2" l="1"/>
  <c r="R245" i="2"/>
  <c r="O414" i="2"/>
  <c r="R413" i="2"/>
  <c r="O566" i="2"/>
  <c r="R565" i="2"/>
  <c r="O30" i="2"/>
  <c r="R29" i="2"/>
  <c r="O738" i="2"/>
  <c r="R737" i="2"/>
  <c r="O415" i="2" l="1"/>
  <c r="R414" i="2"/>
  <c r="O567" i="2"/>
  <c r="R566" i="2"/>
  <c r="O247" i="2"/>
  <c r="R246" i="2"/>
  <c r="R738" i="2"/>
  <c r="O739" i="2"/>
  <c r="O31" i="2"/>
  <c r="R30" i="2"/>
  <c r="O568" i="2" l="1"/>
  <c r="R567" i="2"/>
  <c r="O416" i="2"/>
  <c r="R415" i="2"/>
  <c r="O32" i="2"/>
  <c r="R31" i="2"/>
  <c r="O740" i="2"/>
  <c r="O741" i="2" s="1"/>
  <c r="R739" i="2"/>
  <c r="O417" i="2" l="1"/>
  <c r="R416" i="2"/>
  <c r="O569" i="2"/>
  <c r="R568" i="2"/>
  <c r="O33" i="2"/>
  <c r="R32" i="2"/>
  <c r="O570" i="2" l="1"/>
  <c r="R569" i="2"/>
  <c r="O418" i="2"/>
  <c r="R417" i="2"/>
  <c r="O34" i="2"/>
  <c r="R33" i="2"/>
  <c r="O419" i="2" l="1"/>
  <c r="R418" i="2"/>
  <c r="O571" i="2"/>
  <c r="R570" i="2"/>
  <c r="O35" i="2"/>
  <c r="R34" i="2"/>
  <c r="O572" i="2" l="1"/>
  <c r="R571" i="2"/>
  <c r="O420" i="2"/>
  <c r="R419" i="2"/>
  <c r="O36" i="2"/>
  <c r="R35" i="2"/>
  <c r="O421" i="2" l="1"/>
  <c r="R420" i="2"/>
  <c r="O573" i="2"/>
  <c r="R572" i="2"/>
  <c r="O37" i="2"/>
  <c r="R36" i="2"/>
  <c r="O574" i="2" l="1"/>
  <c r="R573" i="2"/>
  <c r="O422" i="2"/>
  <c r="R421" i="2"/>
  <c r="O38" i="2"/>
  <c r="R37" i="2"/>
  <c r="O423" i="2" l="1"/>
  <c r="R422" i="2"/>
  <c r="R574" i="2"/>
  <c r="O575" i="2"/>
  <c r="O39" i="2"/>
  <c r="R38" i="2"/>
  <c r="O576" i="2" l="1"/>
  <c r="R575" i="2"/>
  <c r="O424" i="2"/>
  <c r="R423" i="2"/>
  <c r="O40" i="2"/>
  <c r="R39" i="2"/>
  <c r="O425" i="2" l="1"/>
  <c r="R424" i="2"/>
  <c r="O577" i="2"/>
  <c r="R576" i="2"/>
  <c r="O41" i="2"/>
  <c r="R40" i="2"/>
  <c r="O578" i="2" l="1"/>
  <c r="R577" i="2"/>
  <c r="O426" i="2"/>
  <c r="R425" i="2"/>
  <c r="O42" i="2"/>
  <c r="O43" i="2" s="1"/>
  <c r="R41" i="2"/>
  <c r="O427" i="2" l="1"/>
  <c r="R426" i="2"/>
  <c r="O579" i="2"/>
  <c r="R578" i="2"/>
  <c r="O580" i="2" l="1"/>
  <c r="R579" i="2"/>
  <c r="O581" i="2" l="1"/>
  <c r="R580" i="2"/>
  <c r="O582" i="2" l="1"/>
  <c r="R581" i="2"/>
  <c r="O583" i="2" l="1"/>
  <c r="R582" i="2"/>
  <c r="O584" i="2" l="1"/>
  <c r="R583" i="2"/>
  <c r="R584" i="2" l="1"/>
  <c r="O585" i="2"/>
  <c r="R585" i="2" l="1"/>
  <c r="O586" i="2"/>
  <c r="O587" i="2" l="1"/>
  <c r="R586" i="2"/>
  <c r="O588" i="2" l="1"/>
  <c r="R587" i="2"/>
  <c r="O589" i="2" l="1"/>
  <c r="R588" i="2"/>
  <c r="R589" i="2" l="1"/>
  <c r="O590" i="2"/>
  <c r="O591" i="2" l="1"/>
  <c r="R590" i="2"/>
  <c r="O592" i="2" l="1"/>
  <c r="R591" i="2"/>
  <c r="R592" i="2" l="1"/>
  <c r="O593" i="2"/>
  <c r="R593" i="2" l="1"/>
  <c r="O594" i="2"/>
  <c r="R594" i="2" l="1"/>
  <c r="O595" i="2"/>
  <c r="O596" i="2" l="1"/>
  <c r="R595" i="2"/>
  <c r="R596" i="2" l="1"/>
  <c r="O597" i="2"/>
  <c r="O598" i="2" l="1"/>
  <c r="R597" i="2"/>
  <c r="O599" i="2" l="1"/>
  <c r="R598" i="2"/>
  <c r="R599" i="2" l="1"/>
  <c r="O600" i="2"/>
  <c r="O601" i="2" l="1"/>
  <c r="R600" i="2"/>
  <c r="R601" i="2" l="1"/>
  <c r="O602" i="2"/>
  <c r="O603" i="2" l="1"/>
  <c r="R602" i="2"/>
  <c r="O604" i="2" l="1"/>
  <c r="R603" i="2"/>
  <c r="O605" i="2" l="1"/>
  <c r="R604" i="2"/>
  <c r="O606" i="2" l="1"/>
  <c r="R605" i="2"/>
  <c r="R606" i="2" l="1"/>
  <c r="O607" i="2"/>
  <c r="O608" i="2" l="1"/>
  <c r="R607" i="2"/>
  <c r="O609" i="2" l="1"/>
  <c r="R608" i="2"/>
  <c r="R609" i="2" l="1"/>
  <c r="O610" i="2"/>
  <c r="O611" i="2" l="1"/>
  <c r="R610" i="2"/>
  <c r="O612" i="2" l="1"/>
  <c r="R611" i="2"/>
  <c r="O613" i="2" l="1"/>
  <c r="R612" i="2"/>
  <c r="R613" i="2" l="1"/>
  <c r="O614" i="2"/>
  <c r="O615" i="2" l="1"/>
  <c r="R614" i="2"/>
  <c r="O616" i="2" l="1"/>
  <c r="R615" i="2"/>
  <c r="O617" i="2" l="1"/>
  <c r="R616" i="2"/>
  <c r="R617" i="2" l="1"/>
  <c r="O618" i="2"/>
  <c r="O619" i="2" l="1"/>
  <c r="R618" i="2"/>
  <c r="O620" i="2" l="1"/>
  <c r="R619" i="2"/>
  <c r="O621" i="2" l="1"/>
  <c r="R620" i="2"/>
  <c r="R621" i="2" l="1"/>
  <c r="O622" i="2"/>
  <c r="O623" i="2" l="1"/>
  <c r="R622" i="2"/>
  <c r="R623" i="2" l="1"/>
  <c r="O624" i="2"/>
  <c r="R624" i="2" l="1"/>
  <c r="O625" i="2"/>
  <c r="O626" i="2" l="1"/>
  <c r="R625" i="2"/>
  <c r="R626" i="2" l="1"/>
  <c r="O627" i="2"/>
  <c r="O628" i="2" l="1"/>
  <c r="R627" i="2"/>
  <c r="O629" i="2" l="1"/>
  <c r="R628" i="2"/>
  <c r="O630" i="2" l="1"/>
  <c r="R629" i="2"/>
  <c r="O631" i="2" l="1"/>
  <c r="R630" i="2"/>
  <c r="R631" i="2" l="1"/>
  <c r="O632" i="2"/>
  <c r="O633" i="2" l="1"/>
  <c r="R632" i="2"/>
  <c r="O634" i="2" l="1"/>
  <c r="R633" i="2"/>
  <c r="O635" i="2" l="1"/>
  <c r="R634" i="2"/>
  <c r="O636" i="2" l="1"/>
  <c r="R635" i="2"/>
  <c r="O637" i="2" l="1"/>
  <c r="R636" i="2"/>
  <c r="O638" i="2" l="1"/>
  <c r="R637" i="2"/>
  <c r="O639" i="2" l="1"/>
  <c r="R638" i="2"/>
  <c r="R639" i="2" l="1"/>
  <c r="O640" i="2"/>
  <c r="R640" i="2" l="1"/>
  <c r="O641" i="2"/>
  <c r="R641" i="2" l="1"/>
  <c r="O642" i="2"/>
</calcChain>
</file>

<file path=xl/sharedStrings.xml><?xml version="1.0" encoding="utf-8"?>
<sst xmlns="http://schemas.openxmlformats.org/spreadsheetml/2006/main" count="7019" uniqueCount="918">
  <si>
    <t>Value (in 1000 $)</t>
  </si>
  <si>
    <t>Volume (in 1000)</t>
  </si>
  <si>
    <t>PACKAGE TYPE</t>
  </si>
  <si>
    <t>PROTECTION / CARE</t>
  </si>
  <si>
    <t>PACKAGE SIZE</t>
  </si>
  <si>
    <t>MANUFACTURER</t>
  </si>
  <si>
    <t>BRAND</t>
  </si>
  <si>
    <t>BABY2000 CAMOMILLA W 20 BAG ABA SRL</t>
  </si>
  <si>
    <t>ITEM</t>
  </si>
  <si>
    <t>BAGS</t>
  </si>
  <si>
    <t>WITHOUT EXTRA PROTECTCARE INDICATION</t>
  </si>
  <si>
    <t>20</t>
  </si>
  <si>
    <t>BAMBO NATURE W 10 BAG</t>
  </si>
  <si>
    <t>10</t>
  </si>
  <si>
    <t>BAMBO NATURE W 50 BAG</t>
  </si>
  <si>
    <t>50</t>
  </si>
  <si>
    <t>BAMBO NATURE 0%PERFUME W 80 BAG</t>
  </si>
  <si>
    <t>80</t>
  </si>
  <si>
    <t>BAMBO NATURE W 80 BAG KAPAK</t>
  </si>
  <si>
    <t>BABY CREMA PLAY TIME CAMOMILE W 100 PINK</t>
  </si>
  <si>
    <t>PH BALANCED</t>
  </si>
  <si>
    <t>100</t>
  </si>
  <si>
    <t>BABYCREMA PLAYTIME CAMOMILE W 100 ORANGE</t>
  </si>
  <si>
    <t>BABY CREMA CAMOMIL W 120 BAG KAPAK</t>
  </si>
  <si>
    <t>120</t>
  </si>
  <si>
    <t>BABY CREMA ALOE 15 BAG</t>
  </si>
  <si>
    <t>15</t>
  </si>
  <si>
    <t>BABY CREMA CAMOMIL W 15 BAG</t>
  </si>
  <si>
    <t>BABY CREMA PH5.5 W 3X15/1FR BAG &amp;&amp;&amp;</t>
  </si>
  <si>
    <t>BABY CREMA WATER 99% W 15 BAG</t>
  </si>
  <si>
    <t>ALCOHOL FREE</t>
  </si>
  <si>
    <t>BABY CREMA CAMOMIL W 40 BAG</t>
  </si>
  <si>
    <t>40</t>
  </si>
  <si>
    <t>BABY CREMA COTTON&amp;PANTENOL W 4X56 BAG</t>
  </si>
  <si>
    <t>56</t>
  </si>
  <si>
    <t>BABY CREMA COTTON&amp;PANTENOL W 56 BAG</t>
  </si>
  <si>
    <t>BABY CREMA ALOE 64 BAG</t>
  </si>
  <si>
    <t>64</t>
  </si>
  <si>
    <t>BABY CREMA CAMOMIL W 64 BAG</t>
  </si>
  <si>
    <t>BABY CREMA PLAY TIME CAMOMIL W 64 BAG</t>
  </si>
  <si>
    <t>BABYCREMA CAMOMIL W 4X64 BAG SUPERTSENA</t>
  </si>
  <si>
    <t>BABY CREMA ALOE&amp;ALMOND OIL W 72 BAG</t>
  </si>
  <si>
    <t>72</t>
  </si>
  <si>
    <t>BABY CREMA CAMOMIL&amp;ALMOND W 72 BAG</t>
  </si>
  <si>
    <t>BABY CREMA COTTON W 2X72BAG50%OT TS.VTOR</t>
  </si>
  <si>
    <t>BABY CREMA COTTON&amp;PANTENOL W 72 BAG</t>
  </si>
  <si>
    <t>BABY CREMA NEVEN PH5.5 W 72 BAG</t>
  </si>
  <si>
    <t>BABY CREMA SMRADLIKA PH5.5 W 72 BAG</t>
  </si>
  <si>
    <t>BABY CREMA WATER 99% W 72 BAG</t>
  </si>
  <si>
    <t>BABYCREMA CAMOMILE W 2X72BAG50%OTTS.VTOR</t>
  </si>
  <si>
    <t>BABYCREMA COTTON&amp;PANTENOL W 3X72/1FR BAG</t>
  </si>
  <si>
    <t>BABYCREMA PLAYTIME CAMOMIL W 72 BAG KAPA</t>
  </si>
  <si>
    <t>BABY CREMA ALOE W 80 BAG</t>
  </si>
  <si>
    <t>BABY CREMA CAMOMIL W 80 BAG</t>
  </si>
  <si>
    <t>LINDY VITAMIN E PH5.5 W 120 BAG</t>
  </si>
  <si>
    <t>LINDY ALOE VERA&amp;VIT E W 64 BAG</t>
  </si>
  <si>
    <t>LINDY ALOE VERA&amp;VIT E W 64 BAG KAPAK</t>
  </si>
  <si>
    <t>LINDY CAMOMILE W 64 BAG</t>
  </si>
  <si>
    <t>LINDY CAMOMILE W 64 BAG KAPAK</t>
  </si>
  <si>
    <t>LINDY CREAM W 64 BAG KAPAK</t>
  </si>
  <si>
    <t>LINDY CREAM&amp;VIT.E PH5.5 W 64 BAG</t>
  </si>
  <si>
    <t>LINDY OLIVE OIL EXTR. PH5.5 W 64 BAG</t>
  </si>
  <si>
    <t>LINDY OLIVE OIL EXTR. W 64 BAG KAPAK</t>
  </si>
  <si>
    <t>LINDY SENSITIVE COTTON PH5.5 W 64 BAG</t>
  </si>
  <si>
    <t>SENSITIVE</t>
  </si>
  <si>
    <t>LINDY SENSITIVE W 64 BAG KAPAK</t>
  </si>
  <si>
    <t>LINDY WHITE TEA&amp;VIT E W 64 BAG</t>
  </si>
  <si>
    <t>LINDY PREMIUM LAVENDER W 90 BAG KAPAK</t>
  </si>
  <si>
    <t>90</t>
  </si>
  <si>
    <t>HYPOALLERGENIC</t>
  </si>
  <si>
    <t>LUBA BABY B5&amp;VIT E PH5.5W 120 BAG</t>
  </si>
  <si>
    <t>LUBA BABY B5&amp;VIT E PH5.5 90 W BAG</t>
  </si>
  <si>
    <t>HUGGLO BABY PH5.5 W 120 BAG KAPAK</t>
  </si>
  <si>
    <t>PAPILION BABY ALOE VERA W 100 BAG KAPAK</t>
  </si>
  <si>
    <t>PAPILION BABY SENSITIVE W 100 BAG KAPAK</t>
  </si>
  <si>
    <t>PAPILION BABY WET CHAMOMILE W 100 BAG</t>
  </si>
  <si>
    <t>PAPILION BABY WET GREEN APPLE W 100 BAG</t>
  </si>
  <si>
    <t>PAPILION BABYWET CHARM.LAVENDER W 100BAG</t>
  </si>
  <si>
    <t>PAPILION BABYWET CHARMINGROSE W 100 BAG</t>
  </si>
  <si>
    <t>PAPILION BABYWET GRAPEFRUIT&amp;LIME W 100BA</t>
  </si>
  <si>
    <t>PAPILION JUMBO WET PH5.5 W 120 BAG KAPAK</t>
  </si>
  <si>
    <t>PAPILION BABY WET SENSITIVE W 72 BAG</t>
  </si>
  <si>
    <t>PAPILION YELLOW LILY W 90 BAG KAPAK</t>
  </si>
  <si>
    <t>HONEY BEBISH WITH CREAM W 102 BAG KAPAK</t>
  </si>
  <si>
    <t>102</t>
  </si>
  <si>
    <t>PINE ALOE VERA KREMALI W 120 BAG KAPAK</t>
  </si>
  <si>
    <t>PINE ALOE VERA KREMALI W 72 BAG KAPAK</t>
  </si>
  <si>
    <t>TROMPY 20 BAG</t>
  </si>
  <si>
    <t>25</t>
  </si>
  <si>
    <t>HAPPY FRESH BABY CREAM W 72 BAG</t>
  </si>
  <si>
    <t>HAPPY FRESH BABY W 72 BAG KAPAK</t>
  </si>
  <si>
    <t>ULTRA COMPACT ANGELS ALC.FREE W 120 BAG</t>
  </si>
  <si>
    <t>ULTRA COMPACT MOMO CREAMY W 120 BAG</t>
  </si>
  <si>
    <t>ULTRA COMPACT ANGELS ALC.FREE W 72 BAG</t>
  </si>
  <si>
    <t>ULTRACOMPACT BABY PH5.5 ALC.FREE W 72 BA</t>
  </si>
  <si>
    <t>KANZ NATURAL SENS.SKIN ALC.FREE W120 BAG</t>
  </si>
  <si>
    <t>KANZ EXTRA SOFT ALC.FREE W 50 BAG</t>
  </si>
  <si>
    <t>KANZ ULTRA SOFT ALC.FREE W 72 BAG</t>
  </si>
  <si>
    <t>CHICCO SALVIETTINE SENSITIVE W 60 BAG</t>
  </si>
  <si>
    <t>60</t>
  </si>
  <si>
    <t>CHICCO SALVIETTINE PARABENI W 72 BAG</t>
  </si>
  <si>
    <t>UNI COMFORT LOTION P H5.5 72 BAG</t>
  </si>
  <si>
    <t>30</t>
  </si>
  <si>
    <t>70</t>
  </si>
  <si>
    <t>EVENT BABY CALENDULA 140 BAG KAPAK</t>
  </si>
  <si>
    <t>140</t>
  </si>
  <si>
    <t>EVENT BABY CALENDULA 140 BAG KAPAK+WIP</t>
  </si>
  <si>
    <t>EVENT BABY MOIST.CHAMOMILE 20 W BAG</t>
  </si>
  <si>
    <t>EVENT BABY SENSIT. ALOE VERA 20 BAG</t>
  </si>
  <si>
    <t>EVENT BABY CALENDULA W 25 BAG</t>
  </si>
  <si>
    <t>EVENT BABY CALENDULA W 25 BAG+WIP 140</t>
  </si>
  <si>
    <t>EVENT BABY CALENDULA HYPOALL.W 30 BAG</t>
  </si>
  <si>
    <t>EVENT BABY HYPOAL.CALENDULA 64 W BAG</t>
  </si>
  <si>
    <t>EVENT BABY HYPOALL.CHAMOMILE 72 W BAG</t>
  </si>
  <si>
    <t>EVENT BABY MOIST.CHAMOMILE 72 W BAG</t>
  </si>
  <si>
    <t>EVENT BABY SENSIT. ALOE VERA 72 W BAG</t>
  </si>
  <si>
    <t>TEX BABY PH5.5 ALC.FREE W 100 BAG PURPLE</t>
  </si>
  <si>
    <t>TEX BABY PH5.5 ALC.FREE W 100 BAG YELLOW</t>
  </si>
  <si>
    <t>24</t>
  </si>
  <si>
    <t>66</t>
  </si>
  <si>
    <t>NIVEA BABY SOFT&amp;CREME 20 BAG</t>
  </si>
  <si>
    <t>NIVEA BABY TODDIES 2IN1 60 BAG</t>
  </si>
  <si>
    <t>NIVEA BABY FRESH&amp;PURE 63 BAG</t>
  </si>
  <si>
    <t>63</t>
  </si>
  <si>
    <t>NIVEA BABY PURE&amp;SENSITIVE 63 W BAG</t>
  </si>
  <si>
    <t>NIVEA BABY SOFT&amp;CREME 63 BAG</t>
  </si>
  <si>
    <t>SMILE (BIOSPHERE CORP.)</t>
  </si>
  <si>
    <t>SMILE ALOE&amp;CAMOMILE PH5.5 60 BAG</t>
  </si>
  <si>
    <t>SOFTLINE FRESHERCREAMVITE PH5.5 W 120BAG</t>
  </si>
  <si>
    <t>BABYCARE WITHCREAM W 80/8FREE BAG KAPAK</t>
  </si>
  <si>
    <t>BABY WISH VITE&amp;PROVITAMINB5 W 120 BAG</t>
  </si>
  <si>
    <t>COSMI</t>
  </si>
  <si>
    <t>COSMI BABY ARGAN W 20 BAG</t>
  </si>
  <si>
    <t>AQUELLA BABY AMUR WITH CREAM W 120 BAG</t>
  </si>
  <si>
    <t>AQUELLA BABY ULTRA SOFT CREAM W 120 BAG</t>
  </si>
  <si>
    <t>AQUELLA TROPIC ALC.FREE W 120 BAG</t>
  </si>
  <si>
    <t>AQUELLA KIDS BABY ALOEVERA&amp;CREAM W 60BAG</t>
  </si>
  <si>
    <t>AQUELLA BABY VIT E&amp;PRO B5 W 72 BAG</t>
  </si>
  <si>
    <t>AQUELLA KIDS BABY PH5.5 W 72 BAG</t>
  </si>
  <si>
    <t>AQUELLA BABY VIT E&amp;PRO B5 W 90 BAG KAPAK</t>
  </si>
  <si>
    <t>AURA ULTRA COMF. COTTON HYPOALL. W 100 B</t>
  </si>
  <si>
    <t>AURA ULTRA COMFORT COTTON W 63 BAG</t>
  </si>
  <si>
    <t>COTTON BABY UL.SOFT CREAM ALC.FREE W 120</t>
  </si>
  <si>
    <t>COTTON BABY PH5.5 AL.FREE W 90 BAG KAPAK</t>
  </si>
  <si>
    <t>MIMI NICE BABY PH5.5 W 15 BAG</t>
  </si>
  <si>
    <t>MY COMFORT BABY ANGEL PH5.5 W 120 BAG</t>
  </si>
  <si>
    <t>MY COMFORT BABY ARGAN ALK.FREE W 120 BAG</t>
  </si>
  <si>
    <t>NICEBABY PROVITB5&amp;VITE PH5.5 W 120 BAG</t>
  </si>
  <si>
    <t>WINEX BABY PH5.5 W 72 BAG</t>
  </si>
  <si>
    <t>WINEX BABY PROVITB5&amp;VIT.F PH5.5 W 72 BAG</t>
  </si>
  <si>
    <t>FOMEX PH5.5 ALC.FREE W 72 BAG KAPAK</t>
  </si>
  <si>
    <t>PADDLERS (ENKA HIJYUEN)</t>
  </si>
  <si>
    <t>PADDLERS SOFT&amp;CREAM PROVITB5&amp;VITE W 120</t>
  </si>
  <si>
    <t>PADDLERS SOFT&amp;CREAM PROVITB5&amp;VITE W 80</t>
  </si>
  <si>
    <t>PURE BABY JUMBO PH5.5 W 120 BAG</t>
  </si>
  <si>
    <t>SLEEPY BABY SENSITIVE 110 W BAG KAPAK</t>
  </si>
  <si>
    <t>110</t>
  </si>
  <si>
    <t>SLEEPY BABY APPLE AL.FREE W 120 BAG</t>
  </si>
  <si>
    <t>SLEEPY BABY LEMON AL.FREE W 120 BAG</t>
  </si>
  <si>
    <t>SLEEPY BABY ORANGE AL.FREE W 120 BAG</t>
  </si>
  <si>
    <t>SLEEPY BABY PH5.5 120 W BAG KAPAK</t>
  </si>
  <si>
    <t>SLEEPY STRAWBERRY BABY AL.FREE 120 W BAG</t>
  </si>
  <si>
    <t>SLEEPY BABY MIXED FRUIT PH5.5 15 W BAG</t>
  </si>
  <si>
    <t>SLEEPY BABY PH5.5 70 W BAG</t>
  </si>
  <si>
    <t>YESS BABY (ERUSLU)</t>
  </si>
  <si>
    <t>YESS BABY ALC.FREE W 120 BAG</t>
  </si>
  <si>
    <t>YESS BABY ALC.FREE W 15 BAG</t>
  </si>
  <si>
    <t>ELAN SENS.CREAM LOTION W 120 BAG ZELENI</t>
  </si>
  <si>
    <t>LAN SENS.CREAM LOTION 120 BAG LILAVI</t>
  </si>
  <si>
    <t>SETABLU OAT EXTRACT PH5.5 W 72 BAG KAPAK</t>
  </si>
  <si>
    <t>LIBERO (ESSITY)</t>
  </si>
  <si>
    <t>LIBERO ALOE ALC.FREE W 20 BAG</t>
  </si>
  <si>
    <t>LIBERO ALOE&amp;CHAMOMILE W 20 BAG</t>
  </si>
  <si>
    <t>LIBERO ALOE&amp;CHAMOMILE W 4X64 BAG</t>
  </si>
  <si>
    <t>LIBERO ALOE&amp;CHAMOMILE W 64 BAG</t>
  </si>
  <si>
    <t>EVY BABY SOFT CHAMOMILE ALC.FREE W50 BAG</t>
  </si>
  <si>
    <t>EVY BABY SOFT CHAMOMILE EXTRACT W 56 BAG</t>
  </si>
  <si>
    <t>EVY BABY CREAMY ALOE VERA MOIST W 60 BAG</t>
  </si>
  <si>
    <t>EVY BABY SOFT CHAMOMILE EXTRACT W 60 BAG</t>
  </si>
  <si>
    <t>FEMOLE (FEM COSMETIC)</t>
  </si>
  <si>
    <t>FEMOLE FRESH VITE PH5.5 W 72 BAG CHERVEN</t>
  </si>
  <si>
    <t>FEMOLE FRESHBABY VITE PH5.5 W 72 BAG SIN</t>
  </si>
  <si>
    <t>BERFINY (FULYA COSMETICS)</t>
  </si>
  <si>
    <t>BERFINY CLASSIC BABY W 72 BAG</t>
  </si>
  <si>
    <t>BERFINY EXTRA BABY W 72 BAG</t>
  </si>
  <si>
    <t>FRESH RUNY (FULYA COSMETICS)</t>
  </si>
  <si>
    <t>FRESH RUNY BABY PH5.5 ALC.FREE W 120 BAG</t>
  </si>
  <si>
    <t>FRESH RUNY BABY MILK&amp;HONEY W 64 BAG</t>
  </si>
  <si>
    <t>FRESH RUNY BABY W 64 BAG</t>
  </si>
  <si>
    <t>FRESHMAKER (FULYA COSMETICS)</t>
  </si>
  <si>
    <t>FRESH MAKER BABY CREAM FRUIT W 100 BAG</t>
  </si>
  <si>
    <t>FRESH MAKER BABY PH5.5 W 120 BAG JUMBO</t>
  </si>
  <si>
    <t>FRESH MAKER BABY CREAM W 120/48FREE BAG</t>
  </si>
  <si>
    <t>FRESH MAKER BABY CREAM W 72 BAG</t>
  </si>
  <si>
    <t>FRESH MAKER BABY CREAM W 72 BAG KAPAK</t>
  </si>
  <si>
    <t>FRESH MAKER BABY CREAM W 96/24FREE BAG</t>
  </si>
  <si>
    <t>FRESH MAKER BABY W 72 BAG</t>
  </si>
  <si>
    <t>FRESH MAKER BABY WITH CREAM W 72 BAG</t>
  </si>
  <si>
    <t>FRESH MAKER ALOE VERA PH5.5 W 90 BAG</t>
  </si>
  <si>
    <t>FRESH MAKER SENSITIVE ALC.FREE W 90 BAG</t>
  </si>
  <si>
    <t>HAPPY (FULYA COSMETICS)</t>
  </si>
  <si>
    <t>HAPPY ALOE VERA W 100 BAG KAPAK</t>
  </si>
  <si>
    <t>KIDS (FULYA KOZM.)</t>
  </si>
  <si>
    <t>KIDS BABY WET WIPES W 72 BAG KAPACHE</t>
  </si>
  <si>
    <t>LIO FRESH (FULYA COSMETICS)</t>
  </si>
  <si>
    <t>LIO FRESH BABY CREAM LOTION W 72 BAG</t>
  </si>
  <si>
    <t>LIOLA (FULYA COSMETICS)</t>
  </si>
  <si>
    <t>NEMDIL (FULYA COSMETICS)</t>
  </si>
  <si>
    <t>NEMDIL BABY ROSE W 120 BAG KAPAK</t>
  </si>
  <si>
    <t>NEMDIL BABY WITH CREAM W 120 BAG KAPAK</t>
  </si>
  <si>
    <t>NEMDIL BABY ALCOHOL FREE W 72 BAG</t>
  </si>
  <si>
    <t>NEMDIL BABY OLIVE OIL CAMOMILE W 72 BAG</t>
  </si>
  <si>
    <t>NEMDIL BABYDELUXEALOE&amp;MIK&amp;HONEY W 72KAPA</t>
  </si>
  <si>
    <t>PREMIUM (FULYA COSMETICS)</t>
  </si>
  <si>
    <t>PREMIUM QUALITY BABY W 72 BAG &amp;&amp;&amp;</t>
  </si>
  <si>
    <t>PURE (FULYA COSMETICS)</t>
  </si>
  <si>
    <t>PURE BABY LILIUM W 120 BAG KAPAK</t>
  </si>
  <si>
    <t>NAPEEZ BY GRACIA (GRACIA COMPANY)</t>
  </si>
  <si>
    <t>NAPEEZBYGRACIA BABY PH5.5 100 BAG KAPAK</t>
  </si>
  <si>
    <t>MIKE LINE (GRUPA POLUDNIE SP)</t>
  </si>
  <si>
    <t>MIKE LINE SENSIT.CREAM LOTION W 72 BAG</t>
  </si>
  <si>
    <t>PRIME (GRUPPO AVELLA SRL )</t>
  </si>
  <si>
    <t>PRIME OLIODIARGAN SENSITIVE 63 BAG KAPAK</t>
  </si>
  <si>
    <t>PRIME TALKO SENSITIVE 63 BAG KAPAK</t>
  </si>
  <si>
    <t>PRIME BABY ALC.FREE 72 BAG KAPAK</t>
  </si>
  <si>
    <t>PONKY (GULSAH KOZMETIK)</t>
  </si>
  <si>
    <t>PONKY BABY W 72 BAG +KAPACHE</t>
  </si>
  <si>
    <t>PONKY BABY WET TOWEL W 72 BAG ZHALTI</t>
  </si>
  <si>
    <t>POZZY (GULSAH KOZMETIK)</t>
  </si>
  <si>
    <t>POZZY EXTRA MILK&amp;HONEY PH5.5 W 72 BAG</t>
  </si>
  <si>
    <t>POZZY EXTRA OLIVE OIL ALC.FREE W 72 BAG</t>
  </si>
  <si>
    <t>CLEANIC (HARPER HYGIENICS)</t>
  </si>
  <si>
    <t>CLEANIC BABY ATOPICAL D-PANT. PH 50 BAG</t>
  </si>
  <si>
    <t>CLEANIC BABY PROBIOTICAL HYPOAL.50 BAG</t>
  </si>
  <si>
    <t>CLEANIC BABY VEGEMILK VIT&amp;MIN.50 BAG</t>
  </si>
  <si>
    <t>PETINO (HARPER HYGIENICS)</t>
  </si>
  <si>
    <t>PETINO DELICATO&amp;FRESH ALANTOIN 120 BAG</t>
  </si>
  <si>
    <t>PETINO DELICATO&amp;FRESH ALANTOIN 84/12FR</t>
  </si>
  <si>
    <t>MOLFIX (HAYAT KIMYA)</t>
  </si>
  <si>
    <t>MOLFIX SENSITIVE PH5.5 W 40 BAG</t>
  </si>
  <si>
    <t>MOLFIX BABY COTTON PH5.5 W 50 BAG HAYAT</t>
  </si>
  <si>
    <t>MOLFIX BABY IZOT.WATER PANT.&amp;LAN.W 60 BA</t>
  </si>
  <si>
    <t>MOLFIX BABY LOTION ISO.WATER W 3X60 BAG</t>
  </si>
  <si>
    <t>MOLFIX BABY LOTION PH5.5 W 60 BAG HAYAT</t>
  </si>
  <si>
    <t>MOLFIX BABY LOTION W 3X60 BAG HAYAT</t>
  </si>
  <si>
    <t>MOLFIX BABY LOTION W 3X63 BAG HAYAT</t>
  </si>
  <si>
    <t>MOLFIX BABY W 63 BAG HAYAT</t>
  </si>
  <si>
    <t>HIMALAYA (HIMALAYA DRUG)</t>
  </si>
  <si>
    <t>HIMALAYA ALOE VERA&amp;INDIANLOTUS W 20 BAG</t>
  </si>
  <si>
    <t>ALCOHOL FREE &amp; HYPOALLERGENIC</t>
  </si>
  <si>
    <t>HIMALAYA SOOTHING&amp;PROTECTINGBABY W 20BAG</t>
  </si>
  <si>
    <t>HIMALAYA ALOE VERA&amp;INDIANLOTUS W 56 BAG</t>
  </si>
  <si>
    <t>HIMALAYA SOOTHING&amp;PROTECTINGBABY W 56BAG</t>
  </si>
  <si>
    <t>HIPP (HIPP GMBH)</t>
  </si>
  <si>
    <t>HIPP BABY SANFT ALMOND PH5.5 W 10 BAG</t>
  </si>
  <si>
    <t>HIPP BABY ULTRASENSITIVE MANDEL W 52 BAG</t>
  </si>
  <si>
    <t>52</t>
  </si>
  <si>
    <t>HIPP BABY ALMOND W 56 BAG</t>
  </si>
  <si>
    <t>HIPP BABY GENTLE CARING W 56 BAG</t>
  </si>
  <si>
    <t>HIPP BABY SANFT FEUCHT TUCHER W 56 BAG</t>
  </si>
  <si>
    <t>HIPP BABYSANFT BIOMANDELEXT.W 2X56+POD.</t>
  </si>
  <si>
    <t>HIPP BABYSANFT BIOMANDELEXTR. W 2X56 BAG</t>
  </si>
  <si>
    <t>HIPP BABYSANFT BIOMANDELEXTRACT W 56 BAG</t>
  </si>
  <si>
    <t>BIONIKE (ICIM INTERNATIONAL)</t>
  </si>
  <si>
    <t>BIONIKE TRIDERM BABY CLEANSING 72 BAG</t>
  </si>
  <si>
    <t>WATER WIPES (IRISH BREEZE LTD)</t>
  </si>
  <si>
    <t>WATERWIPES FRUITEXTR.99.9%WATER W 10 BAG</t>
  </si>
  <si>
    <t>WATERWIPES FRUITEXTR.99.9%WATER W 240BAG</t>
  </si>
  <si>
    <t>240</t>
  </si>
  <si>
    <t>WATERWIPES FRUITEXTR.99.9%WATER W 28 BAG</t>
  </si>
  <si>
    <t>28</t>
  </si>
  <si>
    <t>WATERWIPES FRUITEXTR.99.9%WATER W 60 BAG</t>
  </si>
  <si>
    <t>WATERWIPES SOAPBERRY99.9%WATER W 60 BAG</t>
  </si>
  <si>
    <t>PAW PATROL (JELLYWORKS HEALTHCARE)</t>
  </si>
  <si>
    <t>PEPPA PIG (JELLYWORKS HEALTHCARE)</t>
  </si>
  <si>
    <t>PEPPA PIG BABY MUDDY PUDDLE 56 W BAG</t>
  </si>
  <si>
    <t>JOHNSONS (JOHNSON &amp; JOHNSON INT.)</t>
  </si>
  <si>
    <t>JOHNSONS BABY GENTLE ALL OVER W 20 BAG</t>
  </si>
  <si>
    <t>JOHNSONS BAB COT.TOU SEN.W56+BOD+SHG+IGR</t>
  </si>
  <si>
    <t>JOHNSONS BABY COTTON TOUCH SENS.W 56 BAG</t>
  </si>
  <si>
    <t>JOHNSONS BABY GENTLE ALL OVER W 3X56 BAG</t>
  </si>
  <si>
    <t>JOHNSONS BABY GENTLE ALL OVER W 56 BAG</t>
  </si>
  <si>
    <t>JOHNSONS BABY SILK EXTRACT W 56 BAG</t>
  </si>
  <si>
    <t>JOHNSONS BABY GENTLE ALL OVER W 72 BAG K</t>
  </si>
  <si>
    <t>JOHNSONS BABY SENSITIVE ALC.FREE W 72 BA</t>
  </si>
  <si>
    <t>MAIA (KALESAN)</t>
  </si>
  <si>
    <t>MAIA BABY PURE&amp;SENSITIVE PH5.5 W 72 BAG</t>
  </si>
  <si>
    <t>BEBECEN (KANTARA PRODUKSIYON DAGITIM)</t>
  </si>
  <si>
    <t>BEBECAN PH5.5 ALC.FREE W 72 BAG KANTARA</t>
  </si>
  <si>
    <t>KRISPA (KAPPUS)</t>
  </si>
  <si>
    <t>KRISPA BABY CAMOMILE W 15 BAG</t>
  </si>
  <si>
    <t>KRISPA BABY CAMOMILE P H5.5 W 80 BAG</t>
  </si>
  <si>
    <t>SOFT &amp; FRESH (KARDESLER UCANYAGLAR SAN A</t>
  </si>
  <si>
    <t>FRESH'N SOFT WATER&amp;COTTON W 3X40 BAG</t>
  </si>
  <si>
    <t>FRESH'N SOFT CLASSIC PH5.5 W 90 BAG</t>
  </si>
  <si>
    <t>RENKLY BABY (KARTOPU KOLONYA)</t>
  </si>
  <si>
    <t>RENKLY JUMBO CHAMOMILE 120 W BAG KAPAK</t>
  </si>
  <si>
    <t>RENKLY BABY ALC.FREE W 70 BAG</t>
  </si>
  <si>
    <t>RENKLY BABY ALOE VERA 70 W BAG</t>
  </si>
  <si>
    <t>RENKLI BABY ALC.FREE PH5.5 W 72 BAG KAPA</t>
  </si>
  <si>
    <t>RENKLY BABY 72 W BAG</t>
  </si>
  <si>
    <t>HUGGIES (KIMBERLEY CLARK)</t>
  </si>
  <si>
    <t>HUGGIES NATURAL CARE ALOE VERA W 56 BAG</t>
  </si>
  <si>
    <t>HUGGIES PURE COTTON WOOL&amp;WATER 56 W BAG</t>
  </si>
  <si>
    <t>HUGGIES SOFT SKIN VIT E 56 BAG</t>
  </si>
  <si>
    <t>HUGGIES SOFTTOUCH WITHLOTION&amp;VITE 56 BAG</t>
  </si>
  <si>
    <t>HUGGIES UNISTAR LINGETTES 56 W BAG</t>
  </si>
  <si>
    <t>HUGGIES ALOE+VIT E W 64 BAG</t>
  </si>
  <si>
    <t>HUGGIES BABY UNISTAR W 64 BAG</t>
  </si>
  <si>
    <t>HUGGIES PURE COTTON WOOL&amp;WATER 64 W BAG</t>
  </si>
  <si>
    <t>HUGGIES PURE 99% WATER 72 W BAG</t>
  </si>
  <si>
    <t>KOMILI (KOMILI S.A.)</t>
  </si>
  <si>
    <t>KOMILI BABY SOFT ALC.FREE W 70 BAG</t>
  </si>
  <si>
    <t>KOMILI BABY COTTON PH5.5 W 80 BAG</t>
  </si>
  <si>
    <t>TANGO (KOZMO KIMYA)</t>
  </si>
  <si>
    <t>TANGO BABY SOFT VIT E ALC.FREE 72BR BAG</t>
  </si>
  <si>
    <t>MUSTELA (LABORATORY EXPANSCIENCE)</t>
  </si>
  <si>
    <t>MUSTELA BEBE CLEANSING 25 W BAG</t>
  </si>
  <si>
    <t>MUSTELA BEBE CLEANSING 25 W NP KAPAK</t>
  </si>
  <si>
    <t>MUSTELA BEBE STELATOPIA W 50 BAG KAPAK</t>
  </si>
  <si>
    <t>MUSTELABEBE STELATOPIAW50KAP+BOD+BOD+BOD</t>
  </si>
  <si>
    <t>MUSTELA BEBE CLEANSING 60 W BAG</t>
  </si>
  <si>
    <t>MUSTELA BEBE CLEANSING AVOCADO 70 W BAG</t>
  </si>
  <si>
    <t>MUSTELA BEBE CLEANSING W 70 BAG KAPAK</t>
  </si>
  <si>
    <t>MUSTELA BEBE SOOTHING ALOE VERA 70 W BAG</t>
  </si>
  <si>
    <t>LANSINOH (LANSINOH LABORATORIE INC)</t>
  </si>
  <si>
    <t>LANSINOH BABY ALC.FREE W 80 BAG KAPAK</t>
  </si>
  <si>
    <t>LARA (LARA KOZMETIK)</t>
  </si>
  <si>
    <t>LARA BABY SOFT ALOE VERA W 100 BAG KAPAK</t>
  </si>
  <si>
    <t>LARA BABY SOFT CAMOMILE W 100 BAG KAPAK</t>
  </si>
  <si>
    <t>LARA BABY SOFT GERBERA DAISY W 100 BAG</t>
  </si>
  <si>
    <t>LARA BABY SOFT LAVENDER W 100 BAG KAPAK</t>
  </si>
  <si>
    <t>LARA BABY SOFT WILD ROSE W 100 BAG KAPAK</t>
  </si>
  <si>
    <t>LARA BABYSOFT LEMON&amp;GRAPEFRUIT W 100 BAG</t>
  </si>
  <si>
    <t>LARA BABY SOFT ALOE VERA W 120 BAG KAPAK</t>
  </si>
  <si>
    <t>LARA BABY SOFT CAMOMILE BREEZE W 120 BAG</t>
  </si>
  <si>
    <t>LARA BABY SOFT CAMOMILE W 120 BAG KAPAK</t>
  </si>
  <si>
    <t>LARA BABY SOFT GERBER W 120 BAG KAPAK</t>
  </si>
  <si>
    <t>LARA BABY SOFT LAVENDER W 120 BAG KAPAK</t>
  </si>
  <si>
    <t>LARA BABY SOFT WILD ROSE W 120 BAG KAPAK</t>
  </si>
  <si>
    <t>LARA BABYSOFT LEMON&amp;GRAPEFRUIT W 120 BAG</t>
  </si>
  <si>
    <t>LARA BABYSOFT PREMIUM ALC.FREE W 120 BAG</t>
  </si>
  <si>
    <t>LARA BABY SOFT&amp;FRESH PH5.5 W 20 BAG</t>
  </si>
  <si>
    <t>LARA BABY SOFT ALOE VERA W 40 BAG</t>
  </si>
  <si>
    <t>LARA BABY SOFT VIT E&amp;PRO VIT B5 W 40 BAG</t>
  </si>
  <si>
    <t>LARA CARE BABY 99%WATER PREBIOTIC W 60</t>
  </si>
  <si>
    <t>LARA BABY FRESH W 72 BAG/KAPACHE</t>
  </si>
  <si>
    <t>LARA BABY SENSITIVE PH5.5 W 72 BAG</t>
  </si>
  <si>
    <t>LARA BABY SOFT CAMOMILE W 72 BAG/KAPACHE</t>
  </si>
  <si>
    <t>LARA BABY SOFT PH5.5 W 72 BAG</t>
  </si>
  <si>
    <t>LARA BABY SOFT PH5.5 W 72 BAG KAPAK</t>
  </si>
  <si>
    <t>LARA BABY SOFT VIT E&amp;PRO VIT B5 W 72 BAG</t>
  </si>
  <si>
    <t>LARA BABY SOFT&amp;FRESH W 72 BAG</t>
  </si>
  <si>
    <t>LARA BABY SPECIAL FORMULA VIT E W 72 BAG</t>
  </si>
  <si>
    <t>LARA BABY SOFT ALOE VERA W 80 BAG KAPAK</t>
  </si>
  <si>
    <t>LARA BABY SOFT WILD ROSE W 80 BAG KAPAK</t>
  </si>
  <si>
    <t>LARA BABYSOFT CAMOMILEBREEZ.W 80 BAG KAP</t>
  </si>
  <si>
    <t>LARA BABY SOFT EXTRA W 96 BAG/KAPACHE</t>
  </si>
  <si>
    <t>96</t>
  </si>
  <si>
    <t>PUFY (LARA COSMETIC)</t>
  </si>
  <si>
    <t>PUFY FRESH GERBERA PH5.5 W 120 BAG</t>
  </si>
  <si>
    <t>TOP BLITZ (LARA KOSMETICK)</t>
  </si>
  <si>
    <t>TOP BLITZ CREAM VIT E W 72 BAG</t>
  </si>
  <si>
    <t>54</t>
  </si>
  <si>
    <t>CONFY (LIDERSAN SAGLIK VE GIDA)</t>
  </si>
  <si>
    <t>CONFY BABY PH5.5 W 40 BAG</t>
  </si>
  <si>
    <t>CONFY BABY SENSITIVE W 90 BAG</t>
  </si>
  <si>
    <t>CONFY BABY SENSITIVE W 90 BAG PINK</t>
  </si>
  <si>
    <t>MIMOSA (MAPA INTERNATIONAL)</t>
  </si>
  <si>
    <t>MIMOSA BABY ALOE VERA 64 BAG</t>
  </si>
  <si>
    <t>MIMOSA BABY CHAMOMILE 64 BAG</t>
  </si>
  <si>
    <t>MIMOSA BABY PH5.5 72 BAG KAPAK</t>
  </si>
  <si>
    <t>SENCE (MAXBRANDS MARKETING B.V.)</t>
  </si>
  <si>
    <t>SENCE BABY SENSITIVE PH5.5 W 60 BAG</t>
  </si>
  <si>
    <t>BABY CARE (MEGA)</t>
  </si>
  <si>
    <t>BABY CARE CHAMOMILE 4X12/2FR BAG</t>
  </si>
  <si>
    <t>12</t>
  </si>
  <si>
    <t>BABY CARE CHAMOMILE W 12 BAG</t>
  </si>
  <si>
    <t>BABY CARE CHAMOMILE W 3X12/1FR BAG</t>
  </si>
  <si>
    <t>BABY CARE TRAVEL CHAMOMILE 20 BAG</t>
  </si>
  <si>
    <t>BABY CARE CLAMING PURE WATER 63 BAG</t>
  </si>
  <si>
    <t>BABY CARE PURE COTTON EXTRACT 63 BAG</t>
  </si>
  <si>
    <t>BABY CARE SENSITIVE OLIVE EXTRACT 63 BAG</t>
  </si>
  <si>
    <t>BABY CARE TRAVEL CHAMOMILE 72 BAG RE</t>
  </si>
  <si>
    <t>BABYLINO (MEGA S.A.)</t>
  </si>
  <si>
    <t>BABYLINO SENSITIVE ARNIKA&amp;CHAM W10+WIPFI</t>
  </si>
  <si>
    <t>BABY LINO SENSITIVE CHAMOMILE W 3X54/1FR</t>
  </si>
  <si>
    <t>BABY LINO SENSITIVE CHAMOMILE W 54 BAG</t>
  </si>
  <si>
    <t>BABYLINO SENSITIVE ARNIKACHAMOMILE W 54</t>
  </si>
  <si>
    <t>BABYLINO SENSITIVE CHAMOMILE W 54+10 BAG</t>
  </si>
  <si>
    <t>BABYLINO SENSITIVE CHAMOMILE W 54+WIP 10</t>
  </si>
  <si>
    <t>HUGGLO (MIS SAGLIK SAN.)</t>
  </si>
  <si>
    <t>HUGGLO WET&amp;SOFT W 100 BAG KAPAK</t>
  </si>
  <si>
    <t>L'UNICO (MONTRASIO)</t>
  </si>
  <si>
    <t>L'UNICO BABY OLIO DI ARGAN HYPO.W 72 BAG</t>
  </si>
  <si>
    <t>BIG SOFT (MORAMEX GROUP / TOBI MG LTD)</t>
  </si>
  <si>
    <t>BIG SOFT SENSITIVE WITH CREAM 100 BAG</t>
  </si>
  <si>
    <t>BIGSOFT SENSITIVEWITHCREAM 100 BAG KAPAK</t>
  </si>
  <si>
    <t>BIG SOFT CREAM SENS.PH5.5 W 120 BAG</t>
  </si>
  <si>
    <t>BIG SOFT SENSITIVE OLIVE OIL ALOE 70 BAG</t>
  </si>
  <si>
    <t>HAPPY (MORAMEX GROUP / TOBI MG LTD)</t>
  </si>
  <si>
    <t>HAPPY FAMILY BABY PH5.5 W 70 BAG</t>
  </si>
  <si>
    <t>MORS (MORS COSMETICS)</t>
  </si>
  <si>
    <t>MORS CHAMOMILE PH5.5 W 120 BAG KAPAK</t>
  </si>
  <si>
    <t>WIPEST (MORS COSMETICS)</t>
  </si>
  <si>
    <t>WIPEST COMFORT ALC.FREE W 120 BAG KAPAK</t>
  </si>
  <si>
    <t>WIPEST COMFORT ALC.FREE W 72 BAG KAPAK</t>
  </si>
  <si>
    <t>NATY (NATY AB)</t>
  </si>
  <si>
    <t>NATY SENSITIVE ALOE VERA W 56 BAG</t>
  </si>
  <si>
    <t>NATY SENSITIVE W 56 BAG NATY AB</t>
  </si>
  <si>
    <t>FRESH BABY (NAVIGA TURKEY)</t>
  </si>
  <si>
    <t>FRESH BABY PREMIUM ALC.FREE W 100 BAG</t>
  </si>
  <si>
    <t>FRESH BABY PH5.5 W 15 BAG</t>
  </si>
  <si>
    <t>FRESH BABY WATER 99.9% W 60 BAG</t>
  </si>
  <si>
    <t>FRESH BABY P H5.5 W 72 BAG</t>
  </si>
  <si>
    <t>FRESH BABY PH5.5 W 72 BAG KAPAK</t>
  </si>
  <si>
    <t>GOLDEN (NAVIGA TURKEY)</t>
  </si>
  <si>
    <t>GOLDEN SENSITIVE W 120 BAG</t>
  </si>
  <si>
    <t>GOLDEN SENSITIVE W 72 BAG</t>
  </si>
  <si>
    <t>MY FIX (NAVIGA TURKEY)</t>
  </si>
  <si>
    <t>MY FIX BABY ROSE FRESH W 80 BAG KAPAK</t>
  </si>
  <si>
    <t>PUFFY (NAVIGA TURKEY)</t>
  </si>
  <si>
    <t>PUFFY BABY SENSITIVE PURE W 88 BAG KAPAK</t>
  </si>
  <si>
    <t>88</t>
  </si>
  <si>
    <t>TITO (NAVIGA TURKEY)</t>
  </si>
  <si>
    <t>TITO BABY SOFT COMFORT PH5.5 W 120 BAG</t>
  </si>
  <si>
    <t>TITO BABY PH5.5 ALC.FREE W 72 BAG KAPAK</t>
  </si>
  <si>
    <t>TITO BABY SOFT COMFORT PH5.5 W 72 BAG</t>
  </si>
  <si>
    <t>FRESH (NUR GIDA SAN)</t>
  </si>
  <si>
    <t>FRESH BABY PREM.QUALITY PH5.5 W 120 BAG</t>
  </si>
  <si>
    <t>FRESH SENSE (NUR GIDA SAN)</t>
  </si>
  <si>
    <t>FRESH SENSE CHAMOM.LOTION PH5.5 72 BAG</t>
  </si>
  <si>
    <t>PUFY (NUR GIDA SANAYI)</t>
  </si>
  <si>
    <t>PUFY BABY CHAMOMILE PH5.5 W 120 BAG</t>
  </si>
  <si>
    <t>SPEEDY CARE (O-PAC S.R.L.)</t>
  </si>
  <si>
    <t>SPEEDYCARE BABYLINECONCREMAMAXI 20 BAG</t>
  </si>
  <si>
    <t>CAN BEBE (ONTEX)</t>
  </si>
  <si>
    <t>CAN BEBE BASIC CARE ALK.FREE W 56 BAG</t>
  </si>
  <si>
    <t>BABS &amp; BABS (OZDAMARLAR GIDA A.S.)</t>
  </si>
  <si>
    <t>BABS&amp;BABS BABY PH5.5 120 W BAG KAPAK</t>
  </si>
  <si>
    <t>KOPRINA (OZYURT TEKSTIL SAN)</t>
  </si>
  <si>
    <t>BEBIKO (PAKSEL KIMYA)</t>
  </si>
  <si>
    <t>BEBIKO VIPBABY ACTIVE&amp;SOFT PH5.5 100 BAG</t>
  </si>
  <si>
    <t>BEBIKO VIP BABY ALOE VERA W 72 BAG KAPAK</t>
  </si>
  <si>
    <t>PAPATYA (PAPATYA PAMUK KOSMETIK)</t>
  </si>
  <si>
    <t>PAPATYA BABY B5&amp;VIT E PH5.5 90 W BAG</t>
  </si>
  <si>
    <t>PERFETTO (PERFETTO GROUP)</t>
  </si>
  <si>
    <t>PERFETTO PH5.5 ALC.FREE W 80 BAG</t>
  </si>
  <si>
    <t>BETTY (PHOENIX PHARMA DOO)</t>
  </si>
  <si>
    <t>BETTY BABY ALC.FREE W 24 BAG</t>
  </si>
  <si>
    <t>BETTY BABY ALC.FREE W 72 BAG</t>
  </si>
  <si>
    <t>KLORANE (PIERRE FABRE)</t>
  </si>
  <si>
    <t>KLORANE BEBE CALENDULA ALC.FREE W 25 BAG</t>
  </si>
  <si>
    <t>KLORANE BEBE CALENDULA CLEAN.LOTION W 70</t>
  </si>
  <si>
    <t>KLORANE BEBE CALENDULA THICKCL. W 70 BAG</t>
  </si>
  <si>
    <t>KLORANE BEBE CALENDULA W 70 SP.TS. BAG</t>
  </si>
  <si>
    <t>FRESH (PIRAMIDA 72 DOO)</t>
  </si>
  <si>
    <t>FRESH BABY ALOE&amp;CALEN. PH5.5 W 60 BAG</t>
  </si>
  <si>
    <t>FRESH BABY AQUA PURE PH5.5 W 60 BAG</t>
  </si>
  <si>
    <t>FRESH BABY CARE ALOE VERA W 60 BAG</t>
  </si>
  <si>
    <t>FRESH BABY SOFT CREAM W 60 BAG</t>
  </si>
  <si>
    <t>SLIPP (PREDO)</t>
  </si>
  <si>
    <t>SLIPP BEBE SENS.LOTION&amp;VITE&amp;B5 W 120 BAG</t>
  </si>
  <si>
    <t>MELANI (PROBEG 97)</t>
  </si>
  <si>
    <t>MELANI BABY ALOEVERA&amp;VITE W 64 BAG KAPAK</t>
  </si>
  <si>
    <t>PAMPERS (PROCTER &amp; GAMBLE)</t>
  </si>
  <si>
    <t>PAMPERS AQUA PURE ALC.FREE 12 BAG+DIA</t>
  </si>
  <si>
    <t>PAMPERS AQUA PURE ALC.FREE 12 BAG+DIA28</t>
  </si>
  <si>
    <t>PAMPERS AQUA PURE ALC.FREE 12 BAG+DIA50</t>
  </si>
  <si>
    <t>PAMPERS SENSITIVE ALC.FREE 12 BAG</t>
  </si>
  <si>
    <t>PAMPERS SENSITIVE PH5.5 12 BAG</t>
  </si>
  <si>
    <t>PAMPERS SENSITIVE PROTECT PH5.5 12 BAG</t>
  </si>
  <si>
    <t>PAMPERS BABY FRESH 24 BAG</t>
  </si>
  <si>
    <t>PAMPERS SOLE E LUNA CAMOMILLA 50/25%BAG</t>
  </si>
  <si>
    <t>37</t>
  </si>
  <si>
    <t>PAMPERS AQUA HARMONIE 99%WATER 3X48 BAG</t>
  </si>
  <si>
    <t>48</t>
  </si>
  <si>
    <t>PAMPERS AQUA HARMONIE 99%WATER AL.FR.48</t>
  </si>
  <si>
    <t>PAMPERS AQUA PURE ALC.FREE 3X48 BAG</t>
  </si>
  <si>
    <t>PAMPERS AQUA PURE ALC.FREE 48 BAG</t>
  </si>
  <si>
    <t>PAMPERS SENSITIVE 50 BAG</t>
  </si>
  <si>
    <t>PAMPERS BABY FRESH CLEAN W 2X52 BAG</t>
  </si>
  <si>
    <t>PAMPERS BABY FRESH CLEAN W 4X52 BAG</t>
  </si>
  <si>
    <t>PAMPERS BABY FRESH CLEAN W 52 BAG</t>
  </si>
  <si>
    <t>PAMPERS BABY FRESH CLEAN W 52 BAG+DIA 38</t>
  </si>
  <si>
    <t>PAMPERS BABY FRESH CLEAN W 52 BAG+DIA 40</t>
  </si>
  <si>
    <t>PAMPERS BABY FRESH CLEAN W 52 BAG+DIA 42</t>
  </si>
  <si>
    <t>PAMPERS BABY FRESH CLEAN W 52 BAG+DIA 44</t>
  </si>
  <si>
    <t>PAMPERS BABY FRESH CLEAN W 52 BAG+DIA 51</t>
  </si>
  <si>
    <t>PAMPERS BABY FRESH CLEAN W 52 BAG+DIA 52</t>
  </si>
  <si>
    <t>PAMPERS BABY FRESH CLEAN W 52 BAG+DIA 53</t>
  </si>
  <si>
    <t>PAMPERS BABY FRESH CLEAN W 52 BAG+DIA 54</t>
  </si>
  <si>
    <t>PAMPERS BABY FRESH CLEAN W 52 BAG+DIA 58</t>
  </si>
  <si>
    <t>PAMPERS BABY FRESH CLEAN W 52 BAG+DIA 60</t>
  </si>
  <si>
    <t>PAMPERS BABY FRESH CLEAN W 52 BAG+DIA 66</t>
  </si>
  <si>
    <t>PAMPERS BABY FRESH CLEAN W 52 BAG+DIA 68</t>
  </si>
  <si>
    <t>PAMPERS BABY FRESH CLEAN W 52 BAG+DIA 76</t>
  </si>
  <si>
    <t>PAMPERS BABY FRESH CLEAN W 52 BAG+DIA 78</t>
  </si>
  <si>
    <t>PAMPERS BABY FRESH CLEAN W 52 BAG+DIA 90</t>
  </si>
  <si>
    <t>PAMPERS BABY FRESH CLEAN W 52 BAG+DIA104</t>
  </si>
  <si>
    <t>PAMPERS BABY FRESH CLEAN W 52 BAG+DIA50</t>
  </si>
  <si>
    <t>PAMPERS BABY FRESH CLEAN W 52+DIA PANT38</t>
  </si>
  <si>
    <t>PAMPERS BABY FRESH CLEAN W 6X52 BAG</t>
  </si>
  <si>
    <t>PAMPERS BABY FRESH CLEAN W52+DIA ACT6 44</t>
  </si>
  <si>
    <t>PAMPERS BABY FRESH CLEAN W52+DIA PANTS60</t>
  </si>
  <si>
    <t>PAMPERS SENSITIVE PH5.5 2X52 BAG</t>
  </si>
  <si>
    <t>PAMPERS SENSITIVE PH5.5 4X52 BAG</t>
  </si>
  <si>
    <t>PAMPERS SENSITIVE PH5.5 52 BAG</t>
  </si>
  <si>
    <t>PAMPERS SENSITIVE PH5.5 6X52 BAG</t>
  </si>
  <si>
    <t>PAMPERS SENSITIVE 54 BAG KAPAK</t>
  </si>
  <si>
    <t>PAMPERS SENSITIVE 2X56 BAG</t>
  </si>
  <si>
    <t>PAMPERS SENSITIVE 4X56 BAG</t>
  </si>
  <si>
    <t>PAMPERS SENSITIVE 56 BAG</t>
  </si>
  <si>
    <t>PAMPERS SENSITIVE 56 BAG KAPAK</t>
  </si>
  <si>
    <t>PAMPERS SENSITIVE 56 BAG+DIA PANTS3 60</t>
  </si>
  <si>
    <t>PAMPERS SENSITIVE 56 BAG+DIA PANTS4 52</t>
  </si>
  <si>
    <t>PAMPERS SENSITIVE 56 BAG+DIA PANTS5 48</t>
  </si>
  <si>
    <t>PAMPERS SENSITIVE 56 BAG+DIA PANTS5 48 1</t>
  </si>
  <si>
    <t>PAMPERS SENSITIVE 56 BAG+DIA PANTS5 52</t>
  </si>
  <si>
    <t>PAMPERS SENSITIVE 56 BAG+DIA PR CARE54</t>
  </si>
  <si>
    <t>PAMPERS SENSITIVE 56 BAG+DIAPREMCARE3 60</t>
  </si>
  <si>
    <t>PAMPERS SENSITIVE 56 BAG+DIAPREMCARE5 44</t>
  </si>
  <si>
    <t>PAMPERS SENSITIVE 56BAG+DIA PANTS6 44</t>
  </si>
  <si>
    <t>PAMPERS SENSITIVE 6X56/2BR FREE BAG</t>
  </si>
  <si>
    <t>PAMPERS SENSITIVE CAMOMILE&amp;ALOE 56 BAG</t>
  </si>
  <si>
    <t>PAMPERS SENSITIVE SOFTLIKECOTTON 56 BAG</t>
  </si>
  <si>
    <t>PAMPERS SENSITIVE W 6X56/336 BAG</t>
  </si>
  <si>
    <t>PAMPERS SENSITIVE XXL W 6X56/2BR FR BAG</t>
  </si>
  <si>
    <t>PAMPERS BABY FRESH ALOE W 64 BAG</t>
  </si>
  <si>
    <t>PAMPERS BABY FRESH CLEAN W 4X64 BAG</t>
  </si>
  <si>
    <t>PAMPERS BABY FRESH CLEAN W 64 BAG</t>
  </si>
  <si>
    <t>PAMPERS BABY FRESH CLEAN W 64 BAG+DIA 42</t>
  </si>
  <si>
    <t>PAMPERS BABY FRESH CLEAN W 64 BAG+DIA 76</t>
  </si>
  <si>
    <t>PAMPERS BABY FRESH CLEAN W 64 BAG+DIA68</t>
  </si>
  <si>
    <t>PAMPERS BABY FRESH CLEAN W 6X64/384 BAG</t>
  </si>
  <si>
    <t>PAMPERS BABY FRESH ECONOMY W 2X64 BAG</t>
  </si>
  <si>
    <t>PAMPERS BABYFRESHCLEAN ALOE W 6X64/2BRFR</t>
  </si>
  <si>
    <t>PAMPERS BABYFRESHCLEAN W 3X64/1FREE BAG</t>
  </si>
  <si>
    <t>PAMPERS BABYFRESHCLEAN W 6X64/2BRFR BAG</t>
  </si>
  <si>
    <t>PAMPERS CLEAN&amp;PLAY 64 BAG</t>
  </si>
  <si>
    <t>PAMPERS NATURAL CLEAN W 64 BAG KAPAK</t>
  </si>
  <si>
    <t>PAMPERS NATURALCLEAN FRAGR.FREE W 64 BAG</t>
  </si>
  <si>
    <t>PAMPERS NATURALLY CLEAN W 4X64 BAG</t>
  </si>
  <si>
    <t>PAMPERS NATURALLY CLEAN+CHAMOMILE W 2X64</t>
  </si>
  <si>
    <t>PAMPERS NATURALLYCLEAN+CHAMOMILE W64 BAG</t>
  </si>
  <si>
    <t>PAMPERS NATURALLYCLEAN+CHAMOMILE4X64/1FR</t>
  </si>
  <si>
    <t>PAMPERS BABY FRESH CLEAN XXL W 80 BAG</t>
  </si>
  <si>
    <t>PAMPERS SENSITIVE PH5.5 XXL 80 BAG</t>
  </si>
  <si>
    <t>PAMPERS HARMONIE COCO AL.FREE 3X42 BAG</t>
  </si>
  <si>
    <t>42.0000</t>
  </si>
  <si>
    <t>PAMPERS HARMONIE COCO AL.FREE 42 BAG</t>
  </si>
  <si>
    <t>PAMPERS PURE COCONUT AL.FREE 3X42 BAG</t>
  </si>
  <si>
    <t>PAMPERS PURE COCONUT AL.FREE 42 BAG</t>
  </si>
  <si>
    <t>PAMPERS 72 R BAG</t>
  </si>
  <si>
    <t>PAMPERS SENSITIVE 56 BOX</t>
  </si>
  <si>
    <t>BOX</t>
  </si>
  <si>
    <t>PRIMA (PROCTER &amp; GAMBLE)</t>
  </si>
  <si>
    <t>PRIMA HASSAS CILTLER W 56 BAG</t>
  </si>
  <si>
    <t>URIAGE (PUIG)</t>
  </si>
  <si>
    <t>URIAGE BEBE HYPOALERGENIC W 2X70/1FR BAG</t>
  </si>
  <si>
    <t>URIAGE BEBE HYPOALERGENIC W 70 BAG</t>
  </si>
  <si>
    <t>BEBECAN (RAMER KOZMETIK)</t>
  </si>
  <si>
    <t>BEBECAN EXTRASOFT PH5.5 ALC.FREE W 72BAG</t>
  </si>
  <si>
    <t>BIMBO &amp; BIMBA (REGINA TRADING LTD)</t>
  </si>
  <si>
    <t>BIMBO&amp;BIMBA CHAMOMILE&amp;ALOE W 80 BAG</t>
  </si>
  <si>
    <t>BIMBO&amp;BIMBA CHAMOMILE&amp;CALENDULA W 80 BAG</t>
  </si>
  <si>
    <t>BIMBO&amp;BIMBA CHAMOMILE&amp;LAVENDER W 80 BAG</t>
  </si>
  <si>
    <t>BIMBO&amp;BIMBA CHAMOMILE&amp;SMRADLIKA W 80 BAG</t>
  </si>
  <si>
    <t>VIBELLE (REGINA TRADING LTD)</t>
  </si>
  <si>
    <t>VIBELLE BABY RASPBERRY VIT E PH5.5 W 144</t>
  </si>
  <si>
    <t>144</t>
  </si>
  <si>
    <t>VIBELLE BABY ULTRA SENS.ROSE PH5.5 W 144</t>
  </si>
  <si>
    <t>BELUX (RENKSAN)</t>
  </si>
  <si>
    <t>BELUX BABY SENS.CREAM LOTION W 120 BAG</t>
  </si>
  <si>
    <t>BELUX ULTRA SENSITIVE W 120/48GRATIS BAG</t>
  </si>
  <si>
    <t>SECKIN (RENKSAN)</t>
  </si>
  <si>
    <t>SECKIN PROVITB5 PH5.5 ALC.FREE W 102 BAG</t>
  </si>
  <si>
    <t>SOFT CARE (SANO LTD)</t>
  </si>
  <si>
    <t>SOFT CARE COTTON VIT ECHAMOMILE W 72 BAG</t>
  </si>
  <si>
    <t>HOPS (SAPRO TEMIZLIK)</t>
  </si>
  <si>
    <t>HOPS P H5.5 W 90/18BONUS ORANJEVI BAG</t>
  </si>
  <si>
    <t>MAXIMENS (SARIHAN TEMIZLIK)</t>
  </si>
  <si>
    <t>MAXIMENS VIT E&amp;PRO VIT B5 W 72 BAG</t>
  </si>
  <si>
    <t>DOCTOR (SC EUROPACK MEDIA SRL)</t>
  </si>
  <si>
    <t>DOCTOR WIPES BABY GRAPES W 60 BAG KAPAK</t>
  </si>
  <si>
    <t>DOCTOR WIPES BABY W 72 BAG &amp;&amp;&amp;</t>
  </si>
  <si>
    <t>MEDPROFFESIONAL (SC EUROPACK MEDIA SRL)</t>
  </si>
  <si>
    <t>MEDPROFESSIONAL BABYPOWDERARGANOIL W 24</t>
  </si>
  <si>
    <t>MED PROFESSIONAL BABY ALOE VERA W 60 BAG</t>
  </si>
  <si>
    <t>MEDPROFESSIONAL BABYGRAPESEEDOIL W 60BAG</t>
  </si>
  <si>
    <t>SPRING LINE (SC EUROPACK MEDIA SRL)</t>
  </si>
  <si>
    <t>SPRINGLINE BABY COMPLEX5VITAMINS W 72BAG</t>
  </si>
  <si>
    <t>GIAN (SCK ZETA COMPANY)</t>
  </si>
  <si>
    <t>GIAN BABY CREAM PH5.5 W 120 BAG</t>
  </si>
  <si>
    <t>GIAN BABY CREAM PH5.5 W 72 BAG</t>
  </si>
  <si>
    <t>SEBAMED (SEBAPHARMA)</t>
  </si>
  <si>
    <t>SEBAMED BABYCLEANSING EXTRASOFT W 72 BAG</t>
  </si>
  <si>
    <t>SEBAMED BABY OIL WIPES W 70 BOX</t>
  </si>
  <si>
    <t>MAMMI (SEMA TREYD ODD)</t>
  </si>
  <si>
    <t>MAMMI PH5.5 ALC.FREE W 72 BAG SINI</t>
  </si>
  <si>
    <t>MAMMI PH5.5 ALC.FREE W 72 BAG ZELENI</t>
  </si>
  <si>
    <t>ASALI (SEPA MENSUCAT)</t>
  </si>
  <si>
    <t>ASALI BABY ULTRA SOFT VIT.E W 120 BAG</t>
  </si>
  <si>
    <t>COTTON SOFT (SEPA MENSUCAT)</t>
  </si>
  <si>
    <t>COTTON SOFT CHAMOMILE ALC.FREE W 100 BAG</t>
  </si>
  <si>
    <t>COTTON SOFT PH5.5 W 120 BAG KAPAK</t>
  </si>
  <si>
    <t>COTTON SOFT PH5.5 W 72 BAG KAPAK</t>
  </si>
  <si>
    <t>COTTON SOFT W 72 BAG</t>
  </si>
  <si>
    <t>ELVIM (SEPA MENSUCAT)</t>
  </si>
  <si>
    <t>ELVIM BABY JUMBO SENSITIVE W 120 BAG</t>
  </si>
  <si>
    <t>ELVIM ULTRA SENSITIVE VIT E&amp;B5 W 70 BAG</t>
  </si>
  <si>
    <t>ELVIM BABY PH5.5 ALC.FREE W 72 BAG</t>
  </si>
  <si>
    <t>ELVIM BABY ULTRASENSITIVE LOTION&amp;VITE 72</t>
  </si>
  <si>
    <t>ELVIM BABY ULTRASENSITIVE LOTION&amp;VITE 90</t>
  </si>
  <si>
    <t>FLAMINGO (SEPA MENSUCAT)</t>
  </si>
  <si>
    <t>FLAMINGO BABY ULTRASENS.LOTION&amp;VITE 70 B</t>
  </si>
  <si>
    <t>INCI (SEPA MENSUCAT)</t>
  </si>
  <si>
    <t>INCI FRESH VITE&amp;PROVITB5 ALC.FREE W 100</t>
  </si>
  <si>
    <t>INCI FRESH VITE&amp;PROVITB5 PH5.5 W 120 BAG</t>
  </si>
  <si>
    <t>INCI FRESH ULTRASOFT VITE&amp;PROVITB5 W 144</t>
  </si>
  <si>
    <t>INCI FRESH VITE&amp;PROVITB5 PH5.5 W 60 BAG</t>
  </si>
  <si>
    <t>INCI FRESH VITE&amp;PROVITB5 PH5.5 W 72 BAG</t>
  </si>
  <si>
    <t>INCI FRESH VITE&amp;PROVITB5 PH5.5 W 90/18FR</t>
  </si>
  <si>
    <t>SEPTONA (SEPTONA SA)</t>
  </si>
  <si>
    <t>SEPTONA CALM NCARE CHAMOM BABY 12 W BAG</t>
  </si>
  <si>
    <t>SEPTONA ALOE VERA BABY ALC.FREE 20 BAG</t>
  </si>
  <si>
    <t>SEPTONA CHAMOMILE BABY 20 W BAG</t>
  </si>
  <si>
    <t>SEPTONA SENSITIVE ALMOND&amp;MILK W 20 BAG</t>
  </si>
  <si>
    <t>SEPTONA SENSITIVE CALMN CARE W 54 BAG</t>
  </si>
  <si>
    <t>SEPTONA CALM NCARE PANTENOL W 57 BAG</t>
  </si>
  <si>
    <t>57</t>
  </si>
  <si>
    <t>SEPTONA ALOE VERA BABY 64 BAG</t>
  </si>
  <si>
    <t>SEPTONA CHAMOMILE BABY 3X64/1GR W BAG</t>
  </si>
  <si>
    <t>SEPTONA CHAMOMILE BABY 64 W BAG</t>
  </si>
  <si>
    <t>SEPTONA CHAMOMILE BABY 64 W BAG KAPAK</t>
  </si>
  <si>
    <t>SEPTONA SENSITIVE ALMOND&amp;MILK W 3X64/1FR</t>
  </si>
  <si>
    <t>SEPTONA SENSITIVE ALMOND&amp;MILK W 64 BAG</t>
  </si>
  <si>
    <t>SEPTONA SENSITIVE CALMN CARE W 64 BAG</t>
  </si>
  <si>
    <t>SEPTONA MILD FRAGANCE ALC.FREE W 72 BAG</t>
  </si>
  <si>
    <t>SEPTONA CALM NCARE PANTENOL W 75 BAG</t>
  </si>
  <si>
    <t>75</t>
  </si>
  <si>
    <t>SEPTONA CALMN CARE ALOE VERA W 80 BAG</t>
  </si>
  <si>
    <t>IASSMIN (SEVIMLER)</t>
  </si>
  <si>
    <t>IASSMIN BABY CREAM PH5.5 W 72 BAG</t>
  </si>
  <si>
    <t>JUNIOR &amp; TOMMY (SEVIMLER)</t>
  </si>
  <si>
    <t>JUNIOR&amp;TOMMY SENSITIVE W 120 BAG KAPAK</t>
  </si>
  <si>
    <t>JUNIOR&amp;TOMMY SENSITIVE W 72 BAG</t>
  </si>
  <si>
    <t>JUNIOR&amp;TOMMY SENSITIVE W 72 BAG KAPAK</t>
  </si>
  <si>
    <t>LADY FRESH (SEVIMLER)</t>
  </si>
  <si>
    <t>LADY FRESH BABY ALC.FREE W 105/5FREE</t>
  </si>
  <si>
    <t>NIK &amp; SI (SEVIMLER)</t>
  </si>
  <si>
    <t>NIK&amp;SI BABY PH5.5 W 72 BAG KAPAK</t>
  </si>
  <si>
    <t>NIKI (SEVIMLER )</t>
  </si>
  <si>
    <t>NIKI BABY ALC.FREE W 130/10FR BAG KAPAK</t>
  </si>
  <si>
    <t>PEPINO (SEVIMLER)</t>
  </si>
  <si>
    <t>PEPINO BABY P H5.5 W 120/20FREE BAG</t>
  </si>
  <si>
    <t>PEPINO BABY P H5.5 W 130/10FREE BAG</t>
  </si>
  <si>
    <t>PEPINO BABY SOFT&amp;LUX P H5.5 W 70 BAG</t>
  </si>
  <si>
    <t>RENKLI (SEVIMLER)</t>
  </si>
  <si>
    <t>RENKLI MAGIC P H5.5 W 120 BAG KAPAK</t>
  </si>
  <si>
    <t>RENKLI PREMIUM BABY ALC.FREE W 130 BAG</t>
  </si>
  <si>
    <t>130</t>
  </si>
  <si>
    <t>RENKLI BABY KIDS P H5.5 W 72 BAG</t>
  </si>
  <si>
    <t>RENKLI BABY KIDS P H5.5 W 72 BAG KAPAK</t>
  </si>
  <si>
    <t>RENKLI ZOO ANTIBACTERIAL W 72 BAG KAPAK</t>
  </si>
  <si>
    <t>RENKLI BABY LUX PH5.5 W 2X80 BAG</t>
  </si>
  <si>
    <t>RENKLI BABY LUX W 80 BAG KAPACHE</t>
  </si>
  <si>
    <t>SEMI (SEVIMLER)</t>
  </si>
  <si>
    <t>SEMI LOVESOFT BABY P.H5.5 W 72 KAPAK BAG</t>
  </si>
  <si>
    <t>SWEET (SEVIMLER)</t>
  </si>
  <si>
    <t>SWEET BABY ALOEVERA PH5.5 W 72 BAG KAPAK</t>
  </si>
  <si>
    <t>FARMACOTONE (SISMA S.P.A.)</t>
  </si>
  <si>
    <t>FARMACOTONE BEBE CALENDULA SENS. 60 BAG</t>
  </si>
  <si>
    <t>FARMACOTONE BIO ALOE&amp;ALMOND PH5.5 72 BAG</t>
  </si>
  <si>
    <t>VOI (SMILE COSMETICS)</t>
  </si>
  <si>
    <t>VOI MULTI VITAMINS PH5.5 W 100 BAG SINI</t>
  </si>
  <si>
    <t>VOI MULTIVITAMINS PH5.5 W 100 BAG PURPLE</t>
  </si>
  <si>
    <t>VOI CREAM LOTION PH5.5 W 120 BAG KAPAK</t>
  </si>
  <si>
    <t>VOI CHAMOMILE PH5.5 W 72 BAG KAPAK</t>
  </si>
  <si>
    <t>VOI CREAM LOTION PH5.5 W 72 BAG KAPAK</t>
  </si>
  <si>
    <t>NATURAVERDE (SO.DI.CO - SOCIETA DISTRIBU</t>
  </si>
  <si>
    <t>NATURAVERDE BIO AVENACAMMOMILA W 20 BAG</t>
  </si>
  <si>
    <t>NATURAVERDE BIO AVENACAMMOMILA W 72 BAG</t>
  </si>
  <si>
    <t>TOVA (STANQUEEN INVESTMENT)</t>
  </si>
  <si>
    <t>ALVESTA (SWORDSON LTD)</t>
  </si>
  <si>
    <t>ALVESTA BABY PH5.5 W 120 BAG KAPAK</t>
  </si>
  <si>
    <t>ALVESTA BABY PH5.5 W 72 BAG KAPAK</t>
  </si>
  <si>
    <t>MIS MAK (SWORDSON LTD)</t>
  </si>
  <si>
    <t>MIS MAK CLEANSE&amp;REFRESH PH5.5 W 72 BAG</t>
  </si>
  <si>
    <t>BIVY (TAHA KIMYA KOZMETIK)</t>
  </si>
  <si>
    <t>BIVY BABY NEWBORN W 60 BAG KAPAK</t>
  </si>
  <si>
    <t>BIVY SOFT&amp;FRESH PROVITB5&amp;VITE W 72 BAG</t>
  </si>
  <si>
    <t>DAISY (TEKSAN)</t>
  </si>
  <si>
    <t>DAISY BABY WET WIPES W 120 BAG</t>
  </si>
  <si>
    <t>BEBECAN (TNCR GIDA)</t>
  </si>
  <si>
    <t>BEBECAN PH5.5 W 72 BAG TNCR GIDA KAPAK</t>
  </si>
  <si>
    <t>HUGO BABY (TRUVA KOZMETIK)</t>
  </si>
  <si>
    <t>HUGO BABY ALC.FREE W 120 BAG</t>
  </si>
  <si>
    <t>PROSOFT (TRUVA KOZMETIK TIC)</t>
  </si>
  <si>
    <t>PROSOFT VITE&amp;PROVITB5 W 72 BAG CHERVENI</t>
  </si>
  <si>
    <t>PROSOFT VITE&amp;PROVITB5 W 72 BAG ZELENI</t>
  </si>
  <si>
    <t>BAMBINO (ULTRA COSMETICS)</t>
  </si>
  <si>
    <t>BAMBINO SENS.ALOE&amp;OLIVE ALC.FREE W100BAG</t>
  </si>
  <si>
    <t>UNAC (UNAC GROUP KOZMETIK SAN.)</t>
  </si>
  <si>
    <t>UNAC BABY LOTION&amp;VIT.E AL.FREE W 120 BAG</t>
  </si>
  <si>
    <t>DOVE (UNILEVER)</t>
  </si>
  <si>
    <t>DOVE BABY RICHMOISTURE ALC.FREE W 50 BAG</t>
  </si>
  <si>
    <t>DOVE BABY SENSITIVE MOISTURE W 50 BAG</t>
  </si>
  <si>
    <t>BEBECAN (YESIL ILGAZ)</t>
  </si>
  <si>
    <t>BEBECAN BABY PH5.5 W 72 BAG YESIL</t>
  </si>
  <si>
    <t>YTD 24</t>
  </si>
  <si>
    <t xml:space="preserve"> FreshClean</t>
  </si>
  <si>
    <t xml:space="preserve"> Nova Garbagnate</t>
  </si>
  <si>
    <t xml:space="preserve"> BeneCare</t>
  </si>
  <si>
    <t xml:space="preserve"> VigaLife</t>
  </si>
  <si>
    <t xml:space="preserve"> Intelligent Initiative</t>
  </si>
  <si>
    <t xml:space="preserve"> BroadLeaf Group</t>
  </si>
  <si>
    <t xml:space="preserve"> ArborChemistry</t>
  </si>
  <si>
    <t xml:space="preserve"> ArkPapers</t>
  </si>
  <si>
    <t xml:space="preserve"> Arkana PaperCraft</t>
  </si>
  <si>
    <t xml:space="preserve"> Fragrantium S.A.</t>
  </si>
  <si>
    <t xml:space="preserve"> ArsenicChem</t>
  </si>
  <si>
    <t xml:space="preserve"> Creativa Worldwide</t>
  </si>
  <si>
    <t xml:space="preserve"> CultureSana</t>
  </si>
  <si>
    <t xml:space="preserve"> Ataman Industries</t>
  </si>
  <si>
    <t xml:space="preserve"> AxisOn Group</t>
  </si>
  <si>
    <t xml:space="preserve"> PureAim Cleaners</t>
  </si>
  <si>
    <t xml:space="preserve"> AlpineMeadow</t>
  </si>
  <si>
    <t xml:space="preserve"> BioRealm Corp</t>
  </si>
  <si>
    <t xml:space="preserve"> BurdenCo</t>
  </si>
  <si>
    <t xml:space="preserve"> TradeKing Cengiz</t>
  </si>
  <si>
    <t xml:space="preserve"> ClearSight</t>
  </si>
  <si>
    <t xml:space="preserve"> CodeInt B.V.</t>
  </si>
  <si>
    <t xml:space="preserve"> ChillClean</t>
  </si>
  <si>
    <t xml:space="preserve"> Cosmopolitan Italy</t>
  </si>
  <si>
    <t xml:space="preserve"> CottonUnion</t>
  </si>
  <si>
    <t xml:space="preserve"> EastChem</t>
  </si>
  <si>
    <t xml:space="preserve"> EnkaHygiene</t>
  </si>
  <si>
    <t xml:space="preserve"> ErusHealth Products</t>
  </si>
  <si>
    <t xml:space="preserve"> Esburg Health</t>
  </si>
  <si>
    <t xml:space="preserve"> SCProducts</t>
  </si>
  <si>
    <t xml:space="preserve"> EssentialsCo</t>
  </si>
  <si>
    <t xml:space="preserve"> EveCraft</t>
  </si>
  <si>
    <t xml:space="preserve"> FemmeBeauty</t>
  </si>
  <si>
    <t xml:space="preserve"> Fulya Beauty</t>
  </si>
  <si>
    <t xml:space="preserve"> Grace Corp</t>
  </si>
  <si>
    <t xml:space="preserve"> SouthernGroup SP</t>
  </si>
  <si>
    <t xml:space="preserve"> AvellinoGroup SRL</t>
  </si>
  <si>
    <t xml:space="preserve"> RoseBeauty</t>
  </si>
  <si>
    <t xml:space="preserve"> CleanHarper</t>
  </si>
  <si>
    <t xml:space="preserve"> LifeChem</t>
  </si>
  <si>
    <t xml:space="preserve"> MountainMedicine</t>
  </si>
  <si>
    <t xml:space="preserve"> Swift GMBH</t>
  </si>
  <si>
    <t xml:space="preserve"> InsideGlobal</t>
  </si>
  <si>
    <t xml:space="preserve"> CelticWind Ltd</t>
  </si>
  <si>
    <t xml:space="preserve"> JellyHealth</t>
  </si>
  <si>
    <t xml:space="preserve"> Thomson &amp; Thomson</t>
  </si>
  <si>
    <t xml:space="preserve"> KalesCo</t>
  </si>
  <si>
    <t xml:space="preserve"> Kantara Productions Distribution</t>
  </si>
  <si>
    <t xml:space="preserve"> CapPlus</t>
  </si>
  <si>
    <t xml:space="preserve"> BrothersFlyProducts SAN A.S.</t>
  </si>
  <si>
    <t xml:space="preserve"> Snowball Cologne</t>
  </si>
  <si>
    <t xml:space="preserve"> Kimberly Stone</t>
  </si>
  <si>
    <t xml:space="preserve"> OliveTree S.A.</t>
  </si>
  <si>
    <t xml:space="preserve"> CosmicChem</t>
  </si>
  <si>
    <t xml:space="preserve"> LabExpand</t>
  </si>
  <si>
    <t xml:space="preserve"> LansinLab Inc</t>
  </si>
  <si>
    <t xml:space="preserve"> Lara Beauty</t>
  </si>
  <si>
    <t xml:space="preserve"> LeaderHealthFood</t>
  </si>
  <si>
    <t xml:space="preserve"> GlobalMap</t>
  </si>
  <si>
    <t xml:space="preserve"> PrimeBrands Marketing B.V.</t>
  </si>
  <si>
    <t xml:space="preserve"> Giga S.A.</t>
  </si>
  <si>
    <t xml:space="preserve"> Miss Health Co.</t>
  </si>
  <si>
    <t xml:space="preserve"> MontraWorld</t>
  </si>
  <si>
    <t xml:space="preserve"> Moratex Group / Tobi MegaGroup LTD</t>
  </si>
  <si>
    <t xml:space="preserve"> MoreBeauty</t>
  </si>
  <si>
    <t xml:space="preserve"> NaturalCo AB</t>
  </si>
  <si>
    <t xml:space="preserve"> Voyage Turkey</t>
  </si>
  <si>
    <t xml:space="preserve"> Nur Food Industry</t>
  </si>
  <si>
    <t xml:space="preserve"> O-Package S.R.L.</t>
  </si>
  <si>
    <t xml:space="preserve"> OnTop</t>
  </si>
  <si>
    <t xml:space="preserve"> OzFoodMakers A.S.</t>
  </si>
  <si>
    <t xml:space="preserve"> CrescentTextile SAN</t>
  </si>
  <si>
    <t xml:space="preserve"> PakChem</t>
  </si>
  <si>
    <t xml:space="preserve"> Daisy Cotton Cosmetics</t>
  </si>
  <si>
    <t xml:space="preserve"> IdealGroup</t>
  </si>
  <si>
    <t xml:space="preserve"> PhoenixMedicine DOO</t>
  </si>
  <si>
    <t xml:space="preserve"> FabreStone</t>
  </si>
  <si>
    <t xml:space="preserve"> Pyramid72 DOO</t>
  </si>
  <si>
    <t xml:space="preserve"> PreDone</t>
  </si>
  <si>
    <t xml:space="preserve"> ProStart 97</t>
  </si>
  <si>
    <t xml:space="preserve"> Proctor &amp; Wager</t>
  </si>
  <si>
    <t xml:space="preserve"> PuigPeak</t>
  </si>
  <si>
    <t xml:space="preserve"> RameBeauty</t>
  </si>
  <si>
    <t xml:space="preserve"> QueenTrade LTD</t>
  </si>
  <si>
    <t xml:space="preserve"> ColorSan</t>
  </si>
  <si>
    <t xml:space="preserve"> SanHealth LTD</t>
  </si>
  <si>
    <t xml:space="preserve"> SaproClean</t>
  </si>
  <si>
    <t xml:space="preserve"> YellowHand Cleaners</t>
  </si>
  <si>
    <t xml:space="preserve"> EuroPack Communications SRL</t>
  </si>
  <si>
    <t xml:space="preserve"> SigmaKappaZeta Co.</t>
  </si>
  <si>
    <t xml:space="preserve"> SebaMedicines</t>
  </si>
  <si>
    <t xml:space="preserve"> SignalTrade</t>
  </si>
  <si>
    <t xml:space="preserve"> SepaTextiles</t>
  </si>
  <si>
    <t xml:space="preserve"> SeptOn SA</t>
  </si>
  <si>
    <t xml:space="preserve"> LovelyCo</t>
  </si>
  <si>
    <t xml:space="preserve"> Quake S.P.A.</t>
  </si>
  <si>
    <t xml:space="preserve"> HappyBeauty A.S.</t>
  </si>
  <si>
    <t xml:space="preserve"> So.Di.Co - Cosmetics Distribution Society</t>
  </si>
  <si>
    <t xml:space="preserve"> QueenStand Investment</t>
  </si>
  <si>
    <t xml:space="preserve"> BladeSon LTD</t>
  </si>
  <si>
    <t xml:space="preserve"> TahaChem Cosmetics</t>
  </si>
  <si>
    <t xml:space="preserve"> TextileSan</t>
  </si>
  <si>
    <t xml:space="preserve"> FoodTNCR</t>
  </si>
  <si>
    <t xml:space="preserve"> TroyBeauty Trade</t>
  </si>
  <si>
    <t xml:space="preserve"> MegaBeauty</t>
  </si>
  <si>
    <t xml:space="preserve"> Unac Beauty Makers SAN.</t>
  </si>
  <si>
    <t xml:space="preserve"> UniHandle</t>
  </si>
  <si>
    <t xml:space="preserve"> GreenIlgaz Group</t>
  </si>
  <si>
    <t>OKIDOKI  FreshClean CAMOMILLA 60 BAG</t>
  </si>
  <si>
    <t>SLEEPY  FreshClean 90 W BAG KAPAK</t>
  </si>
  <si>
    <t>LIOLA  FreshClean ALC.FREE W 72 BAG</t>
  </si>
  <si>
    <t>PAW PATROL  FreshClean 56 W BAG</t>
  </si>
  <si>
    <t>HUGGIES  FreshClean CUCUMBER W 24 BAG</t>
  </si>
  <si>
    <t>KOPRINA  FreshClean 72 W BAG KAPAK</t>
  </si>
  <si>
    <t>PRIMA  FreshClean ALOE W 64 BAG</t>
  </si>
  <si>
    <t>SPRING LINE  FreshClean W 120 BAG &amp;&amp;&amp;</t>
  </si>
  <si>
    <t>TOVA  FreshClean PH5.5 W 120 BAG</t>
  </si>
  <si>
    <t>BABY 2000 (Nova Garbagnate)</t>
  </si>
  <si>
    <t>BAMBO (BeneCare)</t>
  </si>
  <si>
    <t>BABY CREMA (VigaLife)</t>
  </si>
  <si>
    <t>LINDY (Intelligent Initiative)</t>
  </si>
  <si>
    <t>LUBA (BroadLeaf Group)</t>
  </si>
  <si>
    <t>NIVEA (AlpineMeadow)</t>
  </si>
  <si>
    <t>HUGGLO (ArborChemistry)</t>
  </si>
  <si>
    <t>PAPILION (ArkPapers)</t>
  </si>
  <si>
    <t>HONEY BEBISH (Arkana PaperCraft)</t>
  </si>
  <si>
    <t>PINE (Arkana PaperCraft)</t>
  </si>
  <si>
    <t>TROMPY (Fragrantium S.A.)</t>
  </si>
  <si>
    <t>HAPPY FRESH (ArsenicChem)</t>
  </si>
  <si>
    <t>ULTRA COMPACT (ArsenicChem)</t>
  </si>
  <si>
    <t>KANZ ( Creativa Worldwide)</t>
  </si>
  <si>
    <t>CHICCO (CultureSana)</t>
  </si>
  <si>
    <t>UNI (Ataman Industries)</t>
  </si>
  <si>
    <t>EVENT (AxisOn Group)</t>
  </si>
  <si>
    <t>TEX (PureAim Cleaners)</t>
  </si>
  <si>
    <t>SOFTLINE (BurdenCo)</t>
  </si>
  <si>
    <t>BABY CARE (TradeKing Cengiz)</t>
  </si>
  <si>
    <t>ClearSight (ClearSight)</t>
  </si>
  <si>
    <t>ClearSight BABY ALOE VERA PH5.5 W 25 BAG</t>
  </si>
  <si>
    <t>ClearSight BABY CALENDULA PH5.5 W 25 BAG</t>
  </si>
  <si>
    <t>ClearSight BABY CHAMOMILE PH5.5 W 25 BAG</t>
  </si>
  <si>
    <t>ClearSight BABY CHAMOMILE PH5.5 W 66 BAG</t>
  </si>
  <si>
    <t>ClearSight BABY ALOE VERA PH5.5 W 80 BAG</t>
  </si>
  <si>
    <t>ClearSight BABY CALENDULA PH5.5 W 80 BAG</t>
  </si>
  <si>
    <t>ClearSight BABY CHAMOMILE PH5.5 W 80 BAG</t>
  </si>
  <si>
    <t>OKIDOKI (CodeInt B.V.)</t>
  </si>
  <si>
    <t>BABY WISH (ChillClean)</t>
  </si>
  <si>
    <t>AQUELLA ( CottonUnion)</t>
  </si>
  <si>
    <t>AURA ( CottonUnion)</t>
  </si>
  <si>
    <t>COTTON BABY ( CottonUnion)</t>
  </si>
  <si>
    <t>MIMI ( CottonUnion)</t>
  </si>
  <si>
    <t>MY COMFORT ( CottonUnion)</t>
  </si>
  <si>
    <t>NICE BABY ( CottonUnion)</t>
  </si>
  <si>
    <t>WINEX ( CottonUnion)</t>
  </si>
  <si>
    <t>FOMEX (EastChem)</t>
  </si>
  <si>
    <t>PURE ( ErusHealth Products)</t>
  </si>
  <si>
    <t>SLEEPY ( ErusHealth Products)</t>
  </si>
  <si>
    <t>ELAN (Esburg Health)</t>
  </si>
  <si>
    <t>SETABLU (SCProducts)</t>
  </si>
  <si>
    <t>EVY BABY (EveCraft)</t>
  </si>
  <si>
    <t/>
  </si>
  <si>
    <t>Product</t>
  </si>
  <si>
    <t>Manufacturer</t>
  </si>
  <si>
    <t>Brand</t>
  </si>
  <si>
    <t>Package Type</t>
  </si>
  <si>
    <t>Protection</t>
  </si>
  <si>
    <t>Value(1000$) 2022</t>
  </si>
  <si>
    <t>Volume</t>
  </si>
  <si>
    <t>Volume(1000) 2022</t>
  </si>
  <si>
    <t>Value(1000$) 2023</t>
  </si>
  <si>
    <t>Value(1000$) 2024</t>
  </si>
  <si>
    <t>Volume(1000) 2023</t>
  </si>
  <si>
    <t>Volume(1000) 2024</t>
  </si>
  <si>
    <t>Package Size</t>
  </si>
  <si>
    <t>Average Price(2022)</t>
  </si>
  <si>
    <t>Average Price(2023)</t>
  </si>
  <si>
    <t>Average Price(2024)</t>
  </si>
  <si>
    <t>Row Labels</t>
  </si>
  <si>
    <t>Grand Total</t>
  </si>
  <si>
    <t>Sum of Value(1000$) 2022</t>
  </si>
  <si>
    <t>Sum of Value(1000$) 2023</t>
  </si>
  <si>
    <t>Sum of Value(1000$) 2024</t>
  </si>
  <si>
    <t>Sum of Volume(1000) 2022</t>
  </si>
  <si>
    <t>Sum of Volume(1000) 2023</t>
  </si>
  <si>
    <t>Sum of Volume(1000) 2024</t>
  </si>
  <si>
    <t xml:space="preserve">Total Value </t>
  </si>
  <si>
    <t>Total Volume</t>
  </si>
  <si>
    <t>Average Price</t>
  </si>
  <si>
    <t>Sum of Average Price(2022)</t>
  </si>
  <si>
    <t>Sum of Average Price(2023)</t>
  </si>
  <si>
    <t>Sum of Average Price(2024)</t>
  </si>
  <si>
    <t>YEAR</t>
  </si>
  <si>
    <t>YoY Value 2022-23</t>
  </si>
  <si>
    <t>YoY Volume 2022-23</t>
  </si>
  <si>
    <t>YoY Average Value 2022-23</t>
  </si>
  <si>
    <t>Value</t>
  </si>
  <si>
    <t>Average Prices</t>
  </si>
  <si>
    <t>difference in number(22-23)</t>
  </si>
  <si>
    <t>yoy difference in percenatge(22-23)</t>
  </si>
  <si>
    <t>difference in number(23-24)</t>
  </si>
  <si>
    <t>yoy difference in percenatge(23-24)</t>
  </si>
  <si>
    <t>sum of value 22-24</t>
  </si>
  <si>
    <t>sum of value 22-242</t>
  </si>
  <si>
    <t>sum of value 22-243</t>
  </si>
  <si>
    <t>Sum of sum of value 22-24</t>
  </si>
  <si>
    <t>Sum of sum of value 22-242</t>
  </si>
  <si>
    <t>Sum of sum of value 22-243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</si>
</sst>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0" x14ac:knownFonts="1">
    <font>
      <sz val="11"/>
      <color theme="1"/>
      <name val="Calibri"/>
      <family val="2"/>
      <scheme val="minor"/>
    </font>
    <font>
      <sz val="11"/>
      <color theme="0"/>
      <name val="Calibri"/>
      <family val="2"/>
      <scheme val="minor"/>
    </font>
    <font>
      <b/>
      <sz val="10"/>
      <color theme="0"/>
      <name val="Arial"/>
      <family val="2"/>
    </font>
    <font>
      <b/>
      <sz val="10"/>
      <color rgb="FF000000"/>
      <name val="Arial"/>
      <family val="2"/>
      <charset val="204"/>
    </font>
    <font>
      <sz val="10"/>
      <color theme="0"/>
      <name val="Arial"/>
      <family val="2"/>
    </font>
    <font>
      <b/>
      <sz val="10"/>
      <color rgb="FF000000"/>
      <name val="Arial"/>
      <family val="2"/>
    </font>
    <font>
      <sz val="10"/>
      <color rgb="FF000000"/>
      <name val="Arial"/>
      <family val="2"/>
    </font>
    <font>
      <i/>
      <sz val="10"/>
      <color rgb="FF000000"/>
      <name val="Arial"/>
      <family val="2"/>
    </font>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rgb="FFFFFFFF"/>
        <bgColor indexed="64"/>
      </patternFill>
    </fill>
    <fill>
      <patternFill patternType="solid">
        <fgColor theme="8"/>
        <bgColor indexed="64"/>
      </patternFill>
    </fill>
    <fill>
      <patternFill patternType="solid">
        <fgColor theme="0"/>
        <bgColor indexed="64"/>
      </patternFill>
    </fill>
    <fill>
      <patternFill patternType="solid">
        <fgColor theme="4" tint="0.59999389629810485"/>
        <bgColor indexed="64"/>
      </patternFill>
    </fill>
    <fill>
      <patternFill patternType="solid">
        <fgColor theme="6"/>
        <bgColor indexed="64"/>
      </patternFill>
    </fill>
    <fill>
      <patternFill patternType="solid">
        <fgColor rgb="FF92D050"/>
        <bgColor indexed="64"/>
      </patternFill>
    </fill>
    <fill>
      <patternFill patternType="solid">
        <fgColor theme="5" tint="-0.249977111117893"/>
        <bgColor indexed="64"/>
      </patternFill>
    </fill>
  </fills>
  <borders count="21">
    <border>
      <left/>
      <right/>
      <top/>
      <bottom/>
      <diagonal/>
    </border>
    <border>
      <left style="thin">
        <color theme="0"/>
      </left>
      <right/>
      <top/>
      <bottom/>
      <diagonal/>
    </border>
    <border>
      <left style="medium">
        <color indexed="64"/>
      </left>
      <right/>
      <top/>
      <bottom/>
      <diagonal/>
    </border>
    <border>
      <left style="thin">
        <color theme="0"/>
      </left>
      <right/>
      <top/>
      <bottom style="thin">
        <color rgb="FFDCDCDC"/>
      </bottom>
      <diagonal/>
    </border>
    <border>
      <left/>
      <right/>
      <top/>
      <bottom style="thin">
        <color rgb="FFDCDCDC"/>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DCDCDC"/>
      </left>
      <right style="thin">
        <color rgb="FFDCDCDC"/>
      </right>
      <top style="thin">
        <color rgb="FFDCDCDC"/>
      </top>
      <bottom style="thin">
        <color rgb="FFDCDCDC"/>
      </bottom>
      <diagonal/>
    </border>
    <border>
      <left style="thin">
        <color rgb="FFDCDCDC"/>
      </left>
      <right/>
      <top style="thin">
        <color rgb="FFDCDCDC"/>
      </top>
      <bottom style="thin">
        <color rgb="FFDCDCDC"/>
      </bottom>
      <diagonal/>
    </border>
    <border>
      <left style="medium">
        <color indexed="64"/>
      </left>
      <right style="thin">
        <color rgb="FFDCDCDC"/>
      </right>
      <top/>
      <bottom style="thin">
        <color rgb="FFDCDCDC"/>
      </bottom>
      <diagonal/>
    </border>
    <border>
      <left/>
      <right style="thin">
        <color rgb="FFDCDCDC"/>
      </right>
      <top/>
      <bottom style="thin">
        <color rgb="FFDCDCDC"/>
      </bottom>
      <diagonal/>
    </border>
    <border>
      <left style="thin">
        <color rgb="FFDCDCDC"/>
      </left>
      <right style="thin">
        <color rgb="FFDCDCDC"/>
      </right>
      <top/>
      <bottom style="thin">
        <color rgb="FFDCDCDC"/>
      </bottom>
      <diagonal/>
    </border>
    <border>
      <left style="thin">
        <color indexed="64"/>
      </left>
      <right style="thin">
        <color rgb="FFDCDCDC"/>
      </right>
      <top/>
      <bottom style="thin">
        <color rgb="FFDCDCDC"/>
      </bottom>
      <diagonal/>
    </border>
    <border>
      <left style="medium">
        <color indexed="64"/>
      </left>
      <right style="thin">
        <color rgb="FFDCDCDC"/>
      </right>
      <top style="thin">
        <color rgb="FFDCDCDC"/>
      </top>
      <bottom style="thin">
        <color rgb="FFDCDCDC"/>
      </bottom>
      <diagonal/>
    </border>
    <border>
      <left/>
      <right style="thin">
        <color rgb="FFDCDCDC"/>
      </right>
      <top style="thin">
        <color rgb="FFDCDCDC"/>
      </top>
      <bottom style="thin">
        <color rgb="FFDCDCDC"/>
      </bottom>
      <diagonal/>
    </border>
    <border>
      <left style="thin">
        <color indexed="64"/>
      </left>
      <right style="thin">
        <color rgb="FFDCDCDC"/>
      </right>
      <top style="thin">
        <color rgb="FFDCDCDC"/>
      </top>
      <bottom style="thin">
        <color rgb="FFDCDCDC"/>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62">
    <xf numFmtId="0" fontId="0" fillId="0" borderId="0" xfId="0"/>
    <xf numFmtId="0" fontId="1" fillId="0" borderId="0" xfId="0" applyFont="1"/>
    <xf numFmtId="164" fontId="3" fillId="2" borderId="5" xfId="0" applyNumberFormat="1" applyFont="1" applyFill="1" applyBorder="1" applyAlignment="1">
      <alignment horizontal="center" wrapText="1"/>
    </xf>
    <xf numFmtId="164" fontId="3" fillId="2" borderId="6" xfId="0" applyNumberFormat="1" applyFont="1" applyFill="1" applyBorder="1" applyAlignment="1">
      <alignment horizontal="center" wrapText="1"/>
    </xf>
    <xf numFmtId="49" fontId="2" fillId="3" borderId="7" xfId="0" applyNumberFormat="1" applyFont="1" applyFill="1" applyBorder="1" applyAlignment="1">
      <alignment horizontal="left" wrapText="1"/>
    </xf>
    <xf numFmtId="49" fontId="2" fillId="3" borderId="8" xfId="0" applyNumberFormat="1" applyFont="1" applyFill="1" applyBorder="1" applyAlignment="1">
      <alignment horizontal="left" wrapText="1"/>
    </xf>
    <xf numFmtId="39" fontId="4" fillId="3" borderId="9" xfId="0" applyNumberFormat="1" applyFont="1" applyFill="1" applyBorder="1" applyAlignment="1">
      <alignment horizontal="right" wrapText="1"/>
    </xf>
    <xf numFmtId="39" fontId="4" fillId="3" borderId="10" xfId="0" applyNumberFormat="1" applyFont="1" applyFill="1" applyBorder="1" applyAlignment="1">
      <alignment horizontal="right" wrapText="1"/>
    </xf>
    <xf numFmtId="39" fontId="4" fillId="3" borderId="11" xfId="0" applyNumberFormat="1" applyFont="1" applyFill="1" applyBorder="1" applyAlignment="1">
      <alignment horizontal="right" wrapText="1"/>
    </xf>
    <xf numFmtId="39" fontId="4" fillId="3" borderId="12" xfId="0" applyNumberFormat="1" applyFont="1" applyFill="1" applyBorder="1" applyAlignment="1">
      <alignment horizontal="right" wrapText="1"/>
    </xf>
    <xf numFmtId="39" fontId="4" fillId="3" borderId="13" xfId="0" applyNumberFormat="1" applyFont="1" applyFill="1" applyBorder="1" applyAlignment="1">
      <alignment horizontal="right" wrapText="1"/>
    </xf>
    <xf numFmtId="39" fontId="4" fillId="3" borderId="14" xfId="0" applyNumberFormat="1" applyFont="1" applyFill="1" applyBorder="1" applyAlignment="1">
      <alignment horizontal="right" wrapText="1"/>
    </xf>
    <xf numFmtId="39" fontId="4" fillId="3" borderId="7" xfId="0" applyNumberFormat="1" applyFont="1" applyFill="1" applyBorder="1" applyAlignment="1">
      <alignment horizontal="right" wrapText="1"/>
    </xf>
    <xf numFmtId="39" fontId="4" fillId="3" borderId="15" xfId="0" applyNumberFormat="1" applyFont="1" applyFill="1" applyBorder="1" applyAlignment="1">
      <alignment horizontal="right" wrapText="1"/>
    </xf>
    <xf numFmtId="49" fontId="5" fillId="2" borderId="7" xfId="0" applyNumberFormat="1" applyFont="1" applyFill="1" applyBorder="1" applyAlignment="1">
      <alignment horizontal="left" wrapText="1" indent="1"/>
    </xf>
    <xf numFmtId="49" fontId="5" fillId="2" borderId="7" xfId="0" applyNumberFormat="1" applyFont="1" applyFill="1" applyBorder="1" applyAlignment="1">
      <alignment horizontal="left" wrapText="1"/>
    </xf>
    <xf numFmtId="49" fontId="6" fillId="2" borderId="7" xfId="0" applyNumberFormat="1" applyFont="1" applyFill="1" applyBorder="1" applyAlignment="1">
      <alignment horizontal="left" wrapText="1"/>
    </xf>
    <xf numFmtId="49" fontId="6" fillId="2" borderId="8" xfId="0" applyNumberFormat="1" applyFont="1" applyFill="1" applyBorder="1" applyAlignment="1">
      <alignment horizontal="left" wrapText="1"/>
    </xf>
    <xf numFmtId="39" fontId="6" fillId="2" borderId="13" xfId="0" applyNumberFormat="1" applyFont="1" applyFill="1" applyBorder="1" applyAlignment="1">
      <alignment horizontal="right" wrapText="1"/>
    </xf>
    <xf numFmtId="39" fontId="6" fillId="2" borderId="14" xfId="0" applyNumberFormat="1" applyFont="1" applyFill="1" applyBorder="1" applyAlignment="1">
      <alignment horizontal="right" wrapText="1"/>
    </xf>
    <xf numFmtId="39" fontId="6" fillId="2" borderId="7" xfId="0" applyNumberFormat="1" applyFont="1" applyFill="1" applyBorder="1" applyAlignment="1">
      <alignment horizontal="right" wrapText="1"/>
    </xf>
    <xf numFmtId="39" fontId="6" fillId="2" borderId="15" xfId="0" applyNumberFormat="1" applyFont="1" applyFill="1" applyBorder="1" applyAlignment="1">
      <alignment horizontal="right" wrapText="1"/>
    </xf>
    <xf numFmtId="49" fontId="7" fillId="2" borderId="7" xfId="0" applyNumberFormat="1" applyFont="1" applyFill="1" applyBorder="1" applyAlignment="1">
      <alignment horizontal="left" wrapText="1" indent="2"/>
    </xf>
    <xf numFmtId="49" fontId="7" fillId="2" borderId="7" xfId="0" applyNumberFormat="1" applyFont="1" applyFill="1" applyBorder="1" applyAlignment="1">
      <alignment horizontal="left" wrapText="1"/>
    </xf>
    <xf numFmtId="49" fontId="7" fillId="2" borderId="8" xfId="0" applyNumberFormat="1" applyFont="1" applyFill="1" applyBorder="1" applyAlignment="1">
      <alignment horizontal="left" wrapText="1"/>
    </xf>
    <xf numFmtId="0" fontId="2" fillId="3" borderId="7" xfId="0" applyFont="1" applyFill="1" applyBorder="1" applyAlignment="1">
      <alignment horizontal="left" wrapText="1"/>
    </xf>
    <xf numFmtId="2" fontId="1" fillId="0" borderId="0" xfId="0" applyNumberFormat="1" applyFont="1"/>
    <xf numFmtId="2" fontId="0" fillId="0" borderId="0" xfId="0" applyNumberFormat="1"/>
    <xf numFmtId="1" fontId="1" fillId="0" borderId="0" xfId="0" applyNumberFormat="1" applyFont="1"/>
    <xf numFmtId="1" fontId="0" fillId="0" borderId="0" xfId="0" applyNumberFormat="1"/>
    <xf numFmtId="0" fontId="0" fillId="4" borderId="0" xfId="0" applyFill="1"/>
    <xf numFmtId="0" fontId="0" fillId="0" borderId="0" xfId="0" pivotButton="1"/>
    <xf numFmtId="0" fontId="0" fillId="0" borderId="0" xfId="0" applyAlignment="1">
      <alignment horizontal="left"/>
    </xf>
    <xf numFmtId="165" fontId="0" fillId="0" borderId="0" xfId="0" applyNumberFormat="1"/>
    <xf numFmtId="0" fontId="0" fillId="5" borderId="19" xfId="0" applyFill="1" applyBorder="1"/>
    <xf numFmtId="2" fontId="0" fillId="5" borderId="19" xfId="0" applyNumberFormat="1" applyFill="1" applyBorder="1"/>
    <xf numFmtId="165" fontId="0" fillId="5" borderId="19" xfId="0" applyNumberFormat="1" applyFill="1" applyBorder="1"/>
    <xf numFmtId="10" fontId="0" fillId="0" borderId="0" xfId="1" applyNumberFormat="1" applyFont="1"/>
    <xf numFmtId="10" fontId="0" fillId="5" borderId="19" xfId="1" applyNumberFormat="1" applyFont="1" applyFill="1" applyBorder="1"/>
    <xf numFmtId="0" fontId="0" fillId="4" borderId="20" xfId="0" applyFill="1" applyBorder="1"/>
    <xf numFmtId="10" fontId="0" fillId="4" borderId="20" xfId="1" applyNumberFormat="1" applyFont="1" applyFill="1" applyBorder="1"/>
    <xf numFmtId="10" fontId="0" fillId="4" borderId="0" xfId="1" applyNumberFormat="1" applyFont="1" applyFill="1" applyBorder="1"/>
    <xf numFmtId="10" fontId="0" fillId="4" borderId="0" xfId="1" applyNumberFormat="1" applyFont="1" applyFill="1"/>
    <xf numFmtId="0" fontId="9" fillId="5" borderId="20" xfId="0" applyFont="1" applyFill="1" applyBorder="1"/>
    <xf numFmtId="0" fontId="9" fillId="5" borderId="19" xfId="0" applyFont="1" applyFill="1" applyBorder="1"/>
    <xf numFmtId="0" fontId="9" fillId="6" borderId="19" xfId="0" applyFont="1" applyFill="1" applyBorder="1"/>
    <xf numFmtId="2" fontId="9" fillId="6" borderId="19" xfId="0" applyNumberFormat="1" applyFont="1" applyFill="1" applyBorder="1"/>
    <xf numFmtId="2" fontId="0" fillId="6" borderId="19" xfId="0" applyNumberFormat="1" applyFill="1" applyBorder="1"/>
    <xf numFmtId="165" fontId="9" fillId="6" borderId="19" xfId="0" applyNumberFormat="1" applyFont="1" applyFill="1" applyBorder="1"/>
    <xf numFmtId="165" fontId="0" fillId="6" borderId="19" xfId="0" applyNumberFormat="1" applyFill="1" applyBorder="1"/>
    <xf numFmtId="9" fontId="0" fillId="7" borderId="19" xfId="1" applyFont="1" applyFill="1" applyBorder="1"/>
    <xf numFmtId="9" fontId="0" fillId="8" borderId="19" xfId="1" applyFont="1" applyFill="1" applyBorder="1"/>
    <xf numFmtId="49"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9" fontId="2" fillId="0" borderId="3"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164" fontId="3" fillId="2" borderId="2" xfId="0" applyNumberFormat="1" applyFont="1" applyFill="1" applyBorder="1" applyAlignment="1">
      <alignment horizontal="center" wrapText="1"/>
    </xf>
    <xf numFmtId="164" fontId="3" fillId="2" borderId="0" xfId="0" applyNumberFormat="1" applyFont="1" applyFill="1" applyAlignment="1">
      <alignment horizontal="center" wrapText="1"/>
    </xf>
    <xf numFmtId="164" fontId="0" fillId="0" borderId="0" xfId="0" applyNumberFormat="1" applyAlignment="1">
      <alignment horizontal="center" wrapText="1"/>
    </xf>
    <xf numFmtId="164" fontId="3" fillId="2" borderId="16" xfId="0" applyNumberFormat="1" applyFont="1" applyFill="1" applyBorder="1" applyAlignment="1">
      <alignment horizontal="center" wrapText="1"/>
    </xf>
    <xf numFmtId="164" fontId="3" fillId="2" borderId="17" xfId="0" applyNumberFormat="1" applyFont="1" applyFill="1" applyBorder="1" applyAlignment="1">
      <alignment horizontal="center" wrapText="1"/>
    </xf>
    <xf numFmtId="164" fontId="0" fillId="0" borderId="18" xfId="0" applyNumberFormat="1" applyBorder="1" applyAlignment="1">
      <alignment horizontal="center" wrapText="1"/>
    </xf>
  </cellXfs>
  <cellStyles count="2">
    <cellStyle name="Normal" xfId="0" builtinId="0"/>
    <cellStyle name="Percent" xfId="1" builtinId="5"/>
  </cellStyles>
  <dxfs count="10">
    <dxf>
      <numFmt numFmtId="165" formatCode="0.000"/>
    </dxf>
    <dxf>
      <numFmt numFmtId="165" formatCode="0.000"/>
    </dxf>
    <dxf>
      <numFmt numFmtId="165" formatCode="0.000"/>
    </dxf>
    <dxf>
      <numFmt numFmtId="165" formatCode="0.000"/>
    </dxf>
    <dxf>
      <numFmt numFmtId="165" formatCode="0.000"/>
    </dxf>
    <dxf>
      <numFmt numFmtId="165" formatCode="0.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27</xdr:col>
      <xdr:colOff>167640</xdr:colOff>
      <xdr:row>2</xdr:row>
      <xdr:rowOff>53341</xdr:rowOff>
    </xdr:from>
    <xdr:to>
      <xdr:col>28</xdr:col>
      <xdr:colOff>571500</xdr:colOff>
      <xdr:row>7</xdr:row>
      <xdr:rowOff>1</xdr:rowOff>
    </xdr:to>
    <mc:AlternateContent xmlns:mc="http://schemas.openxmlformats.org/markup-compatibility/2006" xmlns:a14="http://schemas.microsoft.com/office/drawing/2010/main">
      <mc:Choice Requires="a14">
        <xdr:graphicFrame macro="">
          <xdr:nvGraphicFramePr>
            <xdr:cNvPr id="4" name="Package Type">
              <a:extLst>
                <a:ext uri="{FF2B5EF4-FFF2-40B4-BE49-F238E27FC236}">
                  <a16:creationId xmlns:a16="http://schemas.microsoft.com/office/drawing/2014/main" id="{567FC163-70DC-6003-34CC-86B2C6AA4304}"/>
                </a:ext>
              </a:extLst>
            </xdr:cNvPr>
            <xdr:cNvGraphicFramePr/>
          </xdr:nvGraphicFramePr>
          <xdr:xfrm>
            <a:off x="0" y="0"/>
            <a:ext cx="0" cy="0"/>
          </xdr:xfrm>
          <a:graphic>
            <a:graphicData uri="http://schemas.microsoft.com/office/drawing/2010/slicer">
              <sle:slicer xmlns:sle="http://schemas.microsoft.com/office/drawing/2010/slicer" name="Package Type"/>
            </a:graphicData>
          </a:graphic>
        </xdr:graphicFrame>
      </mc:Choice>
      <mc:Fallback xmlns="">
        <xdr:sp macro="" textlink="">
          <xdr:nvSpPr>
            <xdr:cNvPr id="0" name=""/>
            <xdr:cNvSpPr>
              <a:spLocks noTextEdit="1"/>
            </xdr:cNvSpPr>
          </xdr:nvSpPr>
          <xdr:spPr>
            <a:xfrm>
              <a:off x="44973240" y="419101"/>
              <a:ext cx="182880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975360</xdr:colOff>
      <xdr:row>7</xdr:row>
      <xdr:rowOff>22861</xdr:rowOff>
    </xdr:from>
    <xdr:to>
      <xdr:col>28</xdr:col>
      <xdr:colOff>586740</xdr:colOff>
      <xdr:row>17</xdr:row>
      <xdr:rowOff>167641</xdr:rowOff>
    </xdr:to>
    <mc:AlternateContent xmlns:mc="http://schemas.openxmlformats.org/markup-compatibility/2006" xmlns:a14="http://schemas.microsoft.com/office/drawing/2010/main">
      <mc:Choice Requires="a14">
        <xdr:graphicFrame macro="">
          <xdr:nvGraphicFramePr>
            <xdr:cNvPr id="6" name="Package Size">
              <a:extLst>
                <a:ext uri="{FF2B5EF4-FFF2-40B4-BE49-F238E27FC236}">
                  <a16:creationId xmlns:a16="http://schemas.microsoft.com/office/drawing/2014/main" id="{6099E453-E1E4-69E8-54AA-90E4F103741C}"/>
                </a:ext>
              </a:extLst>
            </xdr:cNvPr>
            <xdr:cNvGraphicFramePr/>
          </xdr:nvGraphicFramePr>
          <xdr:xfrm>
            <a:off x="0" y="0"/>
            <a:ext cx="0" cy="0"/>
          </xdr:xfrm>
          <a:graphic>
            <a:graphicData uri="http://schemas.microsoft.com/office/drawing/2010/slicer">
              <sle:slicer xmlns:sle="http://schemas.microsoft.com/office/drawing/2010/slicer" name="Package Size"/>
            </a:graphicData>
          </a:graphic>
        </xdr:graphicFrame>
      </mc:Choice>
      <mc:Fallback xmlns="">
        <xdr:sp macro="" textlink="">
          <xdr:nvSpPr>
            <xdr:cNvPr id="0" name=""/>
            <xdr:cNvSpPr>
              <a:spLocks noTextEdit="1"/>
            </xdr:cNvSpPr>
          </xdr:nvSpPr>
          <xdr:spPr>
            <a:xfrm>
              <a:off x="43936920" y="1303021"/>
              <a:ext cx="2880360" cy="1973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975360</xdr:colOff>
      <xdr:row>7</xdr:row>
      <xdr:rowOff>22860</xdr:rowOff>
    </xdr:from>
    <xdr:to>
      <xdr:col>26</xdr:col>
      <xdr:colOff>967740</xdr:colOff>
      <xdr:row>20</xdr:row>
      <xdr:rowOff>112395</xdr:rowOff>
    </xdr:to>
    <mc:AlternateContent xmlns:mc="http://schemas.openxmlformats.org/markup-compatibility/2006" xmlns:a14="http://schemas.microsoft.com/office/drawing/2010/main">
      <mc:Choice Requires="a14">
        <xdr:graphicFrame macro="">
          <xdr:nvGraphicFramePr>
            <xdr:cNvPr id="7" name="Protection">
              <a:extLst>
                <a:ext uri="{FF2B5EF4-FFF2-40B4-BE49-F238E27FC236}">
                  <a16:creationId xmlns:a16="http://schemas.microsoft.com/office/drawing/2014/main" id="{B6FBCBBF-6D92-BC29-CBC5-7DE04201697A}"/>
                </a:ext>
              </a:extLst>
            </xdr:cNvPr>
            <xdr:cNvGraphicFramePr/>
          </xdr:nvGraphicFramePr>
          <xdr:xfrm>
            <a:off x="0" y="0"/>
            <a:ext cx="0" cy="0"/>
          </xdr:xfrm>
          <a:graphic>
            <a:graphicData uri="http://schemas.microsoft.com/office/drawing/2010/slicer">
              <sle:slicer xmlns:sle="http://schemas.microsoft.com/office/drawing/2010/slicer" name="Protection"/>
            </a:graphicData>
          </a:graphic>
        </xdr:graphicFrame>
      </mc:Choice>
      <mc:Fallback xmlns="">
        <xdr:sp macro="" textlink="">
          <xdr:nvSpPr>
            <xdr:cNvPr id="0" name=""/>
            <xdr:cNvSpPr>
              <a:spLocks noTextEdit="1"/>
            </xdr:cNvSpPr>
          </xdr:nvSpPr>
          <xdr:spPr>
            <a:xfrm>
              <a:off x="41772840" y="1303020"/>
              <a:ext cx="215646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a Saha" refreshedDate="46183.47237152778" createdVersion="8" refreshedVersion="8" minRefreshableVersion="3" recordCount="551" xr:uid="{B8DBFD7C-8ADD-4302-AA05-6CEEDC1A9030}">
  <cacheSource type="worksheet">
    <worksheetSource name="Table2"/>
  </cacheSource>
  <cacheFields count="18">
    <cacheField name="Product" numFmtId="0">
      <sharedItems/>
    </cacheField>
    <cacheField name="Manufacturer" numFmtId="0">
      <sharedItems count="107">
        <s v=" Nova Garbagnate"/>
        <s v=" BeneCare"/>
        <s v=" VigaLife"/>
        <s v=" Intelligent Initiative"/>
        <s v=" BroadLeaf Group"/>
        <s v=" ArborChemistry"/>
        <s v=" ArkPapers"/>
        <s v=" Arkana PaperCraft"/>
        <s v=" Fragrantium S.A."/>
        <s v=" ArsenicChem"/>
        <s v=" Creativa Worldwide"/>
        <s v=" CultureSana"/>
        <s v=" Ataman Industries"/>
        <s v=" AxisOn Group"/>
        <s v=" PureAim Cleaners"/>
        <s v=" AlpineMeadow"/>
        <s v=" BioRealm Corp"/>
        <s v=" BurdenCo"/>
        <s v=" TradeKing Cengiz"/>
        <s v=" ClearSight"/>
        <s v=" CodeInt B.V."/>
        <s v=" ChillClean"/>
        <s v=" Cosmopolitan Italy"/>
        <s v=" CottonUnion"/>
        <s v=" EastChem"/>
        <s v=" EnkaHygiene"/>
        <s v=" ErusHealth Products"/>
        <s v=" Esburg Health"/>
        <s v=" SCProducts"/>
        <s v=" EssentialsCo"/>
        <s v=" EveCraft"/>
        <s v=" FemmeBeauty"/>
        <s v=" Fulya Beauty"/>
        <s v=" Grace Corp"/>
        <s v=" SouthernGroup SP"/>
        <s v=" AvellinoGroup SRL"/>
        <s v=" RoseBeauty"/>
        <s v=" CleanHarper"/>
        <s v=" LifeChem"/>
        <s v=" MountainMedicine"/>
        <s v=" Swift GMBH"/>
        <s v=" InsideGlobal"/>
        <s v=" CelticWind Ltd"/>
        <s v=" JellyHealth"/>
        <s v=" Thomson &amp; Thomson"/>
        <s v=" KalesCo"/>
        <s v=" Kantara Productions Distribution"/>
        <s v=" CapPlus"/>
        <s v=" BrothersFlyProducts SAN A.S."/>
        <s v=" Snowball Cologne"/>
        <s v=" Kimberly Stone"/>
        <s v=" OliveTree S.A."/>
        <s v=" CosmicChem"/>
        <s v=" LabExpand"/>
        <s v=" LansinLab Inc"/>
        <s v=" Lara Beauty"/>
        <s v=" LeaderHealthFood"/>
        <s v=" GlobalMap"/>
        <s v=" PrimeBrands Marketing B.V."/>
        <s v=" Giga S.A."/>
        <s v=" Miss Health Co."/>
        <s v=" MontraWorld"/>
        <s v=" Moratex Group / Tobi MegaGroup LTD"/>
        <s v=" MoreBeauty"/>
        <s v=" NaturalCo AB"/>
        <s v=" Voyage Turkey"/>
        <s v=" Nur Food Industry"/>
        <s v=" O-Package S.R.L."/>
        <s v=" OnTop"/>
        <s v=" OzFoodMakers A.S."/>
        <s v=" CrescentTextile SAN"/>
        <s v=" PakChem"/>
        <s v=" Daisy Cotton Cosmetics"/>
        <s v=" IdealGroup"/>
        <s v=" PhoenixMedicine DOO"/>
        <s v=" FabreStone"/>
        <s v=" Pyramid72 DOO"/>
        <s v=" PreDone"/>
        <s v=" ProStart 97"/>
        <s v=" Proctor &amp; Wager"/>
        <s v=" PuigPeak"/>
        <s v=" RameBeauty"/>
        <s v=" QueenTrade LTD"/>
        <s v=" ColorSan"/>
        <s v=" SanHealth LTD"/>
        <s v=" SaproClean"/>
        <s v=" YellowHand Cleaners"/>
        <s v=" EuroPack Communications SRL"/>
        <s v=" SigmaKappaZeta Co."/>
        <s v=" SebaMedicines"/>
        <s v=" SignalTrade"/>
        <s v=" SepaTextiles"/>
        <s v=" SeptOn SA"/>
        <s v=" LovelyCo"/>
        <s v=" Quake S.P.A."/>
        <s v=" HappyBeauty A.S."/>
        <s v=" So.Di.Co - Cosmetics Distribution Society"/>
        <s v=" QueenStand Investment"/>
        <s v=" BladeSon LTD"/>
        <s v=" TahaChem Cosmetics"/>
        <s v=" TextileSan"/>
        <s v=" FoodTNCR"/>
        <s v=" TroyBeauty Trade"/>
        <s v=" MegaBeauty"/>
        <s v=" Unac Beauty Makers SAN."/>
        <s v=" UniHandle"/>
        <s v=" GreenIlgaz Group"/>
      </sharedItems>
    </cacheField>
    <cacheField name="Brand" numFmtId="0">
      <sharedItems/>
    </cacheField>
    <cacheField name="Package Type" numFmtId="0">
      <sharedItems count="2">
        <s v="BAGS"/>
        <s v="BOX"/>
      </sharedItems>
    </cacheField>
    <cacheField name="Protection" numFmtId="0">
      <sharedItems count="6">
        <s v="WITHOUT EXTRA PROTECTCARE INDICATION"/>
        <s v="PH BALANCED"/>
        <s v="ALCOHOL FREE"/>
        <s v="SENSITIVE"/>
        <s v="HYPOALLERGENIC"/>
        <s v="ALCOHOL FREE &amp; HYPOALLERGENIC"/>
      </sharedItems>
    </cacheField>
    <cacheField name="Package Size" numFmtId="2">
      <sharedItems count="36">
        <s v="20"/>
        <s v="10"/>
        <s v="50"/>
        <s v="80"/>
        <s v="100"/>
        <s v="120"/>
        <s v="15"/>
        <s v="40"/>
        <s v="56"/>
        <s v="64"/>
        <s v="72"/>
        <s v="90"/>
        <s v="102"/>
        <s v="60"/>
        <s v="140"/>
        <s v="25"/>
        <s v="30"/>
        <s v="63"/>
        <s v="66"/>
        <s v="110"/>
        <s v="70"/>
        <s v="52"/>
        <s v="240"/>
        <s v="28"/>
        <s v="24"/>
        <s v="96"/>
        <s v="12"/>
        <s v="54"/>
        <s v="88"/>
        <s v="37"/>
        <s v="48"/>
        <s v="42.0000"/>
        <s v="144"/>
        <s v="57"/>
        <s v="75"/>
        <s v="130"/>
      </sharedItems>
    </cacheField>
    <cacheField name="Value(1000$) 2022" numFmtId="2">
      <sharedItems containsSemiMixedTypes="0" containsString="0" containsNumber="1" minValue="0" maxValue="1663.8369"/>
    </cacheField>
    <cacheField name="Value(1000$) 2023" numFmtId="2">
      <sharedItems containsSemiMixedTypes="0" containsString="0" containsNumber="1" minValue="0" maxValue="1815.6596999999999"/>
    </cacheField>
    <cacheField name="Value(1000$) 2024" numFmtId="2">
      <sharedItems containsSemiMixedTypes="0" containsString="0" containsNumber="1" minValue="0" maxValue="1049.2485999999999"/>
    </cacheField>
    <cacheField name="Volume(1000) 2022" numFmtId="0">
      <sharedItems containsSemiMixedTypes="0" containsString="0" containsNumber="1" minValue="0" maxValue="62012.672500000001"/>
    </cacheField>
    <cacheField name="Volume(1000) 2023" numFmtId="0">
      <sharedItems containsSemiMixedTypes="0" containsString="0" containsNumber="1" minValue="0" maxValue="68679.966"/>
    </cacheField>
    <cacheField name="Volume(1000) 2024" numFmtId="0">
      <sharedItems containsSemiMixedTypes="0" containsString="0" containsNumber="1" minValue="0" maxValue="37856.881999999998"/>
    </cacheField>
    <cacheField name="Average Price(2022)" numFmtId="165">
      <sharedItems containsSemiMixedTypes="0" containsString="0" containsNumber="1" minValue="0" maxValue="0.37226277372262773"/>
    </cacheField>
    <cacheField name="Average Price(2023)" numFmtId="165">
      <sharedItems containsSemiMixedTypes="0" containsString="0" containsNumber="1" minValue="0" maxValue="0.32947871889568325"/>
    </cacheField>
    <cacheField name="Average Price(2024)" numFmtId="165">
      <sharedItems containsSemiMixedTypes="0" containsString="0" containsNumber="1" minValue="0" maxValue="0.22376237623762379"/>
    </cacheField>
    <cacheField name="sum of value 22-24" numFmtId="165">
      <sharedItems containsSemiMixedTypes="0" containsString="0" containsNumber="1" minValue="0" maxValue="4528.7451999999994"/>
    </cacheField>
    <cacheField name="sum of value 22-242" numFmtId="165">
      <sharedItems containsSemiMixedTypes="0" containsString="0" containsNumber="1" minValue="0" maxValue="168549.52049999998"/>
    </cacheField>
    <cacheField name="sum of value 22-243" numFmtId="165">
      <sharedItems containsSemiMixedTypes="0" containsString="0" containsNumber="1" minValue="0" maxValue="0.25234327137632279"/>
    </cacheField>
  </cacheFields>
  <extLst>
    <ext xmlns:x14="http://schemas.microsoft.com/office/spreadsheetml/2009/9/main" uri="{725AE2AE-9491-48be-B2B4-4EB974FC3084}">
      <x14:pivotCacheDefinition pivotCacheId="6580914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1">
  <r>
    <s v="BABY2000 CAMOMILLA W 20 BAG ABA SRL"/>
    <x v="0"/>
    <s v="BABY 2000 (Nova Garbagnate)"/>
    <x v="0"/>
    <x v="0"/>
    <x v="0"/>
    <n v="1.9350000000000001"/>
    <n v="0.624"/>
    <n v="0"/>
    <n v="24.822900000000001"/>
    <n v="9.4085999999999999"/>
    <n v="0"/>
    <n v="7.7952213480294408E-2"/>
    <n v="6.6322300873668777E-2"/>
    <n v="0"/>
    <n v="2.5590000000000002"/>
    <n v="34.231499999999997"/>
    <n v="4.8091504784654397E-2"/>
  </r>
  <r>
    <s v="BAMBO NATURE W 10 BAG"/>
    <x v="1"/>
    <s v="BAMBO (BeneCare)"/>
    <x v="0"/>
    <x v="0"/>
    <x v="1"/>
    <n v="0"/>
    <n v="0"/>
    <n v="0"/>
    <n v="0"/>
    <n v="0"/>
    <n v="0"/>
    <n v="0"/>
    <n v="0"/>
    <n v="0"/>
    <n v="0"/>
    <n v="0"/>
    <n v="0"/>
  </r>
  <r>
    <s v="BAMBO NATURE W 50 BAG"/>
    <x v="1"/>
    <s v="BAMBO (BeneCare)"/>
    <x v="0"/>
    <x v="0"/>
    <x v="2"/>
    <n v="0"/>
    <n v="0"/>
    <n v="0"/>
    <n v="0"/>
    <n v="0"/>
    <n v="0"/>
    <n v="0"/>
    <n v="0"/>
    <n v="0"/>
    <n v="0"/>
    <n v="0"/>
    <n v="0"/>
  </r>
  <r>
    <s v="BAMBO NATURE 0%PERFUME W 80 BAG"/>
    <x v="1"/>
    <s v="BAMBO (BeneCare)"/>
    <x v="0"/>
    <x v="0"/>
    <x v="3"/>
    <n v="0"/>
    <n v="0"/>
    <n v="0"/>
    <n v="0"/>
    <n v="0"/>
    <n v="0"/>
    <n v="0"/>
    <n v="0"/>
    <n v="0"/>
    <n v="0"/>
    <n v="0"/>
    <n v="0"/>
  </r>
  <r>
    <s v="BAMBO NATURE W 80 BAG KAPAK"/>
    <x v="1"/>
    <s v="BAMBO (BeneCare)"/>
    <x v="0"/>
    <x v="0"/>
    <x v="3"/>
    <n v="1.09E-2"/>
    <n v="0"/>
    <n v="0"/>
    <n v="0.16"/>
    <n v="0"/>
    <n v="0"/>
    <n v="6.8125000000000005E-2"/>
    <n v="0"/>
    <n v="0"/>
    <n v="1.09E-2"/>
    <n v="0.16"/>
    <n v="2.2708333333333334E-2"/>
  </r>
  <r>
    <s v="BABY CREMA PLAY TIME CAMOMILE W 100 PINK"/>
    <x v="2"/>
    <s v="BABY CREMA (VigaLife)"/>
    <x v="0"/>
    <x v="1"/>
    <x v="4"/>
    <n v="81.467399999999998"/>
    <n v="92.903000000000006"/>
    <n v="52.511899999999997"/>
    <n v="2980.7042999999999"/>
    <n v="3415.3553999999999"/>
    <n v="1823.0734"/>
    <n v="2.7331594079962915E-2"/>
    <n v="2.7201561512456365E-2"/>
    <n v="2.8804051444116293E-2"/>
    <n v="226.88230000000001"/>
    <n v="8219.1330999999991"/>
    <n v="2.7779069012178526E-2"/>
  </r>
  <r>
    <s v="BABYCREMA PLAYTIME CAMOMILE W 100 ORANGE"/>
    <x v="2"/>
    <s v="BABY CREMA (VigaLife)"/>
    <x v="0"/>
    <x v="1"/>
    <x v="4"/>
    <n v="165.22800000000001"/>
    <n v="172.68430000000001"/>
    <n v="91.1357"/>
    <n v="5930.9056"/>
    <n v="6183.6273000000001"/>
    <n v="3125.7986999999998"/>
    <n v="2.7858814680847391E-2"/>
    <n v="2.7926052399697504E-2"/>
    <n v="2.9155972200001237E-2"/>
    <n v="429.048"/>
    <n v="15240.3316"/>
    <n v="2.8313613093515377E-2"/>
  </r>
  <r>
    <s v="BABY CREMA CAMOMIL W 120 BAG KAPAK"/>
    <x v="2"/>
    <s v="BABY CREMA (VigaLife)"/>
    <x v="0"/>
    <x v="1"/>
    <x v="5"/>
    <n v="842.87239999999997"/>
    <n v="745.33579999999995"/>
    <n v="366.95890000000003"/>
    <n v="38888.539799999999"/>
    <n v="31985.000499999998"/>
    <n v="14135.173000000001"/>
    <n v="2.1674056272999995E-2"/>
    <n v="2.3302666510822783E-2"/>
    <n v="2.5960693937032112E-2"/>
    <n v="1955.1671000000001"/>
    <n v="85008.713299999989"/>
    <n v="2.3645805573618298E-2"/>
  </r>
  <r>
    <s v="BABY CREMA ALOE 15 BAG"/>
    <x v="2"/>
    <s v="BABY CREMA (VigaLife)"/>
    <x v="0"/>
    <x v="0"/>
    <x v="6"/>
    <n v="12.774800000000001"/>
    <n v="10.866"/>
    <n v="6.7743000000000002"/>
    <n v="151.26679999999999"/>
    <n v="127.18680000000001"/>
    <n v="77.459400000000002"/>
    <n v="8.4452107137851812E-2"/>
    <n v="8.5433394031456084E-2"/>
    <n v="8.7456138312457882E-2"/>
    <n v="30.415099999999999"/>
    <n v="355.91300000000001"/>
    <n v="8.578054649392193E-2"/>
  </r>
  <r>
    <s v="BABY CREMA CAMOMIL W 15 BAG"/>
    <x v="2"/>
    <s v="BABY CREMA (VigaLife)"/>
    <x v="0"/>
    <x v="0"/>
    <x v="6"/>
    <n v="20.055299999999999"/>
    <n v="17.836099999999998"/>
    <n v="11.187099999999999"/>
    <n v="231.08779999999999"/>
    <n v="217.71180000000001"/>
    <n v="141.00800000000001"/>
    <n v="8.6786494137726003E-2"/>
    <n v="8.1925279199381917E-2"/>
    <n v="7.9336633382503102E-2"/>
    <n v="49.078499999999998"/>
    <n v="589.80759999999998"/>
    <n v="8.2682802239870332E-2"/>
  </r>
  <r>
    <s v="BABY CREMA PH5.5 W 3X15/1FR BAG &amp;&amp;&amp;"/>
    <x v="2"/>
    <s v="BABY CREMA (VigaLife)"/>
    <x v="0"/>
    <x v="1"/>
    <x v="6"/>
    <n v="1.2461"/>
    <n v="7.7651000000000003"/>
    <n v="2.2378"/>
    <n v="20.960899999999999"/>
    <n v="127.6666"/>
    <n v="33.570999999999998"/>
    <n v="5.9448783210644583E-2"/>
    <n v="6.0823269359409592E-2"/>
    <n v="6.6658723302850678E-2"/>
    <n v="11.249000000000001"/>
    <n v="182.1985"/>
    <n v="6.2310258624301618E-2"/>
  </r>
  <r>
    <s v="BABY CREMA WATER 99% W 15 BAG"/>
    <x v="2"/>
    <s v="BABY CREMA (VigaLife)"/>
    <x v="0"/>
    <x v="2"/>
    <x v="6"/>
    <n v="9.6471999999999998"/>
    <n v="10.7577"/>
    <n v="7.0723000000000003"/>
    <n v="112.20610000000001"/>
    <n v="131.05279999999999"/>
    <n v="85.719800000000006"/>
    <n v="8.5977500331978374E-2"/>
    <n v="8.208676197685208E-2"/>
    <n v="8.250485885408039E-2"/>
    <n v="27.477199999999996"/>
    <n v="328.9787"/>
    <n v="8.3523040387636957E-2"/>
  </r>
  <r>
    <s v="BABY CREMA CAMOMIL W 40 BAG"/>
    <x v="2"/>
    <s v="BABY CREMA (VigaLife)"/>
    <x v="0"/>
    <x v="0"/>
    <x v="7"/>
    <n v="0.1235"/>
    <n v="0"/>
    <n v="0"/>
    <n v="2.2799999999999998"/>
    <n v="0"/>
    <n v="0"/>
    <n v="5.4166666666666669E-2"/>
    <n v="0"/>
    <n v="0"/>
    <n v="0.1235"/>
    <n v="2.2799999999999998"/>
    <n v="1.8055555555555557E-2"/>
  </r>
  <r>
    <s v="BABY CREMA COTTON&amp;PANTENOL W 4X56 BAG"/>
    <x v="2"/>
    <s v="BABY CREMA (VigaLife)"/>
    <x v="0"/>
    <x v="1"/>
    <x v="8"/>
    <n v="0"/>
    <n v="0"/>
    <n v="7.1128"/>
    <n v="0"/>
    <n v="0"/>
    <n v="247.09899999999999"/>
    <n v="0"/>
    <n v="0"/>
    <n v="2.8785223736235276E-2"/>
    <n v="7.1128"/>
    <n v="247.09899999999999"/>
    <n v="9.5950745787450921E-3"/>
  </r>
  <r>
    <s v="BABY CREMA COTTON&amp;PANTENOL W 56 BAG"/>
    <x v="2"/>
    <s v="BABY CREMA (VigaLife)"/>
    <x v="0"/>
    <x v="1"/>
    <x v="8"/>
    <n v="0.18310000000000001"/>
    <n v="0.1116"/>
    <n v="0.38700000000000001"/>
    <n v="5.8884999999999996"/>
    <n v="3.7909999999999999"/>
    <n v="14.3827"/>
    <n v="3.1094506240978183E-2"/>
    <n v="2.9438142970192562E-2"/>
    <n v="2.6907326162681554E-2"/>
    <n v="0.68169999999999997"/>
    <n v="24.062199999999997"/>
    <n v="2.9146658457950766E-2"/>
  </r>
  <r>
    <s v="BABY CREMA ALOE 64 BAG"/>
    <x v="2"/>
    <s v="BABY CREMA (VigaLife)"/>
    <x v="0"/>
    <x v="0"/>
    <x v="9"/>
    <n v="1.8938999999999999"/>
    <n v="0"/>
    <n v="0.22520000000000001"/>
    <n v="49.9726"/>
    <n v="0"/>
    <n v="6.9500999999999999"/>
    <n v="3.7898768525151783E-2"/>
    <n v="0"/>
    <n v="3.2402411476093872E-2"/>
    <n v="2.1191"/>
    <n v="56.922699999999999"/>
    <n v="2.3433726667081888E-2"/>
  </r>
  <r>
    <s v="BABY CREMA CAMOMIL W 64 BAG"/>
    <x v="2"/>
    <s v="BABY CREMA (VigaLife)"/>
    <x v="0"/>
    <x v="0"/>
    <x v="9"/>
    <n v="1.3514999999999999"/>
    <n v="1.6999999999999999E-3"/>
    <n v="0"/>
    <n v="37.322600000000001"/>
    <n v="6.4000000000000001E-2"/>
    <n v="0"/>
    <n v="3.6211303606929847E-2"/>
    <n v="2.6562499999999999E-2"/>
    <n v="0"/>
    <n v="1.3532"/>
    <n v="37.386600000000001"/>
    <n v="2.0924601202309948E-2"/>
  </r>
  <r>
    <s v="BABY CREMA PLAY TIME CAMOMIL W 64 BAG"/>
    <x v="2"/>
    <s v="BABY CREMA (VigaLife)"/>
    <x v="0"/>
    <x v="1"/>
    <x v="9"/>
    <n v="5.8978000000000002"/>
    <n v="0.1087"/>
    <n v="0"/>
    <n v="169.58080000000001"/>
    <n v="3.3822999999999999"/>
    <n v="0"/>
    <n v="3.4778701362418389E-2"/>
    <n v="3.2137894332259116E-2"/>
    <n v="0"/>
    <n v="6.0065"/>
    <n v="172.9631"/>
    <n v="2.2305531898225834E-2"/>
  </r>
  <r>
    <s v="BABYCREMA CAMOMIL W 4X64 BAG SUPERTSENA"/>
    <x v="2"/>
    <s v="BABY CREMA (VigaLife)"/>
    <x v="0"/>
    <x v="2"/>
    <x v="9"/>
    <n v="0.69669999999999999"/>
    <n v="28.392900000000001"/>
    <n v="2.1978"/>
    <n v="25.606300000000001"/>
    <n v="1226.3661999999999"/>
    <n v="96.438800000000001"/>
    <n v="2.7208147994829394E-2"/>
    <n v="2.315205686523324E-2"/>
    <n v="2.2789582616125459E-2"/>
    <n v="31.287400000000002"/>
    <n v="1348.4112999999998"/>
    <n v="2.4383262492062699E-2"/>
  </r>
  <r>
    <s v="BABY CREMA ALOE&amp;ALMOND OIL W 72 BAG"/>
    <x v="2"/>
    <s v="BABY CREMA (VigaLife)"/>
    <x v="0"/>
    <x v="0"/>
    <x v="10"/>
    <n v="117.6534"/>
    <n v="68.117699999999999"/>
    <n v="28.349900000000002"/>
    <n v="3055.9405999999999"/>
    <n v="1781.8513"/>
    <n v="711.07719999999995"/>
    <n v="3.8499897543820064E-2"/>
    <n v="3.8228610883523223E-2"/>
    <n v="3.9868948125463738E-2"/>
    <n v="214.12099999999998"/>
    <n v="5548.8690999999999"/>
    <n v="3.8865818850935673E-2"/>
  </r>
  <r>
    <s v="BABY CREMA CAMOMIL&amp;ALMOND W 72 BAG"/>
    <x v="2"/>
    <s v="BABY CREMA (VigaLife)"/>
    <x v="0"/>
    <x v="0"/>
    <x v="10"/>
    <n v="38.677799999999998"/>
    <n v="31.4983"/>
    <n v="9.7551000000000005"/>
    <n v="954.11220000000003"/>
    <n v="803.28520000000003"/>
    <n v="236.19829999999999"/>
    <n v="4.0537999618912739E-2"/>
    <n v="3.9211851531685132E-2"/>
    <n v="4.1300466599463251E-2"/>
    <n v="79.93119999999999"/>
    <n v="1993.5957000000001"/>
    <n v="4.0350105916687043E-2"/>
  </r>
  <r>
    <s v="BABY CREMA COTTON W 2X72BAG50%OT TS.VTOR"/>
    <x v="2"/>
    <s v="BABY CREMA (VigaLife)"/>
    <x v="0"/>
    <x v="1"/>
    <x v="10"/>
    <n v="6.1199999999999997E-2"/>
    <n v="0"/>
    <n v="0"/>
    <n v="1.6046"/>
    <n v="0"/>
    <n v="0"/>
    <n v="3.8140346503801568E-2"/>
    <n v="0"/>
    <n v="0"/>
    <n v="6.1199999999999997E-2"/>
    <n v="1.6046"/>
    <n v="1.2713448834600523E-2"/>
  </r>
  <r>
    <s v="BABY CREMA COTTON&amp;PANTENOL W 72 BAG"/>
    <x v="2"/>
    <s v="BABY CREMA (VigaLife)"/>
    <x v="0"/>
    <x v="1"/>
    <x v="10"/>
    <n v="36.521799999999999"/>
    <n v="5.1192000000000002"/>
    <n v="1.1213"/>
    <n v="1199.5277000000001"/>
    <n v="135.36869999999999"/>
    <n v="30.554400000000001"/>
    <n v="3.0446816692936723E-2"/>
    <n v="3.7816718340354903E-2"/>
    <n v="3.6698478778833817E-2"/>
    <n v="42.762299999999996"/>
    <n v="1365.4508000000001"/>
    <n v="3.498733793737515E-2"/>
  </r>
  <r>
    <s v="BABY CREMA NEVEN PH5.5 W 72 BAG"/>
    <x v="2"/>
    <s v="BABY CREMA (VigaLife)"/>
    <x v="0"/>
    <x v="1"/>
    <x v="10"/>
    <n v="21.958300000000001"/>
    <n v="39.467100000000002"/>
    <n v="10.7844"/>
    <n v="726.31399999999996"/>
    <n v="1508.4713999999999"/>
    <n v="314.52640000000002"/>
    <n v="3.0232516514895766E-2"/>
    <n v="2.6163638236694448E-2"/>
    <n v="3.4287741823897766E-2"/>
    <n v="72.209800000000001"/>
    <n v="2549.3117999999999"/>
    <n v="3.0227965525162659E-2"/>
  </r>
  <r>
    <s v="BABY CREMA SMRADLIKA PH5.5 W 72 BAG"/>
    <x v="2"/>
    <s v="BABY CREMA (VigaLife)"/>
    <x v="0"/>
    <x v="1"/>
    <x v="10"/>
    <n v="27.983599999999999"/>
    <n v="162.41050000000001"/>
    <n v="103.16800000000001"/>
    <n v="928.81529999999998"/>
    <n v="5484.9444999999996"/>
    <n v="3446.0194999999999"/>
    <n v="3.0128272004132577E-2"/>
    <n v="2.9610235800927434E-2"/>
    <n v="2.9938309983446119E-2"/>
    <n v="293.56209999999999"/>
    <n v="9859.7793000000001"/>
    <n v="2.9892272596168713E-2"/>
  </r>
  <r>
    <s v="BABY CREMA WATER 99% W 72 BAG"/>
    <x v="2"/>
    <s v="BABY CREMA (VigaLife)"/>
    <x v="0"/>
    <x v="0"/>
    <x v="10"/>
    <n v="221.17019999999999"/>
    <n v="159.9896"/>
    <n v="77.865600000000001"/>
    <n v="6715.8593000000001"/>
    <n v="4333.2687999999998"/>
    <n v="2035.5381"/>
    <n v="3.2932524360657765E-2"/>
    <n v="3.6921226765346288E-2"/>
    <n v="3.8253079124384852E-2"/>
    <n v="459.02539999999999"/>
    <n v="13084.6662"/>
    <n v="3.6035610083462975E-2"/>
  </r>
  <r>
    <s v="BABYCREMA CAMOMILE W 2X72BAG50%OTTS.VTOR"/>
    <x v="2"/>
    <s v="BABY CREMA (VigaLife)"/>
    <x v="0"/>
    <x v="1"/>
    <x v="10"/>
    <n v="6.4486999999999997"/>
    <n v="1.6863999999999999"/>
    <n v="0"/>
    <n v="194.65190000000001"/>
    <n v="50.700299999999999"/>
    <n v="0"/>
    <n v="3.312939663060057E-2"/>
    <n v="3.3262130598832748E-2"/>
    <n v="0"/>
    <n v="8.1350999999999996"/>
    <n v="245.35220000000001"/>
    <n v="2.2130509076477772E-2"/>
  </r>
  <r>
    <s v="BABYCREMA COTTON&amp;PANTENOL W 3X72/1FR BAG"/>
    <x v="2"/>
    <s v="BABY CREMA (VigaLife)"/>
    <x v="0"/>
    <x v="1"/>
    <x v="10"/>
    <n v="0"/>
    <n v="0"/>
    <n v="0"/>
    <n v="0"/>
    <n v="0"/>
    <n v="0"/>
    <n v="0"/>
    <n v="0"/>
    <n v="0"/>
    <n v="0"/>
    <n v="0"/>
    <n v="0"/>
  </r>
  <r>
    <s v="BABYCREMA PLAYTIME CAMOMIL W 72 BAG KAPA"/>
    <x v="2"/>
    <s v="BABY CREMA (VigaLife)"/>
    <x v="0"/>
    <x v="1"/>
    <x v="10"/>
    <n v="1663.8369"/>
    <n v="1815.6596999999999"/>
    <n v="1049.2485999999999"/>
    <n v="62012.672500000001"/>
    <n v="68679.966"/>
    <n v="37856.881999999998"/>
    <n v="2.683059498846788E-2"/>
    <n v="2.6436525900435069E-2"/>
    <n v="2.7716191734966443E-2"/>
    <n v="4528.7451999999994"/>
    <n v="168549.52049999998"/>
    <n v="2.6994437541289801E-2"/>
  </r>
  <r>
    <s v="BABY CREMA ALOE W 80 BAG"/>
    <x v="2"/>
    <s v="BABY CREMA (VigaLife)"/>
    <x v="0"/>
    <x v="0"/>
    <x v="3"/>
    <n v="1.7698"/>
    <n v="0.36170000000000002"/>
    <n v="0.20810000000000001"/>
    <n v="50.220500000000001"/>
    <n v="12.068099999999999"/>
    <n v="5.4642999999999997"/>
    <n v="3.5240589002498976E-2"/>
    <n v="2.9971577961733831E-2"/>
    <n v="3.8083560565854734E-2"/>
    <n v="2.3395999999999999"/>
    <n v="67.752899999999997"/>
    <n v="3.4431909176695842E-2"/>
  </r>
  <r>
    <s v="BABY CREMA CAMOMIL W 80 BAG"/>
    <x v="2"/>
    <s v="BABY CREMA (VigaLife)"/>
    <x v="0"/>
    <x v="0"/>
    <x v="3"/>
    <n v="61.981900000000003"/>
    <n v="56.970199999999998"/>
    <n v="23.8948"/>
    <n v="1524.2099000000001"/>
    <n v="1404.4858999999999"/>
    <n v="554.68420000000003"/>
    <n v="4.0664937289805032E-2"/>
    <n v="4.0563027368234882E-2"/>
    <n v="4.3078205580761086E-2"/>
    <n v="142.84690000000001"/>
    <n v="3483.38"/>
    <n v="4.1435390079600336E-2"/>
  </r>
  <r>
    <s v="LINDY VITAMIN E PH5.5 W 120 BAG"/>
    <x v="3"/>
    <s v="LINDY (Intelligent Initiative)"/>
    <x v="0"/>
    <x v="1"/>
    <x v="5"/>
    <n v="78.227999999999994"/>
    <n v="99.030500000000004"/>
    <n v="56.674100000000003"/>
    <n v="4816.5708000000004"/>
    <n v="5822.6243999999997"/>
    <n v="2923.4182999999998"/>
    <n v="1.6241430521482209E-2"/>
    <n v="1.7007880501445364E-2"/>
    <n v="1.9386243836538891E-2"/>
    <n v="233.93260000000001"/>
    <n v="13562.613499999999"/>
    <n v="1.7545184953155487E-2"/>
  </r>
  <r>
    <s v="LINDY ALOE VERA&amp;VIT E W 64 BAG"/>
    <x v="3"/>
    <s v="LINDY (Intelligent Initiative)"/>
    <x v="0"/>
    <x v="0"/>
    <x v="9"/>
    <n v="11.11"/>
    <n v="8.9543999999999997"/>
    <n v="2.2328999999999999"/>
    <n v="523.16819999999996"/>
    <n v="387.32229999999998"/>
    <n v="84.428399999999996"/>
    <n v="2.1236000200317986E-2"/>
    <n v="2.3118730834759578E-2"/>
    <n v="2.6447261821851413E-2"/>
    <n v="22.2973"/>
    <n v="994.91889999999989"/>
    <n v="2.3600664285642992E-2"/>
  </r>
  <r>
    <s v="LINDY ALOE VERA&amp;VIT E W 64 BAG KAPAK"/>
    <x v="3"/>
    <s v="LINDY (Intelligent Initiative)"/>
    <x v="0"/>
    <x v="0"/>
    <x v="9"/>
    <n v="79.953000000000003"/>
    <n v="73.757099999999994"/>
    <n v="40.362299999999998"/>
    <n v="3388.3481999999999"/>
    <n v="2840.8843000000002"/>
    <n v="1387.0689"/>
    <n v="2.3596453280687033E-2"/>
    <n v="2.5962725761130078E-2"/>
    <n v="2.9098987079877573E-2"/>
    <n v="194.07240000000002"/>
    <n v="7616.3014000000003"/>
    <n v="2.6219388707231561E-2"/>
  </r>
  <r>
    <s v="LINDY CAMOMILE W 64 BAG"/>
    <x v="3"/>
    <s v="LINDY (Intelligent Initiative)"/>
    <x v="0"/>
    <x v="0"/>
    <x v="9"/>
    <n v="12.195"/>
    <n v="8.5597999999999992"/>
    <n v="1.6516999999999999"/>
    <n v="553.03880000000004"/>
    <n v="369.83049999999997"/>
    <n v="64.100099999999998"/>
    <n v="2.2050894078317833E-2"/>
    <n v="2.3145197597277671E-2"/>
    <n v="2.576751050310374E-2"/>
    <n v="22.406500000000001"/>
    <n v="986.96940000000006"/>
    <n v="2.3654534059566412E-2"/>
  </r>
  <r>
    <s v="LINDY CAMOMILE W 64 BAG KAPAK"/>
    <x v="3"/>
    <s v="LINDY (Intelligent Initiative)"/>
    <x v="0"/>
    <x v="0"/>
    <x v="9"/>
    <n v="60.510800000000003"/>
    <n v="52.405999999999999"/>
    <n v="30.122800000000002"/>
    <n v="2540.1291999999999"/>
    <n v="2011.4869000000001"/>
    <n v="1066.0352"/>
    <n v="2.3821937876230864E-2"/>
    <n v="2.6053363807639014E-2"/>
    <n v="2.825685305700975E-2"/>
    <n v="143.03960000000001"/>
    <n v="5617.6513000000004"/>
    <n v="2.6044051580293204E-2"/>
  </r>
  <r>
    <s v="LINDY CREAM W 64 BAG KAPAK"/>
    <x v="3"/>
    <s v="LINDY (Intelligent Initiative)"/>
    <x v="0"/>
    <x v="0"/>
    <x v="9"/>
    <n v="47.8005"/>
    <n v="51.199100000000001"/>
    <n v="29.6906"/>
    <n v="1970.2177999999999"/>
    <n v="1924.2328"/>
    <n v="1027.8571999999999"/>
    <n v="2.4261530882524765E-2"/>
    <n v="2.6607539378811131E-2"/>
    <n v="2.8885919172429792E-2"/>
    <n v="128.6902"/>
    <n v="4922.3078000000005"/>
    <n v="2.6584996477921896E-2"/>
  </r>
  <r>
    <s v="LINDY CREAM&amp;VIT.E PH5.5 W 64 BAG"/>
    <x v="3"/>
    <s v="LINDY (Intelligent Initiative)"/>
    <x v="0"/>
    <x v="1"/>
    <x v="9"/>
    <n v="0"/>
    <n v="3.2536"/>
    <n v="4.3144"/>
    <n v="0"/>
    <n v="139.34979999999999"/>
    <n v="169.84690000000001"/>
    <n v="0"/>
    <n v="2.3348436811534715E-2"/>
    <n v="2.5401700001589665E-2"/>
    <n v="7.5679999999999996"/>
    <n v="309.19669999999996"/>
    <n v="1.6250045604374794E-2"/>
  </r>
  <r>
    <s v="LINDY OLIVE OIL EXTR. PH5.5 W 64 BAG"/>
    <x v="3"/>
    <s v="LINDY (Intelligent Initiative)"/>
    <x v="0"/>
    <x v="1"/>
    <x v="9"/>
    <n v="5.5922000000000001"/>
    <n v="5.3672000000000004"/>
    <n v="2.5727000000000002"/>
    <n v="261.04790000000003"/>
    <n v="232.43600000000001"/>
    <n v="93.995500000000007"/>
    <n v="2.1422122146931653E-2"/>
    <n v="2.3091087439123029E-2"/>
    <n v="2.7370459224111791E-2"/>
    <n v="13.5321"/>
    <n v="587.47940000000006"/>
    <n v="2.3961222936722159E-2"/>
  </r>
  <r>
    <s v="LINDY OLIVE OIL EXTR. W 64 BAG KAPAK"/>
    <x v="3"/>
    <s v="LINDY (Intelligent Initiative)"/>
    <x v="0"/>
    <x v="1"/>
    <x v="9"/>
    <n v="53.490699999999997"/>
    <n v="44.783700000000003"/>
    <n v="26.440899999999999"/>
    <n v="2262.5698000000002"/>
    <n v="1667.4681"/>
    <n v="920.88139999999999"/>
    <n v="2.3641568980545924E-2"/>
    <n v="2.6857305396127219E-2"/>
    <n v="2.8712600775735071E-2"/>
    <n v="124.7153"/>
    <n v="4850.9193000000005"/>
    <n v="2.6403825050802739E-2"/>
  </r>
  <r>
    <s v="LINDY SENSITIVE COTTON PH5.5 W 64 BAG"/>
    <x v="3"/>
    <s v="LINDY (Intelligent Initiative)"/>
    <x v="0"/>
    <x v="3"/>
    <x v="9"/>
    <n v="8.2710000000000008"/>
    <n v="9.9309999999999992"/>
    <n v="1.1805000000000001"/>
    <n v="392.0086"/>
    <n v="426.19690000000003"/>
    <n v="46.280799999999999"/>
    <n v="2.1099026909103528E-2"/>
    <n v="2.3301436495666669E-2"/>
    <n v="2.5507337816113813E-2"/>
    <n v="19.382499999999997"/>
    <n v="864.48630000000003"/>
    <n v="2.3302600406961336E-2"/>
  </r>
  <r>
    <s v="LINDY SENSITIVE W 64 BAG KAPAK"/>
    <x v="3"/>
    <s v="LINDY (Intelligent Initiative)"/>
    <x v="0"/>
    <x v="3"/>
    <x v="9"/>
    <n v="70.562299999999993"/>
    <n v="56.785600000000002"/>
    <n v="30.796600000000002"/>
    <n v="2842.3220000000001"/>
    <n v="2121.0371"/>
    <n v="1067.8224"/>
    <n v="2.482558274537508E-2"/>
    <n v="2.6772563289911337E-2"/>
    <n v="2.8840563749177768E-2"/>
    <n v="158.14449999999999"/>
    <n v="6031.1814999999997"/>
    <n v="2.6812903261488063E-2"/>
  </r>
  <r>
    <s v="LINDY WHITE TEA&amp;VIT E W 64 BAG"/>
    <x v="3"/>
    <s v="LINDY (Intelligent Initiative)"/>
    <x v="0"/>
    <x v="1"/>
    <x v="9"/>
    <n v="34.495899999999999"/>
    <n v="35.333399999999997"/>
    <n v="28.078199999999999"/>
    <n v="1446.3839"/>
    <n v="1359.9783"/>
    <n v="967.9162"/>
    <n v="2.3849753858571018E-2"/>
    <n v="2.5980855723947947E-2"/>
    <n v="2.9008916267751279E-2"/>
    <n v="97.907499999999985"/>
    <n v="3774.2784000000001"/>
    <n v="2.6279841950090078E-2"/>
  </r>
  <r>
    <s v="LINDY PREMIUM LAVENDER W 90 BAG KAPAK"/>
    <x v="3"/>
    <s v="LINDY (Intelligent Initiative)"/>
    <x v="0"/>
    <x v="2"/>
    <x v="11"/>
    <n v="49.5715"/>
    <n v="57.943199999999997"/>
    <n v="41.595799999999997"/>
    <n v="2203.8969999999999"/>
    <n v="2377.6914999999999"/>
    <n v="1614.8326999999999"/>
    <n v="2.2492657324729787E-2"/>
    <n v="2.4369519763182062E-2"/>
    <n v="2.5758581678461179E-2"/>
    <n v="149.1105"/>
    <n v="6196.4211999999998"/>
    <n v="2.4206919588791009E-2"/>
  </r>
  <r>
    <s v="LUBA BABY B5&amp;VIT E PH5.5W 120 BAG"/>
    <x v="4"/>
    <s v="LUBA (BroadLeaf Group)"/>
    <x v="0"/>
    <x v="1"/>
    <x v="5"/>
    <n v="0"/>
    <n v="0"/>
    <n v="5.7117000000000004"/>
    <n v="0"/>
    <n v="0"/>
    <n v="338.46300000000002"/>
    <n v="0"/>
    <n v="0"/>
    <n v="1.6875404401662811E-2"/>
    <n v="5.7117000000000004"/>
    <n v="338.46300000000002"/>
    <n v="5.62513480055427E-3"/>
  </r>
  <r>
    <s v="LUBA BABY B5&amp;VIT E PH5.5 90 W BAG"/>
    <x v="4"/>
    <s v="LUBA (BroadLeaf Group)"/>
    <x v="0"/>
    <x v="1"/>
    <x v="11"/>
    <n v="0"/>
    <n v="4.4634999999999998"/>
    <n v="0.1893"/>
    <n v="0"/>
    <n v="231.33420000000001"/>
    <n v="9.7352000000000007"/>
    <n v="0"/>
    <n v="1.9294596302665147E-2"/>
    <n v="1.9444900977894648E-2"/>
    <n v="4.6528"/>
    <n v="241.0694"/>
    <n v="1.2913165760186598E-2"/>
  </r>
  <r>
    <s v="HUGGLO BABY PH5.5 W 120 BAG KAPAK"/>
    <x v="5"/>
    <s v="HUGGLO (ArborChemistry)"/>
    <x v="0"/>
    <x v="1"/>
    <x v="5"/>
    <n v="0.70520000000000005"/>
    <n v="0"/>
    <n v="0"/>
    <n v="47.325299999999999"/>
    <n v="0"/>
    <n v="0"/>
    <n v="1.4901120542289221E-2"/>
    <n v="0"/>
    <n v="0"/>
    <n v="0.70520000000000005"/>
    <n v="47.325299999999999"/>
    <n v="4.9670401807630736E-3"/>
  </r>
  <r>
    <s v="PAPILION BABY ALOE VERA W 100 BAG KAPAK"/>
    <x v="6"/>
    <s v="PAPILION (ArkPapers)"/>
    <x v="0"/>
    <x v="1"/>
    <x v="4"/>
    <n v="0.76280000000000003"/>
    <n v="0.23669999999999999"/>
    <n v="0.1135"/>
    <n v="43.074599999999997"/>
    <n v="13.9861"/>
    <n v="6.5488999999999997"/>
    <n v="1.7708812153798298E-2"/>
    <n v="1.6923945917732604E-2"/>
    <n v="1.7331154850432899E-2"/>
    <n v="1.113"/>
    <n v="63.6096"/>
    <n v="1.7321304307321268E-2"/>
  </r>
  <r>
    <s v="PAPILION BABY SENSITIVE W 100 BAG KAPAK"/>
    <x v="6"/>
    <s v="PAPILION (ArkPapers)"/>
    <x v="0"/>
    <x v="3"/>
    <x v="4"/>
    <n v="14.3467"/>
    <n v="14.9893"/>
    <n v="7.9457000000000004"/>
    <n v="749.43960000000004"/>
    <n v="788.71510000000001"/>
    <n v="388.85250000000002"/>
    <n v="1.9143237160139388E-2"/>
    <n v="1.9004707783583704E-2"/>
    <n v="2.0433712011623945E-2"/>
    <n v="37.281700000000001"/>
    <n v="1927.0072"/>
    <n v="1.9527218985115679E-2"/>
  </r>
  <r>
    <s v="PAPILION BABY WET CHAMOMILE W 100 BAG"/>
    <x v="6"/>
    <s v="PAPILION (ArkPapers)"/>
    <x v="0"/>
    <x v="0"/>
    <x v="4"/>
    <n v="9.9741999999999997"/>
    <n v="17.767600000000002"/>
    <n v="9.7081"/>
    <n v="530.94489999999996"/>
    <n v="921.25450000000001"/>
    <n v="442.90179999999998"/>
    <n v="1.8785753474607252E-2"/>
    <n v="1.9286310134713047E-2"/>
    <n v="2.1919305814516898E-2"/>
    <n v="37.4499"/>
    <n v="1895.1012000000001"/>
    <n v="1.9997123141279067E-2"/>
  </r>
  <r>
    <s v="PAPILION BABY WET GREEN APPLE W 100 BAG"/>
    <x v="6"/>
    <s v="PAPILION (ArkPapers)"/>
    <x v="0"/>
    <x v="0"/>
    <x v="4"/>
    <n v="15.1808"/>
    <n v="9.7044999999999995"/>
    <n v="2.6509999999999998"/>
    <n v="814.55730000000005"/>
    <n v="531.53909999999996"/>
    <n v="144.98150000000001"/>
    <n v="1.8636871832098244E-2"/>
    <n v="1.825735867784703E-2"/>
    <n v="1.8285091546162785E-2"/>
    <n v="27.536300000000001"/>
    <n v="1491.0779"/>
    <n v="1.8393107352036021E-2"/>
  </r>
  <r>
    <s v="PAPILION BABYWET CHARM.LAVENDER W 100BAG"/>
    <x v="6"/>
    <s v="PAPILION (ArkPapers)"/>
    <x v="0"/>
    <x v="1"/>
    <x v="4"/>
    <n v="18.2471"/>
    <n v="19.903099999999998"/>
    <n v="8.7614000000000001"/>
    <n v="989.38980000000004"/>
    <n v="1044.1582000000001"/>
    <n v="387.44209999999998"/>
    <n v="1.8442781601346606E-2"/>
    <n v="1.9061383610261353E-2"/>
    <n v="2.2613443402252881E-2"/>
    <n v="46.9116"/>
    <n v="2420.9901"/>
    <n v="2.0039202871286948E-2"/>
  </r>
  <r>
    <s v="PAPILION BABYWET CHARMINGROSE W 100 BAG"/>
    <x v="6"/>
    <s v="PAPILION (ArkPapers)"/>
    <x v="0"/>
    <x v="1"/>
    <x v="4"/>
    <n v="13.7898"/>
    <n v="10.6778"/>
    <n v="5.2233000000000001"/>
    <n v="726.86360000000002"/>
    <n v="563.28449999999998"/>
    <n v="268.45999999999998"/>
    <n v="1.8971647500301295E-2"/>
    <n v="1.8956317810981841E-2"/>
    <n v="1.9456529836847203E-2"/>
    <n v="29.690899999999999"/>
    <n v="1558.6080999999999"/>
    <n v="1.9128165049376779E-2"/>
  </r>
  <r>
    <s v="PAPILION BABYWET GRAPEFRUIT&amp;LIME W 100BA"/>
    <x v="6"/>
    <s v="PAPILION (ArkPapers)"/>
    <x v="0"/>
    <x v="0"/>
    <x v="4"/>
    <n v="0"/>
    <n v="0"/>
    <n v="0"/>
    <n v="0"/>
    <n v="0"/>
    <n v="0"/>
    <n v="0"/>
    <n v="0"/>
    <n v="0"/>
    <n v="0"/>
    <n v="0"/>
    <n v="0"/>
  </r>
  <r>
    <s v="PAPILION JUMBO WET PH5.5 W 120 BAG KAPAK"/>
    <x v="6"/>
    <s v="PAPILION (ArkPapers)"/>
    <x v="0"/>
    <x v="1"/>
    <x v="5"/>
    <n v="29.590800000000002"/>
    <n v="20.845300000000002"/>
    <n v="11.449400000000001"/>
    <n v="1741.4848"/>
    <n v="1127.5655999999999"/>
    <n v="585.96109999999999"/>
    <n v="1.6991707306317001E-2"/>
    <n v="1.8486995346434835E-2"/>
    <n v="1.9539522333479137E-2"/>
    <n v="61.885500000000008"/>
    <n v="3455.0115000000001"/>
    <n v="1.8339408328743659E-2"/>
  </r>
  <r>
    <s v="PAPILION BABY WET SENSITIVE W 72 BAG"/>
    <x v="6"/>
    <s v="PAPILION (ArkPapers)"/>
    <x v="0"/>
    <x v="3"/>
    <x v="10"/>
    <n v="0.72840000000000005"/>
    <n v="0"/>
    <n v="0"/>
    <n v="51.0182"/>
    <n v="0"/>
    <n v="0"/>
    <n v="1.4277257919722766E-2"/>
    <n v="0"/>
    <n v="0"/>
    <n v="0.72840000000000005"/>
    <n v="51.0182"/>
    <n v="4.7590859732409225E-3"/>
  </r>
  <r>
    <s v="PAPILION YELLOW LILY W 90 BAG KAPAK"/>
    <x v="6"/>
    <s v="PAPILION (ArkPapers)"/>
    <x v="0"/>
    <x v="2"/>
    <x v="11"/>
    <n v="2.0455000000000001"/>
    <n v="0.30070000000000002"/>
    <n v="9.6000000000000002E-2"/>
    <n v="81.869600000000005"/>
    <n v="11.870100000000001"/>
    <n v="3.7711999999999999"/>
    <n v="2.4984853962887323E-2"/>
    <n v="2.5332558276678376E-2"/>
    <n v="2.5456088247772592E-2"/>
    <n v="2.4422000000000001"/>
    <n v="97.510899999999992"/>
    <n v="2.5257833495779428E-2"/>
  </r>
  <r>
    <s v="HONEY BEBISH WITH CREAM W 102 BAG KAPAK"/>
    <x v="7"/>
    <s v="HONEY BEBISH (Arkana PaperCraft)"/>
    <x v="0"/>
    <x v="0"/>
    <x v="12"/>
    <n v="0"/>
    <n v="0"/>
    <n v="0"/>
    <n v="0"/>
    <n v="0"/>
    <n v="0"/>
    <n v="0"/>
    <n v="0"/>
    <n v="0"/>
    <n v="0"/>
    <n v="0"/>
    <n v="0"/>
  </r>
  <r>
    <s v="PINE ALOE VERA KREMALI W 120 BAG KAPAK"/>
    <x v="7"/>
    <s v="PINE (Arkana PaperCraft)"/>
    <x v="0"/>
    <x v="0"/>
    <x v="5"/>
    <n v="1.0717000000000001"/>
    <n v="1.6845000000000001"/>
    <n v="0.2092"/>
    <n v="53.428199999999997"/>
    <n v="83.401399999999995"/>
    <n v="9.5612999999999992"/>
    <n v="2.0058695595210022E-2"/>
    <n v="2.0197502679811134E-2"/>
    <n v="2.1879869892169477E-2"/>
    <n v="2.9654000000000003"/>
    <n v="146.39089999999999"/>
    <n v="2.0712022722396875E-2"/>
  </r>
  <r>
    <s v="PINE ALOE VERA KREMALI W 72 BAG KAPAK"/>
    <x v="7"/>
    <s v="PINE (Arkana PaperCraft)"/>
    <x v="0"/>
    <x v="0"/>
    <x v="10"/>
    <n v="0.46760000000000002"/>
    <n v="0.37340000000000001"/>
    <n v="0.47289999999999999"/>
    <n v="17.929200000000002"/>
    <n v="13.441700000000001"/>
    <n v="18.149699999999999"/>
    <n v="2.60803605291926E-2"/>
    <n v="2.7779224354062357E-2"/>
    <n v="2.6055527088602017E-2"/>
    <n v="1.3138999999999998"/>
    <n v="49.520600000000002"/>
    <n v="2.6638370657285654E-2"/>
  </r>
  <r>
    <s v="TROMPY 20 BAG"/>
    <x v="8"/>
    <s v="TROMPY (Fragrantium S.A.)"/>
    <x v="0"/>
    <x v="0"/>
    <x v="0"/>
    <n v="4.4499999999999998E-2"/>
    <n v="6.2E-2"/>
    <n v="0"/>
    <n v="0.36759999999999998"/>
    <n v="0.48380000000000001"/>
    <n v="0"/>
    <n v="0.12105549510337323"/>
    <n v="0.1281521289789169"/>
    <n v="0"/>
    <n v="0.1065"/>
    <n v="0.85139999999999993"/>
    <n v="8.306920802743005E-2"/>
  </r>
  <r>
    <s v="HAPPY FRESH BABY CREAM W 72 BAG"/>
    <x v="9"/>
    <s v="HAPPY FRESH (ArsenicChem)"/>
    <x v="0"/>
    <x v="1"/>
    <x v="10"/>
    <n v="0"/>
    <n v="0"/>
    <n v="0"/>
    <n v="0"/>
    <n v="0"/>
    <n v="0"/>
    <n v="0"/>
    <n v="0"/>
    <n v="0"/>
    <n v="0"/>
    <n v="0"/>
    <n v="0"/>
  </r>
  <r>
    <s v="HAPPY FRESH BABY W 72 BAG KAPAK"/>
    <x v="9"/>
    <s v="HAPPY FRESH (ArsenicChem)"/>
    <x v="0"/>
    <x v="0"/>
    <x v="10"/>
    <n v="3.3401000000000001"/>
    <n v="5.1974"/>
    <n v="3.7094999999999998"/>
    <n v="168.65979999999999"/>
    <n v="278.62639999999999"/>
    <n v="222.0746"/>
    <n v="1.9803770667343377E-2"/>
    <n v="1.865365234593707E-2"/>
    <n v="1.670384636514036E-2"/>
    <n v="12.247"/>
    <n v="669.36080000000004"/>
    <n v="1.8387089792806937E-2"/>
  </r>
  <r>
    <s v="ULTRA COMPACT ANGELS ALC.FREE W 120 BAG"/>
    <x v="9"/>
    <s v="ULTRA COMPACT (ArsenicChem)"/>
    <x v="0"/>
    <x v="2"/>
    <x v="5"/>
    <n v="1.2582"/>
    <n v="4.4390999999999998"/>
    <n v="0.70909999999999995"/>
    <n v="67.526600000000002"/>
    <n v="226.15649999999999"/>
    <n v="33.759099999999997"/>
    <n v="1.8632657352806153E-2"/>
    <n v="1.9628443135616267E-2"/>
    <n v="2.1004706879034097E-2"/>
    <n v="6.4064000000000005"/>
    <n v="327.44219999999996"/>
    <n v="1.9755269122485503E-2"/>
  </r>
  <r>
    <s v="ULTRA COMPACT MOMO CREAMY W 120 BAG"/>
    <x v="9"/>
    <s v="ULTRA COMPACT (ArsenicChem)"/>
    <x v="0"/>
    <x v="2"/>
    <x v="5"/>
    <n v="4.5986000000000002"/>
    <n v="6.1303000000000001"/>
    <n v="2.8555999999999999"/>
    <n v="228.69929999999999"/>
    <n v="310.51369999999997"/>
    <n v="123.6022"/>
    <n v="2.0107626039957274E-2"/>
    <n v="1.9742446146498529E-2"/>
    <n v="2.3103148649457696E-2"/>
    <n v="13.584499999999998"/>
    <n v="662.8152"/>
    <n v="2.0984406945304498E-2"/>
  </r>
  <r>
    <s v="ULTRA COMPACT ANGELS ALC.FREE W 72 BAG"/>
    <x v="9"/>
    <s v="ULTRA COMPACT (ArsenicChem)"/>
    <x v="0"/>
    <x v="2"/>
    <x v="10"/>
    <n v="0.94640000000000002"/>
    <n v="1.6005"/>
    <n v="1.0179"/>
    <n v="54.868499999999997"/>
    <n v="87.027500000000003"/>
    <n v="38.080399999999997"/>
    <n v="1.7248512352260405E-2"/>
    <n v="1.8390738559650684E-2"/>
    <n v="2.6730286446570942E-2"/>
    <n v="3.5648"/>
    <n v="179.97640000000001"/>
    <n v="2.0789845786160676E-2"/>
  </r>
  <r>
    <s v="ULTRACOMPACT BABY PH5.5 ALC.FREE W 72 BA"/>
    <x v="9"/>
    <s v="ULTRA COMPACT (ArsenicChem)"/>
    <x v="0"/>
    <x v="1"/>
    <x v="10"/>
    <n v="1.8199000000000001"/>
    <n v="0.76910000000000001"/>
    <n v="0.73480000000000001"/>
    <n v="83.522300000000001"/>
    <n v="35.127499999999998"/>
    <n v="37.258200000000002"/>
    <n v="2.1789390378377991E-2"/>
    <n v="2.1894527079923138E-2"/>
    <n v="1.9721833046148229E-2"/>
    <n v="3.3237999999999999"/>
    <n v="155.90800000000002"/>
    <n v="2.1135250168149784E-2"/>
  </r>
  <r>
    <s v="KANZ NATURAL SENS.SKIN ALC.FREE W120 BAG"/>
    <x v="10"/>
    <s v="KANZ ( Creativa Worldwide)"/>
    <x v="0"/>
    <x v="2"/>
    <x v="5"/>
    <n v="0"/>
    <n v="10.5616"/>
    <n v="42.6479"/>
    <n v="0"/>
    <n v="483.39569999999998"/>
    <n v="1689.356"/>
    <n v="0"/>
    <n v="2.1848766962552627E-2"/>
    <n v="2.5245063799459677E-2"/>
    <n v="53.209499999999998"/>
    <n v="2172.7516999999998"/>
    <n v="1.5697943587337435E-2"/>
  </r>
  <r>
    <s v="KANZ EXTRA SOFT ALC.FREE W 50 BAG"/>
    <x v="10"/>
    <s v="KANZ ( Creativa Worldwide)"/>
    <x v="0"/>
    <x v="2"/>
    <x v="2"/>
    <n v="0"/>
    <n v="2.0855999999999999"/>
    <n v="2.5316000000000001"/>
    <n v="0"/>
    <n v="61.262700000000002"/>
    <n v="71.165300000000002"/>
    <n v="0"/>
    <n v="3.4043553418311626E-2"/>
    <n v="3.557351686847382E-2"/>
    <n v="4.6172000000000004"/>
    <n v="132.428"/>
    <n v="2.3205690095595147E-2"/>
  </r>
  <r>
    <s v="KANZ ULTRA SOFT ALC.FREE W 72 BAG"/>
    <x v="10"/>
    <s v="KANZ ( Creativa Worldwide)"/>
    <x v="0"/>
    <x v="2"/>
    <x v="10"/>
    <n v="0"/>
    <n v="0.54479999999999995"/>
    <n v="7.6315999999999997"/>
    <n v="0"/>
    <n v="20.880700000000001"/>
    <n v="330.70479999999998"/>
    <n v="0"/>
    <n v="2.6091079322053377E-2"/>
    <n v="2.3076774210716022E-2"/>
    <n v="8.1763999999999992"/>
    <n v="351.58549999999997"/>
    <n v="1.6389284510923131E-2"/>
  </r>
  <r>
    <s v="CHICCO SALVIETTINE SENSITIVE W 60 BAG"/>
    <x v="11"/>
    <s v="CHICCO (CultureSana)"/>
    <x v="0"/>
    <x v="3"/>
    <x v="13"/>
    <n v="0"/>
    <n v="1.5012000000000001"/>
    <n v="0.18310000000000001"/>
    <n v="0"/>
    <n v="36.194499999999998"/>
    <n v="4.9927999999999999"/>
    <n v="0"/>
    <n v="4.1475914848941142E-2"/>
    <n v="3.6672808844736421E-2"/>
    <n v="1.6843000000000001"/>
    <n v="41.1873"/>
    <n v="2.6049574564559187E-2"/>
  </r>
  <r>
    <s v="CHICCO SALVIETTINE PARABENI W 72 BAG"/>
    <x v="11"/>
    <s v="CHICCO (CultureSana)"/>
    <x v="0"/>
    <x v="2"/>
    <x v="10"/>
    <n v="3.1665000000000001"/>
    <n v="0.6875"/>
    <n v="0.27989999999999998"/>
    <n v="65.203199999999995"/>
    <n v="14.1759"/>
    <n v="5.1737000000000002"/>
    <n v="4.8563567432273268E-2"/>
    <n v="4.8497802608652711E-2"/>
    <n v="5.4100546997313329E-2"/>
    <n v="4.1338999999999997"/>
    <n v="84.552799999999991"/>
    <n v="5.0387305679413102E-2"/>
  </r>
  <r>
    <s v="UNI COMFORT LOTION P H5.5 72 BAG"/>
    <x v="12"/>
    <s v="UNI (Ataman Industries)"/>
    <x v="0"/>
    <x v="1"/>
    <x v="10"/>
    <n v="0"/>
    <n v="0"/>
    <n v="5.57E-2"/>
    <n v="0"/>
    <n v="0"/>
    <n v="1.7425999999999999"/>
    <n v="0"/>
    <n v="0"/>
    <n v="3.1963732353953861E-2"/>
    <n v="5.57E-2"/>
    <n v="1.7425999999999999"/>
    <n v="1.0654577451317954E-2"/>
  </r>
  <r>
    <s v="EVENT BABY CALENDULA 140 BAG KAPAK"/>
    <x v="13"/>
    <s v="EVENT (AxisOn Group)"/>
    <x v="0"/>
    <x v="1"/>
    <x v="14"/>
    <n v="209.29769999999999"/>
    <n v="236.50559999999999"/>
    <n v="198.2927"/>
    <n v="7336.5478999999996"/>
    <n v="8103.1085000000003"/>
    <n v="7048.5825999999997"/>
    <n v="2.8528090166221091E-2"/>
    <n v="2.9187021252399616E-2"/>
    <n v="2.8132280098412978E-2"/>
    <n v="644.096"/>
    <n v="22488.239000000001"/>
    <n v="2.8615797172344564E-2"/>
  </r>
  <r>
    <s v="EVENT BABY CALENDULA 140 BAG KAPAK+WIP"/>
    <x v="13"/>
    <s v="EVENT (AxisOn Group)"/>
    <x v="0"/>
    <x v="1"/>
    <x v="14"/>
    <n v="2.7799999999999998E-2"/>
    <n v="4.5999999999999999E-3"/>
    <n v="0"/>
    <n v="1.2"/>
    <n v="0.2"/>
    <n v="0"/>
    <n v="2.3166666666666665E-2"/>
    <n v="2.3E-2"/>
    <n v="0"/>
    <n v="3.2399999999999998E-2"/>
    <n v="1.4"/>
    <n v="1.5388888888888888E-2"/>
  </r>
  <r>
    <s v="EVENT BABY MOIST.CHAMOMILE 20 W BAG"/>
    <x v="13"/>
    <s v="EVENT (AxisOn Group)"/>
    <x v="0"/>
    <x v="1"/>
    <x v="0"/>
    <n v="27.777100000000001"/>
    <n v="19.717700000000001"/>
    <n v="14.4848"/>
    <n v="429.91730000000001"/>
    <n v="309.96710000000002"/>
    <n v="229.3313"/>
    <n v="6.4610333196640377E-2"/>
    <n v="6.3612234975905513E-2"/>
    <n v="6.3161025119554112E-2"/>
    <n v="61.979599999999998"/>
    <n v="969.21569999999997"/>
    <n v="6.3794531097366672E-2"/>
  </r>
  <r>
    <s v="EVENT BABY SENSIT. ALOE VERA 20 BAG"/>
    <x v="13"/>
    <s v="EVENT (AxisOn Group)"/>
    <x v="0"/>
    <x v="3"/>
    <x v="0"/>
    <n v="40.515599999999999"/>
    <n v="34.999099999999999"/>
    <n v="5.7746000000000004"/>
    <n v="630.63189999999997"/>
    <n v="558.36739999999998"/>
    <n v="90.998999999999995"/>
    <n v="6.424603639619246E-2"/>
    <n v="6.2681130739366236E-2"/>
    <n v="6.3457840196046111E-2"/>
    <n v="81.289300000000011"/>
    <n v="1279.9983"/>
    <n v="6.3461669110534927E-2"/>
  </r>
  <r>
    <s v="EVENT BABY CALENDULA W 25 BAG"/>
    <x v="13"/>
    <s v="EVENT (AxisOn Group)"/>
    <x v="0"/>
    <x v="1"/>
    <x v="15"/>
    <n v="61.397500000000001"/>
    <n v="45.295999999999999"/>
    <n v="19.337599999999998"/>
    <n v="1027.2618"/>
    <n v="758.06629999999996"/>
    <n v="328.18349999999998"/>
    <n v="5.9768113639580484E-2"/>
    <n v="5.9752029604798425E-2"/>
    <n v="5.8923132942393507E-2"/>
    <n v="126.0311"/>
    <n v="2113.5115999999998"/>
    <n v="5.9481092062257469E-2"/>
  </r>
  <r>
    <s v="EVENT BABY CALENDULA W 25 BAG+WIP 140"/>
    <x v="13"/>
    <s v="EVENT (AxisOn Group)"/>
    <x v="0"/>
    <x v="1"/>
    <x v="15"/>
    <n v="1.03E-2"/>
    <n v="1.6999999999999999E-3"/>
    <n v="0"/>
    <n v="0.21429999999999999"/>
    <n v="3.5700000000000003E-2"/>
    <n v="0"/>
    <n v="4.806346243583761E-2"/>
    <n v="4.7619047619047616E-2"/>
    <n v="0"/>
    <n v="1.2E-2"/>
    <n v="0.25"/>
    <n v="3.189417001829508E-2"/>
  </r>
  <r>
    <s v="EVENT BABY CALENDULA HYPOALL.W 30 BAG"/>
    <x v="13"/>
    <s v="EVENT (AxisOn Group)"/>
    <x v="0"/>
    <x v="4"/>
    <x v="16"/>
    <n v="0"/>
    <n v="0"/>
    <n v="8.3928999999999991"/>
    <n v="0"/>
    <n v="0"/>
    <n v="185.37119999999999"/>
    <n v="0"/>
    <n v="0"/>
    <n v="4.5276180981727469E-2"/>
    <n v="8.3928999999999991"/>
    <n v="185.37119999999999"/>
    <n v="1.5092060327242489E-2"/>
  </r>
  <r>
    <s v="EVENT BABY HYPOAL.CALENDULA 64 W BAG"/>
    <x v="13"/>
    <s v="EVENT (AxisOn Group)"/>
    <x v="0"/>
    <x v="4"/>
    <x v="9"/>
    <n v="11.2281"/>
    <n v="7.5716999999999999"/>
    <n v="1.9255"/>
    <n v="325.11810000000003"/>
    <n v="236.1233"/>
    <n v="61.869799999999998"/>
    <n v="3.4535450348657917E-2"/>
    <n v="3.2066721073269772E-2"/>
    <n v="3.1121807408460996E-2"/>
    <n v="20.725299999999997"/>
    <n v="623.11120000000005"/>
    <n v="3.2574659610129564E-2"/>
  </r>
  <r>
    <s v="EVENT BABY HYPOALL.CHAMOMILE 72 W BAG"/>
    <x v="13"/>
    <s v="EVENT (AxisOn Group)"/>
    <x v="0"/>
    <x v="4"/>
    <x v="10"/>
    <n v="56.268599999999999"/>
    <n v="22.377800000000001"/>
    <n v="12.435499999999999"/>
    <n v="1799.2518"/>
    <n v="721.99059999999997"/>
    <n v="385.45190000000002"/>
    <n v="3.1273332615257075E-2"/>
    <n v="3.0994586356110455E-2"/>
    <n v="3.2262131799064939E-2"/>
    <n v="91.081900000000005"/>
    <n v="2906.6943000000001"/>
    <n v="3.1510016923477491E-2"/>
  </r>
  <r>
    <s v="EVENT BABY MOIST.CHAMOMILE 72 W BAG"/>
    <x v="13"/>
    <s v="EVENT (AxisOn Group)"/>
    <x v="0"/>
    <x v="0"/>
    <x v="10"/>
    <n v="0.64159999999999995"/>
    <n v="0.34470000000000001"/>
    <n v="0"/>
    <n v="14.463900000000001"/>
    <n v="7.3648999999999996"/>
    <n v="0"/>
    <n v="4.4358713763231208E-2"/>
    <n v="4.6803079471547479E-2"/>
    <n v="0"/>
    <n v="0.98629999999999995"/>
    <n v="21.828800000000001"/>
    <n v="3.0387264411592896E-2"/>
  </r>
  <r>
    <s v="EVENT BABY SENSIT. ALOE VERA 72 W BAG"/>
    <x v="13"/>
    <s v="EVENT (AxisOn Group)"/>
    <x v="0"/>
    <x v="3"/>
    <x v="10"/>
    <n v="64.480099999999993"/>
    <n v="81.182500000000005"/>
    <n v="15.496600000000001"/>
    <n v="2159.5493999999999"/>
    <n v="2486.1275000000001"/>
    <n v="493.73469999999998"/>
    <n v="2.985812688517336E-2"/>
    <n v="3.2654198145509433E-2"/>
    <n v="3.1386491571283121E-2"/>
    <n v="161.1592"/>
    <n v="5139.4116000000004"/>
    <n v="3.1299605533988639E-2"/>
  </r>
  <r>
    <s v="TEX BABY PH5.5 ALC.FREE W 100 BAG PURPLE"/>
    <x v="14"/>
    <s v="TEX (PureAim Cleaners)"/>
    <x v="0"/>
    <x v="1"/>
    <x v="4"/>
    <n v="0"/>
    <n v="0"/>
    <n v="0.24490000000000001"/>
    <n v="0"/>
    <n v="0"/>
    <n v="9.7979000000000003"/>
    <n v="0"/>
    <n v="0"/>
    <n v="2.4995152022372142E-2"/>
    <n v="0.24490000000000001"/>
    <n v="9.7979000000000003"/>
    <n v="8.331717340790714E-3"/>
  </r>
  <r>
    <s v="TEX BABY PH5.5 ALC.FREE W 100 BAG YELLOW"/>
    <x v="14"/>
    <s v="TEX (PureAim Cleaners)"/>
    <x v="0"/>
    <x v="1"/>
    <x v="4"/>
    <n v="0.22359999999999999"/>
    <n v="1.0136000000000001"/>
    <n v="0.81230000000000002"/>
    <n v="12.2155"/>
    <n v="49.151600000000002"/>
    <n v="34.919499999999999"/>
    <n v="1.8304612991690884E-2"/>
    <n v="2.0621912613221136E-2"/>
    <n v="2.3262074199229658E-2"/>
    <n v="2.0495000000000001"/>
    <n v="96.286599999999993"/>
    <n v="2.0729533268047228E-2"/>
  </r>
  <r>
    <s v="NIVEA BABY SOFT&amp;CREME 20 BAG"/>
    <x v="15"/>
    <s v="NIVEA (AlpineMeadow)"/>
    <x v="0"/>
    <x v="0"/>
    <x v="0"/>
    <n v="15.0191"/>
    <n v="17.616800000000001"/>
    <n v="13.700200000000001"/>
    <n v="121.4559"/>
    <n v="162.24"/>
    <n v="126.0534"/>
    <n v="0.12365887536134515"/>
    <n v="0.10858481262327416"/>
    <n v="0.10868568400376349"/>
    <n v="46.336100000000002"/>
    <n v="409.74930000000001"/>
    <n v="0.1136431239961276"/>
  </r>
  <r>
    <s v="NIVEA BABY TODDIES 2IN1 60 BAG"/>
    <x v="15"/>
    <s v="NIVEA (AlpineMeadow)"/>
    <x v="0"/>
    <x v="0"/>
    <x v="13"/>
    <n v="19.776399999999999"/>
    <n v="13.798299999999999"/>
    <n v="7.5656999999999996"/>
    <n v="281.97280000000001"/>
    <n v="222.7071"/>
    <n v="118.9547"/>
    <n v="7.0135842889810646E-2"/>
    <n v="6.1957162569132279E-2"/>
    <n v="6.3601522260154489E-2"/>
    <n v="41.1404"/>
    <n v="623.63459999999998"/>
    <n v="6.5231509239699129E-2"/>
  </r>
  <r>
    <s v="NIVEA BABY FRESH&amp;PURE 63 BAG"/>
    <x v="15"/>
    <s v="NIVEA (AlpineMeadow)"/>
    <x v="0"/>
    <x v="0"/>
    <x v="17"/>
    <n v="41.314100000000003"/>
    <n v="32.422600000000003"/>
    <n v="18.6829"/>
    <n v="549.64080000000001"/>
    <n v="416.84789999999998"/>
    <n v="241.38910000000001"/>
    <n v="7.5165635447732415E-2"/>
    <n v="7.7780408633460793E-2"/>
    <n v="7.739744669498333E-2"/>
    <n v="92.419600000000017"/>
    <n v="1207.8778"/>
    <n v="7.6781163592058846E-2"/>
  </r>
  <r>
    <s v="NIVEA BABY PURE&amp;SENSITIVE 63 W BAG"/>
    <x v="15"/>
    <s v="NIVEA (AlpineMeadow)"/>
    <x v="0"/>
    <x v="2"/>
    <x v="17"/>
    <n v="10.5054"/>
    <n v="0.496"/>
    <n v="0"/>
    <n v="168.06010000000001"/>
    <n v="9.3780000000000001"/>
    <n v="0"/>
    <n v="6.2509780727251732E-2"/>
    <n v="5.2889741949242911E-2"/>
    <n v="0"/>
    <n v="11.0014"/>
    <n v="177.43810000000002"/>
    <n v="3.8466507558831547E-2"/>
  </r>
  <r>
    <s v="NIVEA BABY SOFT&amp;CREME 63 BAG"/>
    <x v="15"/>
    <s v="NIVEA (AlpineMeadow)"/>
    <x v="0"/>
    <x v="0"/>
    <x v="17"/>
    <n v="26.694099999999999"/>
    <n v="16.9801"/>
    <n v="8.3484999999999996"/>
    <n v="362.30340000000001"/>
    <n v="234.6001"/>
    <n v="111.9991"/>
    <n v="7.3678855898122952E-2"/>
    <n v="7.2378912029449266E-2"/>
    <n v="7.4540777559819679E-2"/>
    <n v="52.0227"/>
    <n v="708.90260000000001"/>
    <n v="7.353284849579729E-2"/>
  </r>
  <r>
    <s v="SMILE ALOE&amp;CAMOMILE PH5.5 60 BAG"/>
    <x v="16"/>
    <s v="SMILE (BIOSPHERE CORP.)"/>
    <x v="0"/>
    <x v="1"/>
    <x v="13"/>
    <n v="0.52039999999999997"/>
    <n v="1.6072"/>
    <n v="0.16420000000000001"/>
    <n v="10.5198"/>
    <n v="34.4998"/>
    <n v="3.1461000000000001"/>
    <n v="4.9468621076446319E-2"/>
    <n v="4.6585777308853965E-2"/>
    <n v="5.219160230126188E-2"/>
    <n v="2.2918000000000003"/>
    <n v="48.165699999999994"/>
    <n v="4.9415333562187386E-2"/>
  </r>
  <r>
    <s v="SOFTLINE FRESHERCREAMVITE PH5.5 W 120BAG"/>
    <x v="17"/>
    <s v="SOFTLINE (BurdenCo)"/>
    <x v="0"/>
    <x v="1"/>
    <x v="5"/>
    <n v="0"/>
    <n v="0"/>
    <n v="0"/>
    <n v="0"/>
    <n v="0"/>
    <n v="0"/>
    <n v="0"/>
    <n v="0"/>
    <n v="0"/>
    <n v="0"/>
    <n v="0"/>
    <n v="0"/>
  </r>
  <r>
    <s v="BABYCARE WITHCREAM W 80/8FREE BAG KAPAK"/>
    <x v="18"/>
    <s v="BABY CARE (TradeKing Cengiz)"/>
    <x v="0"/>
    <x v="1"/>
    <x v="10"/>
    <n v="0"/>
    <n v="3.7900000000000003E-2"/>
    <n v="6.93E-2"/>
    <n v="0"/>
    <n v="2.3294000000000001"/>
    <n v="4.2670000000000003"/>
    <n v="0"/>
    <n v="1.6270284193354512E-2"/>
    <n v="1.6240918678228262E-2"/>
    <n v="0.1072"/>
    <n v="6.5964000000000009"/>
    <n v="1.0837067623860925E-2"/>
  </r>
  <r>
    <s v="ClearSight BABY ALOE VERA PH5.5 W 25 BAG"/>
    <x v="19"/>
    <s v="ClearSight (ClearSight)"/>
    <x v="0"/>
    <x v="1"/>
    <x v="15"/>
    <n v="0"/>
    <n v="8.6E-3"/>
    <n v="13.3878"/>
    <n v="0"/>
    <n v="0.19639999999999999"/>
    <n v="341.02409999999998"/>
    <n v="0"/>
    <n v="4.3788187372708759E-2"/>
    <n v="3.9257636043904233E-2"/>
    <n v="13.3964"/>
    <n v="341.22049999999996"/>
    <n v="2.7681941138870996E-2"/>
  </r>
  <r>
    <s v="ClearSight BABY CALENDULA PH5.5 W 25 BAG"/>
    <x v="19"/>
    <s v="ClearSight (ClearSight)"/>
    <x v="0"/>
    <x v="1"/>
    <x v="15"/>
    <n v="0"/>
    <n v="4.8898999999999999"/>
    <n v="10.664400000000001"/>
    <n v="0"/>
    <n v="145.9169"/>
    <n v="284.60649999999998"/>
    <n v="0"/>
    <n v="3.3511539787372126E-2"/>
    <n v="3.7470683206462262E-2"/>
    <n v="15.554300000000001"/>
    <n v="430.52339999999998"/>
    <n v="2.3660740997944796E-2"/>
  </r>
  <r>
    <s v="ClearSight BABY CHAMOMILE PH5.5 W 25 BAG"/>
    <x v="19"/>
    <s v="ClearSight (ClearSight)"/>
    <x v="0"/>
    <x v="1"/>
    <x v="15"/>
    <n v="0"/>
    <n v="5.8544999999999998"/>
    <n v="9.0564"/>
    <n v="0"/>
    <n v="166.38579999999999"/>
    <n v="238.54349999999999"/>
    <n v="0"/>
    <n v="3.5186295945928078E-2"/>
    <n v="3.7965402536644259E-2"/>
    <n v="14.9109"/>
    <n v="404.92930000000001"/>
    <n v="2.4383899494190776E-2"/>
  </r>
  <r>
    <s v="ClearSight BABY CHAMOMILE PH5.5 W 66 BAG"/>
    <x v="19"/>
    <s v="ClearSight (ClearSight)"/>
    <x v="0"/>
    <x v="1"/>
    <x v="18"/>
    <n v="0"/>
    <n v="0"/>
    <n v="0.9879"/>
    <n v="0"/>
    <n v="0"/>
    <n v="34.929000000000002"/>
    <n v="0"/>
    <n v="0"/>
    <n v="2.8283088551060723E-2"/>
    <n v="0.9879"/>
    <n v="34.929000000000002"/>
    <n v="9.427696183686907E-3"/>
  </r>
  <r>
    <s v="ClearSight BABY ALOE VERA PH5.5 W 80 BAG"/>
    <x v="19"/>
    <s v="ClearSight (ClearSight)"/>
    <x v="0"/>
    <x v="1"/>
    <x v="3"/>
    <n v="15.267200000000001"/>
    <n v="16.318300000000001"/>
    <n v="16.784099999999999"/>
    <n v="431.15870000000001"/>
    <n v="473.67329999999998"/>
    <n v="505.80540000000002"/>
    <n v="3.5409699491161843E-2"/>
    <n v="3.4450537955168684E-2"/>
    <n v="3.3182919755305101E-2"/>
    <n v="48.369600000000005"/>
    <n v="1410.6374000000001"/>
    <n v="3.4347719067211874E-2"/>
  </r>
  <r>
    <s v="ClearSight BABY CALENDULA PH5.5 W 80 BAG"/>
    <x v="19"/>
    <s v="ClearSight (ClearSight)"/>
    <x v="0"/>
    <x v="1"/>
    <x v="3"/>
    <n v="9.5295000000000005"/>
    <n v="13.395300000000001"/>
    <n v="18.126999999999999"/>
    <n v="274.45499999999998"/>
    <n v="396.72109999999998"/>
    <n v="559.59109999999998"/>
    <n v="3.472153905011751E-2"/>
    <n v="3.376503039540877E-2"/>
    <n v="3.2393295747555673E-2"/>
    <n v="41.0518"/>
    <n v="1230.7671999999998"/>
    <n v="3.3626621731027317E-2"/>
  </r>
  <r>
    <s v="ClearSight BABY CHAMOMILE PH5.5 W 80 BAG"/>
    <x v="19"/>
    <s v="ClearSight (ClearSight)"/>
    <x v="0"/>
    <x v="1"/>
    <x v="3"/>
    <n v="11.2293"/>
    <n v="14.7631"/>
    <n v="16.131900000000002"/>
    <n v="318.93810000000002"/>
    <n v="440.8152"/>
    <n v="474.58569999999997"/>
    <n v="3.5208399372793651E-2"/>
    <n v="3.349045132744969E-2"/>
    <n v="3.3991542518032047E-2"/>
    <n v="42.124300000000005"/>
    <n v="1234.3389999999999"/>
    <n v="3.4230131072758463E-2"/>
  </r>
  <r>
    <s v="OKIDOKI  FreshClean CAMOMILLA 60 BAG"/>
    <x v="20"/>
    <s v="OKIDOKI (CodeInt B.V.)"/>
    <x v="0"/>
    <x v="0"/>
    <x v="13"/>
    <n v="1.03E-2"/>
    <n v="0"/>
    <n v="0"/>
    <n v="0.3876"/>
    <n v="0"/>
    <n v="0"/>
    <n v="2.6573787409700723E-2"/>
    <n v="0"/>
    <n v="0"/>
    <n v="1.03E-2"/>
    <n v="0.3876"/>
    <n v="8.8579291365669076E-3"/>
  </r>
  <r>
    <s v="BABY WISH VITE&amp;PROVITAMINB5 W 120 BAG"/>
    <x v="21"/>
    <s v="BABY WISH (ChillClean)"/>
    <x v="0"/>
    <x v="0"/>
    <x v="5"/>
    <n v="0"/>
    <n v="1.8077000000000001"/>
    <n v="54.250700000000002"/>
    <n v="0"/>
    <n v="127.6024"/>
    <n v="2956.24"/>
    <n v="0"/>
    <n v="1.4166661442104538E-2"/>
    <n v="1.8351250236787273E-2"/>
    <n v="56.058399999999999"/>
    <n v="3083.8424"/>
    <n v="1.0839303892963939E-2"/>
  </r>
  <r>
    <s v="COSMI BABY ARGAN W 20 BAG"/>
    <x v="22"/>
    <s v="COSMI"/>
    <x v="0"/>
    <x v="0"/>
    <x v="0"/>
    <n v="0"/>
    <n v="0.1202"/>
    <n v="0"/>
    <n v="0"/>
    <n v="2.4085999999999999"/>
    <n v="0"/>
    <n v="0"/>
    <n v="4.9904508843311469E-2"/>
    <n v="0"/>
    <n v="0.1202"/>
    <n v="2.4085999999999999"/>
    <n v="1.6634836281103824E-2"/>
  </r>
  <r>
    <s v="AQUELLA BABY AMUR WITH CREAM W 120 BAG"/>
    <x v="23"/>
    <s v="AQUELLA ( CottonUnion)"/>
    <x v="0"/>
    <x v="1"/>
    <x v="5"/>
    <n v="28.356999999999999"/>
    <n v="20.580200000000001"/>
    <n v="0.78890000000000005"/>
    <n v="1646.7402"/>
    <n v="1088.8000999999999"/>
    <n v="38.968699999999998"/>
    <n v="1.722008122471292E-2"/>
    <n v="1.8901724935550614E-2"/>
    <n v="2.0244452599137257E-2"/>
    <n v="49.726100000000002"/>
    <n v="2774.5089999999996"/>
    <n v="1.8788752919800263E-2"/>
  </r>
  <r>
    <s v="AQUELLA BABY ULTRA SOFT CREAM W 120 BAG"/>
    <x v="23"/>
    <s v="AQUELLA ( CottonUnion)"/>
    <x v="0"/>
    <x v="2"/>
    <x v="5"/>
    <n v="12.003299999999999"/>
    <n v="12.0252"/>
    <n v="1.8045"/>
    <n v="643.41989999999998"/>
    <n v="689.18370000000004"/>
    <n v="98.837400000000002"/>
    <n v="1.8655469002435268E-2"/>
    <n v="1.7448468383683479E-2"/>
    <n v="1.825725889187696E-2"/>
    <n v="25.833000000000002"/>
    <n v="1431.4409999999998"/>
    <n v="1.8120398759331902E-2"/>
  </r>
  <r>
    <s v="AQUELLA TROPIC ALC.FREE W 120 BAG"/>
    <x v="23"/>
    <s v="AQUELLA ( CottonUnion)"/>
    <x v="0"/>
    <x v="2"/>
    <x v="5"/>
    <n v="0.11600000000000001"/>
    <n v="0"/>
    <n v="0"/>
    <n v="6.96"/>
    <n v="0"/>
    <n v="0"/>
    <n v="1.6666666666666666E-2"/>
    <n v="0"/>
    <n v="0"/>
    <n v="0.11600000000000001"/>
    <n v="6.96"/>
    <n v="5.5555555555555558E-3"/>
  </r>
  <r>
    <s v="AQUELLA KIDS BABY ALOEVERA&amp;CREAM W 60BAG"/>
    <x v="23"/>
    <s v="AQUELLA ( CottonUnion)"/>
    <x v="0"/>
    <x v="1"/>
    <x v="13"/>
    <n v="4.6429999999999998"/>
    <n v="2.3708"/>
    <n v="3.8805999999999998"/>
    <n v="208.76240000000001"/>
    <n v="99.124899999999997"/>
    <n v="163.75460000000001"/>
    <n v="2.2240595049683273E-2"/>
    <n v="2.3917300294880501E-2"/>
    <n v="2.3697654905572116E-2"/>
    <n v="10.894399999999999"/>
    <n v="471.64189999999996"/>
    <n v="2.3285183416711961E-2"/>
  </r>
  <r>
    <s v="AQUELLA BABY VIT E&amp;PRO B5 W 72 BAG"/>
    <x v="23"/>
    <s v="AQUELLA ( CottonUnion)"/>
    <x v="0"/>
    <x v="2"/>
    <x v="10"/>
    <n v="8.5853000000000002"/>
    <n v="4.2140000000000004"/>
    <n v="0.26250000000000001"/>
    <n v="402.53930000000003"/>
    <n v="207.43709999999999"/>
    <n v="13.0296"/>
    <n v="2.1327855441692276E-2"/>
    <n v="2.0314591748534859E-2"/>
    <n v="2.0146435807699394E-2"/>
    <n v="13.0618"/>
    <n v="623.00599999999997"/>
    <n v="2.0596294332642179E-2"/>
  </r>
  <r>
    <s v="AQUELLA KIDS BABY PH5.5 W 72 BAG"/>
    <x v="23"/>
    <s v="AQUELLA ( CottonUnion)"/>
    <x v="0"/>
    <x v="1"/>
    <x v="10"/>
    <n v="0.83140000000000003"/>
    <n v="1.5299999999999999E-2"/>
    <n v="0"/>
    <n v="39.196399999999997"/>
    <n v="0.64800000000000002"/>
    <n v="0"/>
    <n v="2.1211131634537868E-2"/>
    <n v="2.361111111111111E-2"/>
    <n v="0"/>
    <n v="0.84670000000000001"/>
    <n v="39.8444"/>
    <n v="1.4940747581882992E-2"/>
  </r>
  <r>
    <s v="AQUELLA BABY VIT E&amp;PRO B5 W 90 BAG KAPAK"/>
    <x v="23"/>
    <s v="AQUELLA ( CottonUnion)"/>
    <x v="0"/>
    <x v="1"/>
    <x v="11"/>
    <n v="2.9493999999999998"/>
    <n v="0.27079999999999999"/>
    <n v="0"/>
    <n v="169.64840000000001"/>
    <n v="12.904400000000001"/>
    <n v="0"/>
    <n v="1.7385368798055269E-2"/>
    <n v="2.0985090356777533E-2"/>
    <n v="0"/>
    <n v="3.2201999999999997"/>
    <n v="182.55280000000002"/>
    <n v="1.2790153051610935E-2"/>
  </r>
  <r>
    <s v="AURA ULTRA COMF. COTTON HYPOALL. W 100 B"/>
    <x v="23"/>
    <s v="AURA ( CottonUnion)"/>
    <x v="0"/>
    <x v="4"/>
    <x v="4"/>
    <n v="4.0140000000000002"/>
    <n v="0"/>
    <n v="0"/>
    <n v="230.286"/>
    <n v="0"/>
    <n v="0"/>
    <n v="1.7430499465881558E-2"/>
    <n v="0"/>
    <n v="0"/>
    <n v="4.0140000000000002"/>
    <n v="230.286"/>
    <n v="5.8101664886271859E-3"/>
  </r>
  <r>
    <s v="AURA ULTRA COMFORT COTTON W 63 BAG"/>
    <x v="23"/>
    <s v="AURA ( CottonUnion)"/>
    <x v="0"/>
    <x v="0"/>
    <x v="17"/>
    <n v="4.0500000000000001E-2"/>
    <n v="0"/>
    <n v="0"/>
    <n v="2.8330000000000002"/>
    <n v="0"/>
    <n v="0"/>
    <n v="1.4295799505824214E-2"/>
    <n v="0"/>
    <n v="0"/>
    <n v="4.0500000000000001E-2"/>
    <n v="2.8330000000000002"/>
    <n v="4.7652665019414049E-3"/>
  </r>
  <r>
    <s v="COTTON BABY UL.SOFT CREAM ALC.FREE W 120"/>
    <x v="23"/>
    <s v="COTTON BABY ( CottonUnion)"/>
    <x v="0"/>
    <x v="2"/>
    <x v="5"/>
    <n v="0.76770000000000005"/>
    <n v="0"/>
    <n v="0"/>
    <n v="46.441400000000002"/>
    <n v="0"/>
    <n v="0"/>
    <n v="1.6530509416167471E-2"/>
    <n v="0"/>
    <n v="0"/>
    <n v="0.76770000000000005"/>
    <n v="46.441400000000002"/>
    <n v="5.5101698053891569E-3"/>
  </r>
  <r>
    <s v="COTTON BABY PH5.5 AL.FREE W 90 BAG KAPAK"/>
    <x v="23"/>
    <s v="COTTON BABY ( CottonUnion)"/>
    <x v="0"/>
    <x v="1"/>
    <x v="11"/>
    <n v="0.86809999999999998"/>
    <n v="0"/>
    <n v="0"/>
    <n v="43.337600000000002"/>
    <n v="0"/>
    <n v="0"/>
    <n v="2.0031104629697996E-2"/>
    <n v="0"/>
    <n v="0"/>
    <n v="0.86809999999999998"/>
    <n v="43.337600000000002"/>
    <n v="6.6770348765659987E-3"/>
  </r>
  <r>
    <s v="MIMI NICE BABY PH5.5 W 15 BAG"/>
    <x v="23"/>
    <s v="MIMI ( CottonUnion)"/>
    <x v="0"/>
    <x v="1"/>
    <x v="6"/>
    <n v="9.5548999999999999"/>
    <n v="16.797000000000001"/>
    <n v="14.8012"/>
    <n v="338.9522"/>
    <n v="643.8528"/>
    <n v="454.05590000000001"/>
    <n v="2.8189520528263276E-2"/>
    <n v="2.6088261167770025E-2"/>
    <n v="3.259774842701086E-2"/>
    <n v="41.153100000000002"/>
    <n v="1436.8609000000001"/>
    <n v="2.8958510041014723E-2"/>
  </r>
  <r>
    <s v="MY COMFORT BABY ANGEL PH5.5 W 120 BAG"/>
    <x v="23"/>
    <s v="MY COMFORT ( CottonUnion)"/>
    <x v="0"/>
    <x v="1"/>
    <x v="5"/>
    <n v="21.0763"/>
    <n v="7.9172000000000002"/>
    <n v="0.35720000000000002"/>
    <n v="1178.5386000000001"/>
    <n v="421.82799999999997"/>
    <n v="19.481100000000001"/>
    <n v="1.7883419346638285E-2"/>
    <n v="1.8768787278227145E-2"/>
    <n v="1.8335720262202853E-2"/>
    <n v="29.3507"/>
    <n v="1619.8477"/>
    <n v="1.8329308962356097E-2"/>
  </r>
  <r>
    <s v="MY COMFORT BABY ARGAN ALK.FREE W 120 BAG"/>
    <x v="23"/>
    <s v="MY COMFORT ( CottonUnion)"/>
    <x v="0"/>
    <x v="2"/>
    <x v="5"/>
    <n v="59.8855"/>
    <n v="18.673500000000001"/>
    <n v="4.4382000000000001"/>
    <n v="3588.4739"/>
    <n v="1054.2443000000001"/>
    <n v="241.28020000000001"/>
    <n v="1.6688291922647119E-2"/>
    <n v="1.7712687656931129E-2"/>
    <n v="1.8394381304392155E-2"/>
    <n v="82.997199999999992"/>
    <n v="4883.9984000000004"/>
    <n v="1.7598453627990132E-2"/>
  </r>
  <r>
    <s v="NICEBABY PROVITB5&amp;VITE PH5.5 W 120 BAG"/>
    <x v="23"/>
    <s v="NICE BABY ( CottonUnion)"/>
    <x v="0"/>
    <x v="1"/>
    <x v="5"/>
    <n v="37.596899999999998"/>
    <n v="28.031099999999999"/>
    <n v="1.2394000000000001"/>
    <n v="2231.0284000000001"/>
    <n v="1606.1090999999999"/>
    <n v="64.665899999999993"/>
    <n v="1.6851824925222823E-2"/>
    <n v="1.7452799439340704E-2"/>
    <n v="1.9166206609665993E-2"/>
    <n v="66.867400000000004"/>
    <n v="3901.8033999999998"/>
    <n v="1.782361032474317E-2"/>
  </r>
  <r>
    <s v="WINEX BABY PH5.5 W 72 BAG"/>
    <x v="23"/>
    <s v="WINEX ( CottonUnion)"/>
    <x v="0"/>
    <x v="1"/>
    <x v="10"/>
    <n v="4.1798000000000002"/>
    <n v="0"/>
    <n v="0"/>
    <n v="212.80930000000001"/>
    <n v="0"/>
    <n v="0"/>
    <n v="1.964105891988743E-2"/>
    <n v="0"/>
    <n v="0"/>
    <n v="4.1798000000000002"/>
    <n v="212.80930000000001"/>
    <n v="6.5470196399624765E-3"/>
  </r>
  <r>
    <s v="WINEX BABY PROVITB5&amp;VIT.F PH5.5 W 72 BAG"/>
    <x v="23"/>
    <s v="WINEX ( CottonUnion)"/>
    <x v="0"/>
    <x v="1"/>
    <x v="10"/>
    <n v="16.9573"/>
    <n v="8.0383999999999993"/>
    <n v="4.7045000000000003"/>
    <n v="973.13670000000002"/>
    <n v="460.75880000000001"/>
    <n v="246.6643"/>
    <n v="1.7425403851278037E-2"/>
    <n v="1.7446004286841617E-2"/>
    <n v="1.9072480290013596E-2"/>
    <n v="29.700199999999999"/>
    <n v="1680.5598"/>
    <n v="1.7981296142711083E-2"/>
  </r>
  <r>
    <s v="FOMEX PH5.5 ALC.FREE W 72 BAG KAPAK"/>
    <x v="24"/>
    <s v="FOMEX (EastChem)"/>
    <x v="0"/>
    <x v="1"/>
    <x v="10"/>
    <n v="0"/>
    <n v="0"/>
    <n v="0"/>
    <n v="0"/>
    <n v="0"/>
    <n v="0"/>
    <n v="0"/>
    <n v="0"/>
    <n v="0"/>
    <n v="0"/>
    <n v="0"/>
    <n v="0"/>
  </r>
  <r>
    <s v="PADDLERS SOFT&amp;CREAM PROVITB5&amp;VITE W 120"/>
    <x v="25"/>
    <s v="PADDLERS (ENKA HIJYUEN)"/>
    <x v="0"/>
    <x v="2"/>
    <x v="5"/>
    <n v="8.9794"/>
    <n v="0"/>
    <n v="0"/>
    <n v="618.46879999999999"/>
    <n v="0"/>
    <n v="0"/>
    <n v="1.4518759879237239E-2"/>
    <n v="0"/>
    <n v="0"/>
    <n v="8.9794"/>
    <n v="618.46879999999999"/>
    <n v="4.8395866264124131E-3"/>
  </r>
  <r>
    <s v="PADDLERS SOFT&amp;CREAM PROVITB5&amp;VITE W 80"/>
    <x v="25"/>
    <s v="PADDLERS (ENKA HIJYUEN)"/>
    <x v="0"/>
    <x v="2"/>
    <x v="3"/>
    <n v="0"/>
    <n v="0"/>
    <n v="0"/>
    <n v="0"/>
    <n v="0"/>
    <n v="0"/>
    <n v="0"/>
    <n v="0"/>
    <n v="0"/>
    <n v="0"/>
    <n v="0"/>
    <n v="0"/>
  </r>
  <r>
    <s v="PURE BABY JUMBO PH5.5 W 120 BAG"/>
    <x v="26"/>
    <s v="PURE ( ErusHealth Products)"/>
    <x v="0"/>
    <x v="1"/>
    <x v="5"/>
    <n v="0"/>
    <n v="9.4999999999999998E-3"/>
    <n v="0"/>
    <n v="0"/>
    <n v="0.51649999999999996"/>
    <n v="0"/>
    <n v="0"/>
    <n v="1.8393030009680542E-2"/>
    <n v="0"/>
    <n v="9.4999999999999998E-3"/>
    <n v="0.51649999999999996"/>
    <n v="6.1310100032268477E-3"/>
  </r>
  <r>
    <s v="SLEEPY BABY SENSITIVE 110 W BAG KAPAK"/>
    <x v="26"/>
    <s v="SLEEPY ( ErusHealth Products)"/>
    <x v="0"/>
    <x v="3"/>
    <x v="19"/>
    <n v="0.34189999999999998"/>
    <n v="0"/>
    <n v="0"/>
    <n v="17.095199999999998"/>
    <n v="0"/>
    <n v="0"/>
    <n v="1.9999766016191679E-2"/>
    <n v="0"/>
    <n v="0"/>
    <n v="0.34189999999999998"/>
    <n v="17.095199999999998"/>
    <n v="6.6665886720638926E-3"/>
  </r>
  <r>
    <s v="SLEEPY BABY APPLE AL.FREE W 120 BAG"/>
    <x v="26"/>
    <s v="SLEEPY ( ErusHealth Products)"/>
    <x v="0"/>
    <x v="2"/>
    <x v="5"/>
    <n v="0"/>
    <n v="36.513300000000001"/>
    <n v="9.9184000000000001"/>
    <n v="0"/>
    <n v="2225.7903999999999"/>
    <n v="665.84569999999997"/>
    <n v="0"/>
    <n v="1.640464439059491E-2"/>
    <n v="1.4895943609758237E-2"/>
    <n v="46.431699999999999"/>
    <n v="2891.6360999999997"/>
    <n v="1.0433529333451048E-2"/>
  </r>
  <r>
    <s v="SLEEPY BABY LEMON AL.FREE W 120 BAG"/>
    <x v="26"/>
    <s v="SLEEPY ( ErusHealth Products)"/>
    <x v="0"/>
    <x v="2"/>
    <x v="5"/>
    <n v="0"/>
    <n v="28.314"/>
    <n v="9.1574000000000009"/>
    <n v="0"/>
    <n v="1712.6693"/>
    <n v="592.38390000000004"/>
    <n v="0"/>
    <n v="1.6532088243772454E-2"/>
    <n v="1.5458556520526639E-2"/>
    <n v="37.471400000000003"/>
    <n v="2305.0532000000003"/>
    <n v="1.0663548254766364E-2"/>
  </r>
  <r>
    <s v="SLEEPY BABY ORANGE AL.FREE W 120 BAG"/>
    <x v="26"/>
    <s v="SLEEPY ( ErusHealth Products)"/>
    <x v="0"/>
    <x v="2"/>
    <x v="5"/>
    <n v="0"/>
    <n v="24.999500000000001"/>
    <n v="5.0659999999999998"/>
    <n v="0"/>
    <n v="1534.4268"/>
    <n v="349.95659999999998"/>
    <n v="0"/>
    <n v="1.6292403130602255E-2"/>
    <n v="1.4476080748298504E-2"/>
    <n v="30.0655"/>
    <n v="1884.3833999999999"/>
    <n v="1.025616129296692E-2"/>
  </r>
  <r>
    <s v="SLEEPY BABY PH5.5 120 W BAG KAPAK"/>
    <x v="26"/>
    <s v="SLEEPY ( ErusHealth Products)"/>
    <x v="0"/>
    <x v="1"/>
    <x v="5"/>
    <n v="25.1"/>
    <n v="61.22"/>
    <n v="8.9021000000000008"/>
    <n v="1136.2986000000001"/>
    <n v="3402.5661"/>
    <n v="613.3809"/>
    <n v="2.2089264212769424E-2"/>
    <n v="1.7992302926899788E-2"/>
    <n v="1.4513167918988023E-2"/>
    <n v="95.222099999999998"/>
    <n v="5152.2456000000002"/>
    <n v="1.8198245019552414E-2"/>
  </r>
  <r>
    <s v="SLEEPY STRAWBERRY BABY AL.FREE 120 W BAG"/>
    <x v="26"/>
    <s v="SLEEPY ( ErusHealth Products)"/>
    <x v="0"/>
    <x v="2"/>
    <x v="5"/>
    <n v="0"/>
    <n v="18.822399999999998"/>
    <n v="7.1738"/>
    <n v="0"/>
    <n v="1176.8929000000001"/>
    <n v="487.85019999999997"/>
    <n v="0"/>
    <n v="1.5993298965436869E-2"/>
    <n v="1.4704923765532944E-2"/>
    <n v="25.996199999999998"/>
    <n v="1664.7431000000001"/>
    <n v="1.023274091032327E-2"/>
  </r>
  <r>
    <s v="SLEEPY BABY MIXED FRUIT PH5.5 15 W BAG"/>
    <x v="26"/>
    <s v="SLEEPY ( ErusHealth Products)"/>
    <x v="0"/>
    <x v="1"/>
    <x v="6"/>
    <n v="1.24"/>
    <n v="2.9891000000000001"/>
    <n v="0.81240000000000001"/>
    <n v="69.486800000000002"/>
    <n v="154.24979999999999"/>
    <n v="41.637500000000003"/>
    <n v="1.7845115906906059E-2"/>
    <n v="1.9378307135568412E-2"/>
    <n v="1.9511257880516362E-2"/>
    <n v="5.0415000000000001"/>
    <n v="265.3741"/>
    <n v="1.8911560307663611E-2"/>
  </r>
  <r>
    <s v="SLEEPY BABY PH5.5 70 W BAG"/>
    <x v="26"/>
    <s v="SLEEPY ( ErusHealth Products)"/>
    <x v="0"/>
    <x v="1"/>
    <x v="20"/>
    <n v="1.1599999999999999"/>
    <n v="1.8923000000000001"/>
    <n v="0"/>
    <n v="44.862200000000001"/>
    <n v="87.694800000000001"/>
    <n v="0"/>
    <n v="2.5856957527718209E-2"/>
    <n v="2.1578246372646954E-2"/>
    <n v="0"/>
    <n v="3.0522999999999998"/>
    <n v="132.55700000000002"/>
    <n v="1.5811734633455057E-2"/>
  </r>
  <r>
    <s v="SLEEPY  FreshClean 90 W BAG KAPAK"/>
    <x v="26"/>
    <s v="SLEEPY ( ErusHealth Products)"/>
    <x v="0"/>
    <x v="0"/>
    <x v="11"/>
    <n v="0"/>
    <n v="14.477"/>
    <n v="3.1046999999999998"/>
    <n v="0"/>
    <n v="762.29949999999997"/>
    <n v="149.91970000000001"/>
    <n v="0"/>
    <n v="1.8991223265921071E-2"/>
    <n v="2.0709086264180089E-2"/>
    <n v="17.581700000000001"/>
    <n v="912.2192"/>
    <n v="1.323343651003372E-2"/>
  </r>
  <r>
    <s v="YESS BABY ALC.FREE W 120 BAG"/>
    <x v="26"/>
    <s v="YESS BABY (ERUSLU)"/>
    <x v="0"/>
    <x v="2"/>
    <x v="5"/>
    <n v="0.25940000000000002"/>
    <n v="47.287300000000002"/>
    <n v="13.3363"/>
    <n v="15.5664"/>
    <n v="2338.1842000000001"/>
    <n v="671.9117"/>
    <n v="1.6664097029499437E-2"/>
    <n v="2.0223941295985148E-2"/>
    <n v="1.9848292565823752E-2"/>
    <n v="60.883000000000003"/>
    <n v="3025.6623000000004"/>
    <n v="1.8912110297102779E-2"/>
  </r>
  <r>
    <s v="YESS BABY ALC.FREE W 15 BAG"/>
    <x v="26"/>
    <s v="YESS BABY (ERUSLU)"/>
    <x v="0"/>
    <x v="2"/>
    <x v="6"/>
    <n v="0"/>
    <n v="5.6702000000000004"/>
    <n v="10.135199999999999"/>
    <n v="0"/>
    <n v="206.95869999999999"/>
    <n v="365.12360000000001"/>
    <n v="0"/>
    <n v="2.7397736843147936E-2"/>
    <n v="2.7758271445614578E-2"/>
    <n v="15.805399999999999"/>
    <n v="572.08230000000003"/>
    <n v="1.838533609625417E-2"/>
  </r>
  <r>
    <s v="ELAN SENS.CREAM LOTION W 120 BAG ZELENI"/>
    <x v="27"/>
    <s v="ELAN (Esburg Health)"/>
    <x v="0"/>
    <x v="3"/>
    <x v="5"/>
    <n v="0"/>
    <n v="82.250100000000003"/>
    <n v="55.842500000000001"/>
    <n v="0"/>
    <n v="5284.8972000000003"/>
    <n v="3137.2123999999999"/>
    <n v="0"/>
    <n v="1.5563235553569518E-2"/>
    <n v="1.780003802101509E-2"/>
    <n v="138.0926"/>
    <n v="8422.1095999999998"/>
    <n v="1.1121091191528203E-2"/>
  </r>
  <r>
    <s v="LAN SENS.CREAM LOTION 120 BAG LILAVI"/>
    <x v="27"/>
    <s v="ELAN (Esburg Health)"/>
    <x v="0"/>
    <x v="3"/>
    <x v="5"/>
    <n v="0"/>
    <n v="88.414900000000003"/>
    <n v="45.6905"/>
    <n v="0"/>
    <n v="5662.4585999999999"/>
    <n v="2576.6464000000001"/>
    <n v="0"/>
    <n v="1.5614224534904327E-2"/>
    <n v="1.7732545684188562E-2"/>
    <n v="134.1054"/>
    <n v="8239.1049999999996"/>
    <n v="1.1115590073030963E-2"/>
  </r>
  <r>
    <s v="SETABLU OAT EXTRACT PH5.5 W 72 BAG KAPAK"/>
    <x v="28"/>
    <s v="SETABLU (SCProducts)"/>
    <x v="0"/>
    <x v="1"/>
    <x v="10"/>
    <n v="0.24010000000000001"/>
    <n v="0"/>
    <n v="0"/>
    <n v="10.8056"/>
    <n v="0"/>
    <n v="0"/>
    <n v="2.2219960020729991E-2"/>
    <n v="0"/>
    <n v="0"/>
    <n v="0.24010000000000001"/>
    <n v="10.8056"/>
    <n v="7.4066533402433301E-3"/>
  </r>
  <r>
    <s v="LIBERO ALOE ALC.FREE W 20 BAG"/>
    <x v="29"/>
    <s v="LIBERO (ESSITY)"/>
    <x v="0"/>
    <x v="2"/>
    <x v="0"/>
    <n v="8.8999999999999999E-3"/>
    <n v="1.9E-3"/>
    <n v="0"/>
    <n v="0.1"/>
    <n v="0.02"/>
    <n v="0"/>
    <n v="8.8999999999999996E-2"/>
    <n v="9.5000000000000001E-2"/>
    <n v="0"/>
    <n v="1.0800000000000001E-2"/>
    <n v="0.12000000000000001"/>
    <n v="6.133333333333333E-2"/>
  </r>
  <r>
    <s v="LIBERO ALOE&amp;CHAMOMILE W 20 BAG"/>
    <x v="29"/>
    <s v="LIBERO (ESSITY)"/>
    <x v="0"/>
    <x v="2"/>
    <x v="0"/>
    <n v="3.6436000000000002"/>
    <n v="0.20610000000000001"/>
    <n v="0.1404"/>
    <n v="40.526699999999998"/>
    <n v="2.1286999999999998"/>
    <n v="1.4401999999999999"/>
    <n v="8.9906160629905724E-2"/>
    <n v="9.6819655188612783E-2"/>
    <n v="9.7486460213859191E-2"/>
    <n v="3.9901000000000004"/>
    <n v="44.095599999999997"/>
    <n v="9.4737425344125895E-2"/>
  </r>
  <r>
    <s v="LIBERO ALOE&amp;CHAMOMILE W 4X64 BAG"/>
    <x v="29"/>
    <s v="LIBERO (ESSITY)"/>
    <x v="0"/>
    <x v="2"/>
    <x v="9"/>
    <n v="4.9200000000000001E-2"/>
    <n v="1.14E-2"/>
    <n v="0"/>
    <n v="3.4851000000000001"/>
    <n v="0.25600000000000001"/>
    <n v="0"/>
    <n v="1.4117241972970646E-2"/>
    <n v="4.4531250000000001E-2"/>
    <n v="0"/>
    <n v="6.0600000000000001E-2"/>
    <n v="3.7411000000000003"/>
    <n v="1.954949732432355E-2"/>
  </r>
  <r>
    <s v="LIBERO ALOE&amp;CHAMOMILE W 64 BAG"/>
    <x v="29"/>
    <s v="LIBERO (ESSITY)"/>
    <x v="0"/>
    <x v="2"/>
    <x v="9"/>
    <n v="4.9882"/>
    <n v="0.97860000000000003"/>
    <n v="0"/>
    <n v="116.9594"/>
    <n v="26.678799999999999"/>
    <n v="0"/>
    <n v="4.2648987597405597E-2"/>
    <n v="3.6680810231344743E-2"/>
    <n v="0"/>
    <n v="5.9668000000000001"/>
    <n v="143.63820000000001"/>
    <n v="2.644326594291678E-2"/>
  </r>
  <r>
    <s v="EVY BABY SOFT CHAMOMILE ALC.FREE W50 BAG"/>
    <x v="30"/>
    <s v="EVY BABY (EveCraft)"/>
    <x v="0"/>
    <x v="2"/>
    <x v="2"/>
    <n v="0"/>
    <n v="0"/>
    <n v="0.16420000000000001"/>
    <n v="0"/>
    <n v="0"/>
    <n v="5.0327000000000002"/>
    <n v="0"/>
    <n v="0"/>
    <n v="3.2626621892820951E-2"/>
    <n v="0.16420000000000001"/>
    <n v="5.0327000000000002"/>
    <n v="1.0875540630940317E-2"/>
  </r>
  <r>
    <s v="EVY BABY SOFT CHAMOMILE EXTRACT W 56 BAG"/>
    <x v="30"/>
    <s v="EVY BABY (EveCraft)"/>
    <x v="0"/>
    <x v="2"/>
    <x v="8"/>
    <n v="2.3513000000000002"/>
    <n v="13.7189"/>
    <n v="5.1338999999999997"/>
    <n v="93.938999999999993"/>
    <n v="476.75330000000002"/>
    <n v="161.36660000000001"/>
    <n v="2.5030072706756515E-2"/>
    <n v="2.8775679161528612E-2"/>
    <n v="3.1815133986834943E-2"/>
    <n v="21.2041"/>
    <n v="732.05889999999999"/>
    <n v="2.8540295285040023E-2"/>
  </r>
  <r>
    <s v="EVY BABY CREAMY ALOE VERA MOIST W 60 BAG"/>
    <x v="30"/>
    <s v="EVY BABY (EveCraft)"/>
    <x v="0"/>
    <x v="2"/>
    <x v="13"/>
    <n v="7.0484"/>
    <n v="24.545400000000001"/>
    <n v="7.2644000000000002"/>
    <n v="315.70249999999999"/>
    <n v="945.68759999999997"/>
    <n v="273.77960000000002"/>
    <n v="2.2326082308502467E-2"/>
    <n v="2.5955082841310387E-2"/>
    <n v="2.6533751966910608E-2"/>
    <n v="38.858200000000004"/>
    <n v="1535.1697000000001"/>
    <n v="2.4938305705574492E-2"/>
  </r>
  <r>
    <s v="EVY BABY SOFT CHAMOMILE EXTRACT W 60 BAG"/>
    <x v="30"/>
    <s v="EVY BABY (EveCraft)"/>
    <x v="0"/>
    <x v="2"/>
    <x v="13"/>
    <n v="6.2529000000000003"/>
    <n v="0"/>
    <n v="0"/>
    <n v="300.22300000000001"/>
    <n v="0"/>
    <n v="0"/>
    <n v="2.0827518211462812E-2"/>
    <n v="0"/>
    <n v="0"/>
    <n v="6.2529000000000003"/>
    <n v="300.22300000000001"/>
    <n v="6.9425060704876038E-3"/>
  </r>
  <r>
    <s v="FEMOLE FRESH VITE PH5.5 W 72 BAG CHERVEN"/>
    <x v="31"/>
    <s v="FEMOLE (FEM COSMETIC)"/>
    <x v="0"/>
    <x v="1"/>
    <x v="10"/>
    <n v="1.6668000000000001"/>
    <n v="3.7600000000000001E-2"/>
    <n v="0"/>
    <n v="75.837299999999999"/>
    <n v="1.6555"/>
    <n v="0"/>
    <n v="2.1978630568335107E-2"/>
    <n v="2.2712171549380853E-2"/>
    <n v="0"/>
    <n v="1.7044000000000001"/>
    <n v="77.492800000000003"/>
    <n v="1.4896934039238655E-2"/>
  </r>
  <r>
    <s v="FEMOLE FRESHBABY VITE PH5.5 W 72 BAG SIN"/>
    <x v="31"/>
    <s v="FEMOLE (FEM COSMETIC)"/>
    <x v="0"/>
    <x v="1"/>
    <x v="10"/>
    <n v="7.5975000000000001"/>
    <n v="0.1353"/>
    <n v="3.0000000000000001E-3"/>
    <n v="283.12259999999998"/>
    <n v="3.3016999999999999"/>
    <n v="7.1999999999999995E-2"/>
    <n v="2.6834664558745933E-2"/>
    <n v="4.0978889662900933E-2"/>
    <n v="4.1666666666666671E-2"/>
    <n v="7.7358000000000002"/>
    <n v="286.49629999999996"/>
    <n v="3.6493406962771181E-2"/>
  </r>
  <r>
    <s v="BERFINY CLASSIC BABY W 72 BAG"/>
    <x v="32"/>
    <s v="BERFINY (FULYA COSMETICS)"/>
    <x v="0"/>
    <x v="2"/>
    <x v="10"/>
    <n v="2.5741999999999998"/>
    <n v="0.57930000000000004"/>
    <n v="9.0300000000000005E-2"/>
    <n v="138.52269999999999"/>
    <n v="28.2058"/>
    <n v="3.9451999999999998"/>
    <n v="1.8583235816223623E-2"/>
    <n v="2.053832899616391E-2"/>
    <n v="2.2888573456352024E-2"/>
    <n v="3.2437999999999998"/>
    <n v="170.6737"/>
    <n v="2.0670046089579851E-2"/>
  </r>
  <r>
    <s v="BERFINY EXTRA BABY W 72 BAG"/>
    <x v="32"/>
    <s v="BERFINY (FULYA COSMETICS)"/>
    <x v="0"/>
    <x v="0"/>
    <x v="10"/>
    <n v="0"/>
    <n v="3.2000000000000002E-3"/>
    <n v="0"/>
    <n v="0"/>
    <n v="0.14879999999999999"/>
    <n v="0"/>
    <n v="0"/>
    <n v="2.1505376344086023E-2"/>
    <n v="0"/>
    <n v="3.2000000000000002E-3"/>
    <n v="0.14879999999999999"/>
    <n v="7.168458781362008E-3"/>
  </r>
  <r>
    <s v="FRESH RUNY BABY PH5.5 ALC.FREE W 120 BAG"/>
    <x v="32"/>
    <s v="FRESH RUNY (FULYA COSMETICS)"/>
    <x v="0"/>
    <x v="1"/>
    <x v="5"/>
    <n v="29.782299999999999"/>
    <n v="8.0821000000000005"/>
    <n v="2.2058"/>
    <n v="1812.3146999999999"/>
    <n v="442.9864"/>
    <n v="129.73259999999999"/>
    <n v="1.6433293842399447E-2"/>
    <n v="1.824457816312194E-2"/>
    <n v="1.7002665482692862E-2"/>
    <n v="40.0702"/>
    <n v="2385.0336999999995"/>
    <n v="1.7226845829404747E-2"/>
  </r>
  <r>
    <s v="FRESH RUNY BABY MILK&amp;HONEY W 64 BAG"/>
    <x v="32"/>
    <s v="FRESH RUNY (FULYA COSMETICS)"/>
    <x v="0"/>
    <x v="0"/>
    <x v="9"/>
    <n v="0.4194"/>
    <n v="0.27539999999999998"/>
    <n v="7.5600000000000001E-2"/>
    <n v="22.036999999999999"/>
    <n v="13.908200000000001"/>
    <n v="3.7229000000000001"/>
    <n v="1.9031628624585923E-2"/>
    <n v="1.9801268316532689E-2"/>
    <n v="2.0306750114158317E-2"/>
    <n v="0.77039999999999997"/>
    <n v="39.668100000000003"/>
    <n v="1.9713215685092308E-2"/>
  </r>
  <r>
    <s v="FRESH RUNY BABY W 64 BAG"/>
    <x v="32"/>
    <s v="FRESH RUNY (FULYA COSMETICS)"/>
    <x v="0"/>
    <x v="0"/>
    <x v="9"/>
    <n v="0"/>
    <n v="0"/>
    <n v="0"/>
    <n v="0"/>
    <n v="0"/>
    <n v="0"/>
    <n v="0"/>
    <n v="0"/>
    <n v="0"/>
    <n v="0"/>
    <n v="0"/>
    <n v="0"/>
  </r>
  <r>
    <s v="FRESH MAKER BABY CREAM FRUIT W 100 BAG"/>
    <x v="32"/>
    <s v="FRESHMAKER (FULYA COSMETICS)"/>
    <x v="0"/>
    <x v="1"/>
    <x v="4"/>
    <n v="0"/>
    <n v="0"/>
    <n v="0"/>
    <n v="0"/>
    <n v="0"/>
    <n v="0"/>
    <n v="0"/>
    <n v="0"/>
    <n v="0"/>
    <n v="0"/>
    <n v="0"/>
    <n v="0"/>
  </r>
  <r>
    <s v="FRESH MAKER BABY PH5.5 W 120 BAG JUMBO"/>
    <x v="32"/>
    <s v="FRESHMAKER (FULYA COSMETICS)"/>
    <x v="0"/>
    <x v="1"/>
    <x v="5"/>
    <n v="393.93759999999997"/>
    <n v="316.5532"/>
    <n v="120.4361"/>
    <n v="20334.628400000001"/>
    <n v="15456.115599999999"/>
    <n v="5660.8364000000001"/>
    <n v="1.9372746442713452E-2"/>
    <n v="2.0480773319267877E-2"/>
    <n v="2.1275318961699721E-2"/>
    <n v="830.92690000000005"/>
    <n v="41451.580399999999"/>
    <n v="2.0376279574560351E-2"/>
  </r>
  <r>
    <s v="FRESH MAKER BABY CREAM W 120/48FREE BAG"/>
    <x v="32"/>
    <s v="FRESHMAKER (FULYA COSMETICS)"/>
    <x v="0"/>
    <x v="1"/>
    <x v="10"/>
    <n v="11.008699999999999"/>
    <n v="0"/>
    <n v="0"/>
    <n v="653.37990000000002"/>
    <n v="0"/>
    <n v="0"/>
    <n v="1.6848850110020217E-2"/>
    <n v="0"/>
    <n v="0"/>
    <n v="11.008699999999999"/>
    <n v="653.37990000000002"/>
    <n v="5.6162833700067393E-3"/>
  </r>
  <r>
    <s v="FRESH MAKER BABY CREAM W 72 BAG"/>
    <x v="32"/>
    <s v="FRESHMAKER (FULYA COSMETICS)"/>
    <x v="0"/>
    <x v="1"/>
    <x v="10"/>
    <n v="6.3380999999999998"/>
    <n v="2.2010000000000001"/>
    <n v="4.9340999999999999"/>
    <n v="360.70839999999998"/>
    <n v="122.7465"/>
    <n v="260.16239999999999"/>
    <n v="1.7571257004272704E-2"/>
    <n v="1.7931264842582069E-2"/>
    <n v="1.8965461573232721E-2"/>
    <n v="13.473199999999999"/>
    <n v="743.61729999999989"/>
    <n v="1.81559944733625E-2"/>
  </r>
  <r>
    <s v="FRESH MAKER BABY CREAM W 72 BAG KAPAK"/>
    <x v="32"/>
    <s v="FRESHMAKER (FULYA COSMETICS)"/>
    <x v="0"/>
    <x v="1"/>
    <x v="10"/>
    <n v="17.2865"/>
    <n v="3.1953"/>
    <n v="0"/>
    <n v="1104.6166000000001"/>
    <n v="157.0744"/>
    <n v="0"/>
    <n v="1.5649321221498935E-2"/>
    <n v="2.0342589244332621E-2"/>
    <n v="0"/>
    <n v="20.4818"/>
    <n v="1261.691"/>
    <n v="1.1997303488610519E-2"/>
  </r>
  <r>
    <s v="FRESH MAKER BABY CREAM W 96/24FREE BAG"/>
    <x v="32"/>
    <s v="FRESHMAKER (FULYA COSMETICS)"/>
    <x v="0"/>
    <x v="0"/>
    <x v="10"/>
    <n v="8.3360000000000003"/>
    <n v="4.1882999999999999"/>
    <n v="0.16869999999999999"/>
    <n v="355.34039999999999"/>
    <n v="181.6489"/>
    <n v="7.0335999999999999"/>
    <n v="2.3459195745825695E-2"/>
    <n v="2.3057117329089247E-2"/>
    <n v="2.3984872611464966E-2"/>
    <n v="12.693"/>
    <n v="544.02289999999994"/>
    <n v="2.3500395228793301E-2"/>
  </r>
  <r>
    <s v="FRESH MAKER BABY W 72 BAG"/>
    <x v="32"/>
    <s v="FRESHMAKER (FULYA COSMETICS)"/>
    <x v="0"/>
    <x v="2"/>
    <x v="10"/>
    <n v="10.51"/>
    <n v="23.858699999999999"/>
    <n v="12.9741"/>
    <n v="602.08569999999997"/>
    <n v="1188.0914"/>
    <n v="658.29200000000003"/>
    <n v="1.7455986747401574E-2"/>
    <n v="2.0081535814500465E-2"/>
    <n v="1.9708731079824758E-2"/>
    <n v="47.342799999999997"/>
    <n v="2448.4690999999998"/>
    <n v="1.9082084547242268E-2"/>
  </r>
  <r>
    <s v="FRESH MAKER BABY WITH CREAM W 72 BAG"/>
    <x v="32"/>
    <s v="FRESHMAKER (FULYA COSMETICS)"/>
    <x v="0"/>
    <x v="1"/>
    <x v="10"/>
    <n v="0.1246"/>
    <n v="0"/>
    <n v="4.1500000000000002E-2"/>
    <n v="7.4763999999999999"/>
    <n v="0"/>
    <n v="3.0169000000000001"/>
    <n v="1.6665774971911615E-2"/>
    <n v="0"/>
    <n v="1.3755842089562133E-2"/>
    <n v="0.1661"/>
    <n v="10.4933"/>
    <n v="1.014053902049125E-2"/>
  </r>
  <r>
    <s v="FRESH MAKER ALOE VERA PH5.5 W 90 BAG"/>
    <x v="32"/>
    <s v="FRESHMAKER (FULYA COSMETICS)"/>
    <x v="0"/>
    <x v="1"/>
    <x v="11"/>
    <n v="0"/>
    <n v="1.9545999999999999"/>
    <n v="2.1882000000000001"/>
    <n v="0"/>
    <n v="80.589100000000002"/>
    <n v="78.875"/>
    <n v="0"/>
    <n v="2.4253900341361299E-2"/>
    <n v="2.7742630744849447E-2"/>
    <n v="4.1428000000000003"/>
    <n v="159.4641"/>
    <n v="1.7332177028736916E-2"/>
  </r>
  <r>
    <s v="FRESH MAKER SENSITIVE ALC.FREE W 90 BAG"/>
    <x v="32"/>
    <s v="FRESHMAKER (FULYA COSMETICS)"/>
    <x v="0"/>
    <x v="3"/>
    <x v="11"/>
    <n v="4.02E-2"/>
    <n v="0"/>
    <n v="5.1000000000000004E-3"/>
    <n v="1.9040999999999999"/>
    <n v="0"/>
    <n v="0.1958"/>
    <n v="2.111233653694659E-2"/>
    <n v="0"/>
    <n v="2.6046986721144028E-2"/>
    <n v="4.53E-2"/>
    <n v="2.0998999999999999"/>
    <n v="1.5719774419363539E-2"/>
  </r>
  <r>
    <s v="HAPPY ALOE VERA W 100 BAG KAPAK"/>
    <x v="32"/>
    <s v="HAPPY (FULYA COSMETICS)"/>
    <x v="0"/>
    <x v="1"/>
    <x v="4"/>
    <n v="0"/>
    <n v="6.88E-2"/>
    <n v="1.5603"/>
    <n v="0"/>
    <n v="2.9011"/>
    <n v="56.070300000000003"/>
    <n v="0"/>
    <n v="2.3715142532142981E-2"/>
    <n v="2.7827566465668991E-2"/>
    <n v="1.6291"/>
    <n v="58.971400000000003"/>
    <n v="1.7180902999270657E-2"/>
  </r>
  <r>
    <s v="KIDS BABY WET WIPES W 72 BAG KAPACHE"/>
    <x v="32"/>
    <s v="KIDS (FULYA KOZM.)"/>
    <x v="0"/>
    <x v="1"/>
    <x v="10"/>
    <n v="225.05289999999999"/>
    <n v="160.9256"/>
    <n v="66.089799999999997"/>
    <n v="14096.87"/>
    <n v="9843.2201000000005"/>
    <n v="3643.3836000000001"/>
    <n v="1.5964742527951239E-2"/>
    <n v="1.6348877538560781E-2"/>
    <n v="1.8139676535844317E-2"/>
    <n v="452.06830000000002"/>
    <n v="27583.473700000002"/>
    <n v="1.6817765534118779E-2"/>
  </r>
  <r>
    <s v="LIO FRESH BABY CREAM LOTION W 72 BAG"/>
    <x v="32"/>
    <s v="LIO FRESH (FULYA COSMETICS)"/>
    <x v="0"/>
    <x v="2"/>
    <x v="10"/>
    <n v="27.677700000000002"/>
    <n v="22.1416"/>
    <n v="9.0610999999999997"/>
    <n v="1974.3932"/>
    <n v="1482.2675999999999"/>
    <n v="601.1807"/>
    <n v="1.4018332315974347E-2"/>
    <n v="1.49376536328528E-2"/>
    <n v="1.5072173807309516E-2"/>
    <n v="58.880399999999995"/>
    <n v="4057.8414999999995"/>
    <n v="1.4676053252045554E-2"/>
  </r>
  <r>
    <s v="LIOLA  FreshClean ALC.FREE W 72 BAG"/>
    <x v="32"/>
    <s v="LIOLA (FULYA COSMETICS)"/>
    <x v="0"/>
    <x v="2"/>
    <x v="10"/>
    <n v="0"/>
    <n v="0"/>
    <n v="0"/>
    <n v="0"/>
    <n v="0"/>
    <n v="0"/>
    <n v="0"/>
    <n v="0"/>
    <n v="0"/>
    <n v="0"/>
    <n v="0"/>
    <n v="0"/>
  </r>
  <r>
    <s v="NEMDIL BABY ROSE W 120 BAG KAPAK"/>
    <x v="32"/>
    <s v="NEMDIL (FULYA COSMETICS)"/>
    <x v="0"/>
    <x v="2"/>
    <x v="5"/>
    <n v="41.221899999999998"/>
    <n v="44.201300000000003"/>
    <n v="20.616900000000001"/>
    <n v="1922.9742000000001"/>
    <n v="2020.3897999999999"/>
    <n v="923.72320000000002"/>
    <n v="2.1436533053849603E-2"/>
    <n v="2.1877609954277143E-2"/>
    <n v="2.2319348480150766E-2"/>
    <n v="106.04010000000001"/>
    <n v="4867.0871999999999"/>
    <n v="2.1877830496092505E-2"/>
  </r>
  <r>
    <s v="NEMDIL BABY WITH CREAM W 120 BAG KAPAK"/>
    <x v="32"/>
    <s v="NEMDIL (FULYA COSMETICS)"/>
    <x v="0"/>
    <x v="2"/>
    <x v="5"/>
    <n v="41.486600000000003"/>
    <n v="73.395700000000005"/>
    <n v="40.033299999999997"/>
    <n v="2454.0007999999998"/>
    <n v="4307.1679999999997"/>
    <n v="2180.9749000000002"/>
    <n v="1.6905699460244679E-2"/>
    <n v="1.7040361555435035E-2"/>
    <n v="1.8355690384148849E-2"/>
    <n v="154.91560000000001"/>
    <n v="8942.1437000000005"/>
    <n v="1.7433917133276189E-2"/>
  </r>
  <r>
    <s v="NEMDIL BABY ALCOHOL FREE W 72 BAG"/>
    <x v="32"/>
    <s v="NEMDIL (FULYA COSMETICS)"/>
    <x v="0"/>
    <x v="2"/>
    <x v="10"/>
    <n v="0"/>
    <n v="0"/>
    <n v="0.36020000000000002"/>
    <n v="0"/>
    <n v="0"/>
    <n v="18.523700000000002"/>
    <n v="0"/>
    <n v="0"/>
    <n v="1.9445359188499059E-2"/>
    <n v="0.36020000000000002"/>
    <n v="18.523700000000002"/>
    <n v="6.481786396166353E-3"/>
  </r>
  <r>
    <s v="NEMDIL BABY OLIVE OIL CAMOMILE W 72 BAG"/>
    <x v="32"/>
    <s v="NEMDIL (FULYA COSMETICS)"/>
    <x v="0"/>
    <x v="0"/>
    <x v="10"/>
    <n v="50.296300000000002"/>
    <n v="34.107599999999998"/>
    <n v="15.9543"/>
    <n v="3350.8564000000001"/>
    <n v="2178.5326"/>
    <n v="866.22"/>
    <n v="1.5009983716401575E-2"/>
    <n v="1.5656226581139982E-2"/>
    <n v="1.8418300200872758E-2"/>
    <n v="100.3582"/>
    <n v="6395.6090000000004"/>
    <n v="1.6361503499471439E-2"/>
  </r>
  <r>
    <s v="NEMDIL BABYDELUXEALOE&amp;MIK&amp;HONEY W 72KAPA"/>
    <x v="32"/>
    <s v="NEMDIL (FULYA COSMETICS)"/>
    <x v="0"/>
    <x v="0"/>
    <x v="10"/>
    <n v="5.0095999999999998"/>
    <n v="5.5152000000000001"/>
    <n v="4.4993999999999996"/>
    <n v="141.5444"/>
    <n v="154.2473"/>
    <n v="124.59650000000001"/>
    <n v="3.5392428100299272E-2"/>
    <n v="3.5755569141242671E-2"/>
    <n v="3.6111768789652998E-2"/>
    <n v="15.024199999999999"/>
    <n v="420.38819999999998"/>
    <n v="3.5753255343731645E-2"/>
  </r>
  <r>
    <s v="PREMIUM QUALITY BABY W 72 BAG &amp;&amp;&amp;"/>
    <x v="32"/>
    <s v="PREMIUM (FULYA COSMETICS)"/>
    <x v="0"/>
    <x v="2"/>
    <x v="10"/>
    <n v="4.6416000000000004"/>
    <n v="5.1684999999999999"/>
    <n v="0.78010000000000002"/>
    <n v="142.55420000000001"/>
    <n v="145.93899999999999"/>
    <n v="21.435099999999998"/>
    <n v="3.2560247260340278E-2"/>
    <n v="3.5415481810893594E-2"/>
    <n v="3.6393578756338904E-2"/>
    <n v="10.590199999999999"/>
    <n v="309.92829999999998"/>
    <n v="3.4789769275857592E-2"/>
  </r>
  <r>
    <s v="PURE BABY LILIUM W 120 BAG KAPAK"/>
    <x v="32"/>
    <s v="PURE (FULYA COSMETICS)"/>
    <x v="0"/>
    <x v="2"/>
    <x v="5"/>
    <n v="137.1788"/>
    <n v="116.5658"/>
    <n v="65.912899999999993"/>
    <n v="7929.3796000000002"/>
    <n v="6740.5910999999996"/>
    <n v="3524.3125"/>
    <n v="1.7300067208284489E-2"/>
    <n v="1.7293112469023673E-2"/>
    <n v="1.870234265548245E-2"/>
    <n v="319.65749999999997"/>
    <n v="18194.283199999998"/>
    <n v="1.7765174110930204E-2"/>
  </r>
  <r>
    <s v="NAPEEZBYGRACIA BABY PH5.5 100 BAG KAPAK"/>
    <x v="33"/>
    <s v="NAPEEZ BY GRACIA (GRACIA COMPANY)"/>
    <x v="0"/>
    <x v="1"/>
    <x v="4"/>
    <n v="14.2293"/>
    <n v="21.789000000000001"/>
    <n v="7.9466000000000001"/>
    <n v="761.61429999999996"/>
    <n v="1129.7994000000001"/>
    <n v="412.24349999999998"/>
    <n v="1.868307882349373E-2"/>
    <n v="1.9285724527734745E-2"/>
    <n v="1.9276471308825975E-2"/>
    <n v="43.9649"/>
    <n v="2303.6572000000001"/>
    <n v="1.908175822001815E-2"/>
  </r>
  <r>
    <s v="MIKE LINE SENSIT.CREAM LOTION W 72 BAG"/>
    <x v="34"/>
    <s v="MIKE LINE (GRUPA POLUDNIE SP)"/>
    <x v="0"/>
    <x v="3"/>
    <x v="10"/>
    <n v="7.4866999999999999"/>
    <n v="1.5100000000000001E-2"/>
    <n v="0"/>
    <n v="509.18150000000003"/>
    <n v="0.77590000000000003"/>
    <n v="0"/>
    <n v="1.4703401439368869E-2"/>
    <n v="1.9461270782317307E-2"/>
    <n v="0"/>
    <n v="7.5018000000000002"/>
    <n v="509.95740000000001"/>
    <n v="1.1388224073895392E-2"/>
  </r>
  <r>
    <s v="PRIME OLIODIARGAN SENSITIVE 63 BAG KAPAK"/>
    <x v="35"/>
    <s v="PRIME (GRUPPO AVELLA SRL )"/>
    <x v="0"/>
    <x v="3"/>
    <x v="17"/>
    <n v="0"/>
    <n v="0"/>
    <n v="0"/>
    <n v="0"/>
    <n v="0"/>
    <n v="0"/>
    <n v="0"/>
    <n v="0"/>
    <n v="0"/>
    <n v="0"/>
    <n v="0"/>
    <n v="0"/>
  </r>
  <r>
    <s v="PRIME TALKO SENSITIVE 63 BAG KAPAK"/>
    <x v="35"/>
    <s v="PRIME (GRUPPO AVELLA SRL )"/>
    <x v="0"/>
    <x v="3"/>
    <x v="17"/>
    <n v="1.3945000000000001"/>
    <n v="0"/>
    <n v="0"/>
    <n v="67.202299999999994"/>
    <n v="0"/>
    <n v="0"/>
    <n v="2.0750777875162014E-2"/>
    <n v="0"/>
    <n v="0"/>
    <n v="1.3945000000000001"/>
    <n v="67.202299999999994"/>
    <n v="6.9169259583873382E-3"/>
  </r>
  <r>
    <s v="PRIME BABY ALC.FREE 72 BAG KAPAK"/>
    <x v="35"/>
    <s v="PRIME (GRUPPO AVELLA SRL )"/>
    <x v="0"/>
    <x v="2"/>
    <x v="10"/>
    <n v="7.7927999999999997"/>
    <n v="0"/>
    <n v="0"/>
    <n v="362.96660000000003"/>
    <n v="0"/>
    <n v="0"/>
    <n v="2.1469744048074946E-2"/>
    <n v="0"/>
    <n v="0"/>
    <n v="7.7927999999999997"/>
    <n v="362.96660000000003"/>
    <n v="7.1565813493583152E-3"/>
  </r>
  <r>
    <s v="PONKY BABY W 72 BAG +KAPACHE"/>
    <x v="36"/>
    <s v="PONKY (GULSAH KOZMETIK)"/>
    <x v="0"/>
    <x v="0"/>
    <x v="10"/>
    <n v="63.770400000000002"/>
    <n v="23.340299999999999"/>
    <n v="11.8607"/>
    <n v="2545.3452000000002"/>
    <n v="949.45609999999999"/>
    <n v="459.19099999999997"/>
    <n v="2.5053733379661037E-2"/>
    <n v="2.4582811148403806E-2"/>
    <n v="2.5829556763960967E-2"/>
    <n v="98.971400000000003"/>
    <n v="3953.9922999999999"/>
    <n v="2.5155367097341938E-2"/>
  </r>
  <r>
    <s v="PONKY BABY WET TOWEL W 72 BAG ZHALTI"/>
    <x v="36"/>
    <s v="PONKY (GULSAH KOZMETIK)"/>
    <x v="0"/>
    <x v="2"/>
    <x v="10"/>
    <n v="12.7019"/>
    <n v="13.0259"/>
    <n v="5.5613999999999999"/>
    <n v="553.99599999999998"/>
    <n v="562.68320000000006"/>
    <n v="225.62440000000001"/>
    <n v="2.29277828720785E-2"/>
    <n v="2.3149615982847895E-2"/>
    <n v="2.4648929814328591E-2"/>
    <n v="31.289200000000001"/>
    <n v="1342.3036"/>
    <n v="2.3575442889751663E-2"/>
  </r>
  <r>
    <s v="POZZY EXTRA MILK&amp;HONEY PH5.5 W 72 BAG"/>
    <x v="36"/>
    <s v="POZZY (GULSAH KOZMETIK)"/>
    <x v="0"/>
    <x v="1"/>
    <x v="10"/>
    <n v="0.59"/>
    <n v="0"/>
    <n v="0"/>
    <n v="18.470099999999999"/>
    <n v="0"/>
    <n v="0"/>
    <n v="3.1943519526153083E-2"/>
    <n v="0"/>
    <n v="0"/>
    <n v="0.59"/>
    <n v="18.470099999999999"/>
    <n v="1.0647839842051027E-2"/>
  </r>
  <r>
    <s v="POZZY EXTRA OLIVE OIL ALC.FREE W 72 BAG"/>
    <x v="36"/>
    <s v="POZZY (GULSAH KOZMETIK)"/>
    <x v="0"/>
    <x v="2"/>
    <x v="10"/>
    <n v="0.59"/>
    <n v="0"/>
    <n v="0"/>
    <n v="18.470099999999999"/>
    <n v="0"/>
    <n v="0"/>
    <n v="3.1943519526153083E-2"/>
    <n v="0"/>
    <n v="0"/>
    <n v="0.59"/>
    <n v="18.470099999999999"/>
    <n v="1.0647839842051027E-2"/>
  </r>
  <r>
    <s v="CLEANIC BABY ATOPICAL D-PANT. PH 50 BAG"/>
    <x v="37"/>
    <s v="CLEANIC (HARPER HYGIENICS)"/>
    <x v="0"/>
    <x v="4"/>
    <x v="2"/>
    <n v="0"/>
    <n v="1.1446000000000001"/>
    <n v="0.29039999999999999"/>
    <n v="0"/>
    <n v="11.6808"/>
    <n v="3.3864000000000001"/>
    <n v="0"/>
    <n v="9.7989863707965211E-2"/>
    <n v="8.5754783841247337E-2"/>
    <n v="1.4350000000000001"/>
    <n v="15.0672"/>
    <n v="6.1248215849737518E-2"/>
  </r>
  <r>
    <s v="CLEANIC BABY PROBIOTICAL HYPOAL.50 BAG"/>
    <x v="37"/>
    <s v="CLEANIC (HARPER HYGIENICS)"/>
    <x v="0"/>
    <x v="4"/>
    <x v="2"/>
    <n v="0"/>
    <n v="0.49220000000000003"/>
    <n v="0.1164"/>
    <n v="0"/>
    <n v="4.2202000000000002"/>
    <n v="0.85"/>
    <n v="0"/>
    <n v="0.11662954362352496"/>
    <n v="0.13694117647058823"/>
    <n v="0.60860000000000003"/>
    <n v="5.0701999999999998"/>
    <n v="8.4523573364704396E-2"/>
  </r>
  <r>
    <s v="CLEANIC BABY VEGEMILK VIT&amp;MIN.50 BAG"/>
    <x v="37"/>
    <s v="CLEANIC (HARPER HYGIENICS)"/>
    <x v="0"/>
    <x v="1"/>
    <x v="2"/>
    <n v="0"/>
    <n v="1.4152"/>
    <n v="0.3513"/>
    <n v="0"/>
    <n v="20.5671"/>
    <n v="6.5918999999999999"/>
    <n v="0"/>
    <n v="6.8808922988656637E-2"/>
    <n v="5.3292677376780596E-2"/>
    <n v="1.7665"/>
    <n v="27.158999999999999"/>
    <n v="4.0700533455145745E-2"/>
  </r>
  <r>
    <s v="PETINO DELICATO&amp;FRESH ALANTOIN 120 BAG"/>
    <x v="37"/>
    <s v="PETINO (HARPER HYGIENICS)"/>
    <x v="0"/>
    <x v="0"/>
    <x v="5"/>
    <n v="6.1999999999999998E-3"/>
    <n v="21.155899999999999"/>
    <n v="10.029400000000001"/>
    <n v="0.32569999999999999"/>
    <n v="1092.0349000000001"/>
    <n v="489.28280000000001"/>
    <n v="1.9035922628185448E-2"/>
    <n v="1.9372915645827798E-2"/>
    <n v="2.0498165886885869E-2"/>
    <n v="31.191499999999998"/>
    <n v="1581.6434000000002"/>
    <n v="1.9635668053633037E-2"/>
  </r>
  <r>
    <s v="PETINO DELICATO&amp;FRESH ALANTOIN 84/12FR"/>
    <x v="37"/>
    <s v="PETINO (HARPER HYGIENICS)"/>
    <x v="0"/>
    <x v="0"/>
    <x v="10"/>
    <n v="230.74209999999999"/>
    <n v="277.85789999999997"/>
    <n v="133.2149"/>
    <n v="11792.3397"/>
    <n v="14416.314700000001"/>
    <n v="6626.5474000000004"/>
    <n v="1.9567117795970548E-2"/>
    <n v="1.9273850896165574E-2"/>
    <n v="2.0103213930077673E-2"/>
    <n v="641.81489999999997"/>
    <n v="32835.201800000003"/>
    <n v="1.9648060874071265E-2"/>
  </r>
  <r>
    <s v="MOLFIX SENSITIVE PH5.5 W 40 BAG"/>
    <x v="38"/>
    <s v="MOLFIX (HAYAT KIMYA)"/>
    <x v="0"/>
    <x v="3"/>
    <x v="7"/>
    <n v="0"/>
    <n v="0"/>
    <n v="0"/>
    <n v="0"/>
    <n v="0"/>
    <n v="0"/>
    <n v="0"/>
    <n v="0"/>
    <n v="0"/>
    <n v="0"/>
    <n v="0"/>
    <n v="0"/>
  </r>
  <r>
    <s v="MOLFIX BABY COTTON PH5.5 W 50 BAG HAYAT"/>
    <x v="38"/>
    <s v="MOLFIX (HAYAT KIMYA)"/>
    <x v="0"/>
    <x v="1"/>
    <x v="2"/>
    <n v="0.37059999999999998"/>
    <n v="0.24890000000000001"/>
    <n v="0"/>
    <n v="9.2727000000000004"/>
    <n v="7.0415000000000001"/>
    <n v="0"/>
    <n v="3.9966784216032003E-2"/>
    <n v="3.5347582191294469E-2"/>
    <n v="0"/>
    <n v="0.61949999999999994"/>
    <n v="16.3142"/>
    <n v="2.5104788802442157E-2"/>
  </r>
  <r>
    <s v="MOLFIX BABY IZOT.WATER PANT.&amp;LAN.W 60 BA"/>
    <x v="38"/>
    <s v="MOLFIX (HAYAT KIMYA)"/>
    <x v="0"/>
    <x v="1"/>
    <x v="13"/>
    <n v="29.4162"/>
    <n v="107.9663"/>
    <n v="52.6723"/>
    <n v="866.39819999999997"/>
    <n v="3176.0981999999999"/>
    <n v="1396.3396"/>
    <n v="3.3952286604473553E-2"/>
    <n v="3.3993375897508463E-2"/>
    <n v="3.7721697501095004E-2"/>
    <n v="190.0548"/>
    <n v="5438.8360000000002"/>
    <n v="3.5222453334359007E-2"/>
  </r>
  <r>
    <s v="MOLFIX BABY LOTION ISO.WATER W 3X60 BAG"/>
    <x v="38"/>
    <s v="MOLFIX (HAYAT KIMYA)"/>
    <x v="0"/>
    <x v="1"/>
    <x v="13"/>
    <n v="2.2702"/>
    <n v="6.8476999999999997"/>
    <n v="4.3963000000000001"/>
    <n v="71.277600000000007"/>
    <n v="210.60059999999999"/>
    <n v="121.2728"/>
    <n v="3.1850118410271945E-2"/>
    <n v="3.2515102046242986E-2"/>
    <n v="3.6251327585410741E-2"/>
    <n v="13.514199999999999"/>
    <n v="403.15100000000001"/>
    <n v="3.3538849347308559E-2"/>
  </r>
  <r>
    <s v="MOLFIX BABY LOTION PH5.5 W 60 BAG HAYAT"/>
    <x v="38"/>
    <s v="MOLFIX (HAYAT KIMYA)"/>
    <x v="0"/>
    <x v="1"/>
    <x v="13"/>
    <n v="296.26589999999999"/>
    <n v="290.55259999999998"/>
    <n v="128.1713"/>
    <n v="8749.3634000000002"/>
    <n v="8593.8201000000008"/>
    <n v="3618.6093999999998"/>
    <n v="3.3861423563684642E-2"/>
    <n v="3.3809481303896501E-2"/>
    <n v="3.5420042848504182E-2"/>
    <n v="714.98979999999995"/>
    <n v="20961.7929"/>
    <n v="3.4363649238695108E-2"/>
  </r>
  <r>
    <s v="MOLFIX BABY LOTION W 3X60 BAG HAYAT"/>
    <x v="38"/>
    <s v="MOLFIX (HAYAT KIMYA)"/>
    <x v="0"/>
    <x v="1"/>
    <x v="13"/>
    <n v="2.9716999999999998"/>
    <n v="0.47810000000000002"/>
    <n v="0.26490000000000002"/>
    <n v="93.2804"/>
    <n v="14.5885"/>
    <n v="7.5808999999999997"/>
    <n v="3.1857710730228424E-2"/>
    <n v="3.2772389210679646E-2"/>
    <n v="3.4943080636863702E-2"/>
    <n v="3.7146999999999997"/>
    <n v="115.4498"/>
    <n v="3.3191060192590591E-2"/>
  </r>
  <r>
    <s v="MOLFIX BABY LOTION W 3X63 BAG HAYAT"/>
    <x v="38"/>
    <s v="MOLFIX (HAYAT KIMYA)"/>
    <x v="0"/>
    <x v="1"/>
    <x v="17"/>
    <n v="0.21840000000000001"/>
    <n v="0"/>
    <n v="0"/>
    <n v="7.3784000000000001"/>
    <n v="0"/>
    <n v="0"/>
    <n v="2.9599913260327442E-2"/>
    <n v="0"/>
    <n v="0"/>
    <n v="0.21840000000000001"/>
    <n v="7.3784000000000001"/>
    <n v="9.8666377534424813E-3"/>
  </r>
  <r>
    <s v="MOLFIX BABY W 63 BAG HAYAT"/>
    <x v="38"/>
    <s v="MOLFIX (HAYAT KIMYA)"/>
    <x v="0"/>
    <x v="0"/>
    <x v="17"/>
    <n v="0.50360000000000005"/>
    <n v="0"/>
    <n v="0"/>
    <n v="14.988200000000001"/>
    <n v="0"/>
    <n v="0"/>
    <n v="3.3599765148583552E-2"/>
    <n v="0"/>
    <n v="0"/>
    <n v="0.50360000000000005"/>
    <n v="14.988200000000001"/>
    <n v="1.1199921716194517E-2"/>
  </r>
  <r>
    <s v="HIMALAYA ALOE VERA&amp;INDIANLOTUS W 20 BAG"/>
    <x v="39"/>
    <s v="HIMALAYA (HIMALAYA DRUG)"/>
    <x v="0"/>
    <x v="5"/>
    <x v="0"/>
    <n v="0.17610000000000001"/>
    <n v="1.0699999999999999E-2"/>
    <n v="0"/>
    <n v="3.1602000000000001"/>
    <n v="0.19450000000000001"/>
    <n v="0"/>
    <n v="5.5724321245490795E-2"/>
    <n v="5.5012853470437016E-2"/>
    <n v="0"/>
    <n v="0.18679999999999999"/>
    <n v="3.3547000000000002"/>
    <n v="3.6912391571975935E-2"/>
  </r>
  <r>
    <s v="HIMALAYA SOOTHING&amp;PROTECTINGBABY W 20BAG"/>
    <x v="39"/>
    <s v="HIMALAYA (HIMALAYA DRUG)"/>
    <x v="0"/>
    <x v="5"/>
    <x v="0"/>
    <n v="0.50239999999999996"/>
    <n v="6.6451000000000002"/>
    <n v="0"/>
    <n v="10.56"/>
    <n v="115.3312"/>
    <n v="0"/>
    <n v="4.757575757575757E-2"/>
    <n v="5.7617539746399937E-2"/>
    <n v="0"/>
    <n v="7.1475"/>
    <n v="125.8912"/>
    <n v="3.5064432440719169E-2"/>
  </r>
  <r>
    <s v="HIMALAYA ALOE VERA&amp;INDIANLOTUS W 56 BAG"/>
    <x v="39"/>
    <s v="HIMALAYA (HIMALAYA DRUG)"/>
    <x v="0"/>
    <x v="5"/>
    <x v="8"/>
    <n v="0.31990000000000002"/>
    <n v="0"/>
    <n v="0"/>
    <n v="7.3638000000000003"/>
    <n v="0"/>
    <n v="0"/>
    <n v="4.3442244493332248E-2"/>
    <n v="0"/>
    <n v="0"/>
    <n v="0.31990000000000002"/>
    <n v="7.3638000000000003"/>
    <n v="1.4480748164444083E-2"/>
  </r>
  <r>
    <s v="HIMALAYA SOOTHING&amp;PROTECTINGBABY W 56BAG"/>
    <x v="39"/>
    <s v="HIMALAYA (HIMALAYA DRUG)"/>
    <x v="0"/>
    <x v="5"/>
    <x v="8"/>
    <n v="3.0116000000000001"/>
    <n v="0"/>
    <n v="0"/>
    <n v="62.468000000000004"/>
    <n v="0"/>
    <n v="0"/>
    <n v="4.8210283665236602E-2"/>
    <n v="0"/>
    <n v="0"/>
    <n v="3.0116000000000001"/>
    <n v="62.468000000000004"/>
    <n v="1.6070094555078868E-2"/>
  </r>
  <r>
    <s v="HIPP BABY SANFT ALMOND PH5.5 W 10 BAG"/>
    <x v="40"/>
    <s v="HIPP (HIPP GMBH)"/>
    <x v="0"/>
    <x v="1"/>
    <x v="1"/>
    <n v="1.7111000000000001"/>
    <n v="0.48920000000000002"/>
    <n v="7.6600000000000001E-2"/>
    <n v="14.330299999999999"/>
    <n v="3.8454999999999999"/>
    <n v="0.62309999999999999"/>
    <n v="0.11940433905780061"/>
    <n v="0.12721362631647382"/>
    <n v="0.12293371850425293"/>
    <n v="2.2768999999999999"/>
    <n v="18.7989"/>
    <n v="0.12318389462617579"/>
  </r>
  <r>
    <s v="HIPP BABY ULTRASENSITIVE MANDEL W 52 BAG"/>
    <x v="40"/>
    <s v="HIPP (HIPP GMBH)"/>
    <x v="0"/>
    <x v="3"/>
    <x v="21"/>
    <n v="88.057900000000004"/>
    <n v="26.767399999999999"/>
    <n v="2.3372999999999999"/>
    <n v="2166.7952"/>
    <n v="614.64589999999998"/>
    <n v="48.202599999999997"/>
    <n v="4.0639696820447081E-2"/>
    <n v="4.3549302126639093E-2"/>
    <n v="4.8489085650981485E-2"/>
    <n v="117.1626"/>
    <n v="2829.6437000000001"/>
    <n v="4.4226028199355887E-2"/>
  </r>
  <r>
    <s v="HIPP BABY ALMOND W 56 BAG"/>
    <x v="40"/>
    <s v="HIPP (HIPP GMBH)"/>
    <x v="0"/>
    <x v="0"/>
    <x v="8"/>
    <n v="1.0826"/>
    <n v="0.79220000000000002"/>
    <n v="0"/>
    <n v="19.760000000000002"/>
    <n v="17.024000000000001"/>
    <n v="0"/>
    <n v="5.4787449392712545E-2"/>
    <n v="4.6534304511278192E-2"/>
    <n v="0"/>
    <n v="1.8748"/>
    <n v="36.784000000000006"/>
    <n v="3.3773917967996912E-2"/>
  </r>
  <r>
    <s v="HIPP BABY GENTLE CARING W 56 BAG"/>
    <x v="40"/>
    <s v="HIPP (HIPP GMBH)"/>
    <x v="0"/>
    <x v="1"/>
    <x v="8"/>
    <n v="0.44109999999999999"/>
    <n v="0.41260000000000002"/>
    <n v="4.5600000000000002E-2"/>
    <n v="8.4567999999999994"/>
    <n v="6.601"/>
    <n v="0.72929999999999995"/>
    <n v="5.2159209157127996E-2"/>
    <n v="6.2505680957430698E-2"/>
    <n v="6.2525709584533115E-2"/>
    <n v="0.89929999999999999"/>
    <n v="15.787100000000001"/>
    <n v="5.9063533233030596E-2"/>
  </r>
  <r>
    <s v="HIPP BABY SANFT FEUCHT TUCHER W 56 BAG"/>
    <x v="40"/>
    <s v="HIPP (HIPP GMBH)"/>
    <x v="0"/>
    <x v="3"/>
    <x v="8"/>
    <n v="2.1700000000000001E-2"/>
    <n v="0"/>
    <n v="0"/>
    <n v="0.48470000000000002"/>
    <n v="0"/>
    <n v="0"/>
    <n v="4.4769960800495154E-2"/>
    <n v="0"/>
    <n v="0"/>
    <n v="2.1700000000000001E-2"/>
    <n v="0.48470000000000002"/>
    <n v="1.4923320266831719E-2"/>
  </r>
  <r>
    <s v="HIPP BABYSANFT BIOMANDELEXT.W 2X56+POD."/>
    <x v="40"/>
    <s v="HIPP (HIPP GMBH)"/>
    <x v="0"/>
    <x v="1"/>
    <x v="8"/>
    <n v="1.675"/>
    <n v="2.4634999999999998"/>
    <n v="0.86060000000000003"/>
    <n v="31.331099999999999"/>
    <n v="43.584000000000003"/>
    <n v="15.645899999999999"/>
    <n v="5.3461257344938416E-2"/>
    <n v="5.6523035976505133E-2"/>
    <n v="5.5004825545350543E-2"/>
    <n v="4.9990999999999994"/>
    <n v="90.560999999999993"/>
    <n v="5.4996372955598033E-2"/>
  </r>
  <r>
    <s v="HIPP BABYSANFT BIOMANDELEXTR. W 2X56 BAG"/>
    <x v="40"/>
    <s v="HIPP (HIPP GMBH)"/>
    <x v="0"/>
    <x v="1"/>
    <x v="8"/>
    <n v="9.3126999999999995"/>
    <n v="6.4108999999999998"/>
    <n v="5.0708000000000002"/>
    <n v="206.11410000000001"/>
    <n v="126.16"/>
    <n v="101.6622"/>
    <n v="4.5182255847610618E-2"/>
    <n v="5.0815630944831956E-2"/>
    <n v="4.9878912712886407E-2"/>
    <n v="20.7944"/>
    <n v="433.93629999999996"/>
    <n v="4.862559983510966E-2"/>
  </r>
  <r>
    <s v="HIPP BABYSANFT BIOMANDELEXTRACT W 56 BAG"/>
    <x v="40"/>
    <s v="HIPP (HIPP GMBH)"/>
    <x v="0"/>
    <x v="1"/>
    <x v="8"/>
    <n v="11.1845"/>
    <n v="11.7105"/>
    <n v="3.9420000000000002"/>
    <n v="216.30410000000001"/>
    <n v="238.77709999999999"/>
    <n v="77.523899999999998"/>
    <n v="5.1707295423433948E-2"/>
    <n v="4.9043647820498699E-2"/>
    <n v="5.0848835004430895E-2"/>
    <n v="26.837"/>
    <n v="532.60509999999999"/>
    <n v="5.0533259416121183E-2"/>
  </r>
  <r>
    <s v="BIONIKE TRIDERM BABY CLEANSING 72 BAG"/>
    <x v="41"/>
    <s v="BIONIKE (ICIM INTERNATIONAL)"/>
    <x v="0"/>
    <x v="4"/>
    <x v="10"/>
    <n v="6.6299999999999998E-2"/>
    <n v="0.12959999999999999"/>
    <n v="7.1499999999999994E-2"/>
    <n v="0.504"/>
    <n v="0.91539999999999999"/>
    <n v="0.52459999999999996"/>
    <n v="0.13154761904761905"/>
    <n v="0.14157745247979026"/>
    <n v="0.13629431948150972"/>
    <n v="0.26739999999999997"/>
    <n v="1.944"/>
    <n v="0.13647313033630634"/>
  </r>
  <r>
    <s v="WATERWIPES FRUITEXTR.99.9%WATER W 10 BAG"/>
    <x v="42"/>
    <s v="WATER WIPES (IRISH BREEZE LTD)"/>
    <x v="0"/>
    <x v="0"/>
    <x v="1"/>
    <n v="0.61529999999999996"/>
    <n v="0.502"/>
    <n v="4.99E-2"/>
    <n v="4.0616000000000003"/>
    <n v="3.2562000000000002"/>
    <n v="0.25269999999999998"/>
    <n v="0.15149202284813865"/>
    <n v="0.15416743443277439"/>
    <n v="0.19746735259200635"/>
    <n v="1.1672"/>
    <n v="7.5705"/>
    <n v="0.16770893662430644"/>
  </r>
  <r>
    <s v="WATERWIPES FRUITEXTR.99.9%WATER W 240BAG"/>
    <x v="42"/>
    <s v="WATER WIPES (IRISH BREEZE LTD)"/>
    <x v="0"/>
    <x v="0"/>
    <x v="22"/>
    <n v="18.4224"/>
    <n v="21.849599999999999"/>
    <n v="15.9329"/>
    <n v="154.90440000000001"/>
    <n v="191.65379999999999"/>
    <n v="151.1"/>
    <n v="0.11892754498903839"/>
    <n v="0.11400556628671073"/>
    <n v="0.10544606221045666"/>
    <n v="56.204899999999995"/>
    <n v="497.65819999999997"/>
    <n v="0.11279305782873526"/>
  </r>
  <r>
    <s v="WATERWIPES FRUITEXTR.99.9%WATER W 28 BAG"/>
    <x v="42"/>
    <s v="WATER WIPES (IRISH BREEZE LTD)"/>
    <x v="0"/>
    <x v="0"/>
    <x v="23"/>
    <n v="1.851"/>
    <n v="2.4146999999999998"/>
    <n v="0.80920000000000003"/>
    <n v="10.083500000000001"/>
    <n v="14.928100000000001"/>
    <n v="5.5830000000000002"/>
    <n v="0.18356721376506172"/>
    <n v="0.16175534729804864"/>
    <n v="0.14493999641769659"/>
    <n v="5.0748999999999995"/>
    <n v="30.5946"/>
    <n v="0.1634208524936023"/>
  </r>
  <r>
    <s v="WATERWIPES FRUITEXTR.99.9%WATER W 60 BAG"/>
    <x v="42"/>
    <s v="WATER WIPES (IRISH BREEZE LTD)"/>
    <x v="0"/>
    <x v="0"/>
    <x v="13"/>
    <n v="198.11109999999999"/>
    <n v="233.6309"/>
    <n v="113.3126"/>
    <n v="1569.5084999999999"/>
    <n v="2030.1902"/>
    <n v="989.67420000000004"/>
    <n v="0.12622492965154378"/>
    <n v="0.11507833108444716"/>
    <n v="0.11449485093175107"/>
    <n v="545.05459999999994"/>
    <n v="4589.3729000000003"/>
    <n v="0.118599370555914"/>
  </r>
  <r>
    <s v="WATERWIPES SOAPBERRY99.9%WATER W 60 BAG"/>
    <x v="42"/>
    <s v="WATER WIPES (IRISH BREEZE LTD)"/>
    <x v="0"/>
    <x v="0"/>
    <x v="13"/>
    <n v="1.278"/>
    <n v="13.6012"/>
    <n v="11.1342"/>
    <n v="10.3644"/>
    <n v="118.5029"/>
    <n v="94.131399999999999"/>
    <n v="0.12330670371656825"/>
    <n v="0.11477525022594384"/>
    <n v="0.11828359081029284"/>
    <n v="26.013400000000001"/>
    <n v="222.99869999999999"/>
    <n v="0.11878851491760163"/>
  </r>
  <r>
    <s v="PAW PATROL  FreshClean 56 W BAG"/>
    <x v="43"/>
    <s v="PAW PATROL (JELLYWORKS HEALTHCARE)"/>
    <x v="0"/>
    <x v="0"/>
    <x v="8"/>
    <n v="0"/>
    <n v="0.2286"/>
    <n v="8.4099999999999994E-2"/>
    <n v="0"/>
    <n v="3.6671999999999998"/>
    <n v="1.3489"/>
    <n v="0"/>
    <n v="6.2336387434554975E-2"/>
    <n v="6.2347097635110087E-2"/>
    <n v="0.31269999999999998"/>
    <n v="5.0160999999999998"/>
    <n v="4.1561161689888354E-2"/>
  </r>
  <r>
    <s v="PEPPA PIG BABY MUDDY PUDDLE 56 W BAG"/>
    <x v="43"/>
    <s v="PEPPA PIG (JELLYWORKS HEALTHCARE)"/>
    <x v="0"/>
    <x v="0"/>
    <x v="8"/>
    <n v="0"/>
    <n v="0.22009999999999999"/>
    <n v="0.1012"/>
    <n v="0"/>
    <n v="3.5211000000000001"/>
    <n v="1.6187"/>
    <n v="0"/>
    <n v="6.2508875067450509E-2"/>
    <n v="6.2519305615617471E-2"/>
    <n v="0.32129999999999997"/>
    <n v="5.1398000000000001"/>
    <n v="4.1676060227689327E-2"/>
  </r>
  <r>
    <s v="JOHNSONS BABY GENTLE ALL OVER W 20 BAG"/>
    <x v="44"/>
    <s v="JOHNSONS (JOHNSON &amp; JOHNSON INT.)"/>
    <x v="0"/>
    <x v="5"/>
    <x v="0"/>
    <n v="0.3851"/>
    <n v="0.10680000000000001"/>
    <n v="0"/>
    <n v="4.9682000000000004"/>
    <n v="1.3105"/>
    <n v="0"/>
    <n v="7.7512982569139716E-2"/>
    <n v="8.1495612361694017E-2"/>
    <n v="0"/>
    <n v="0.4919"/>
    <n v="6.2787000000000006"/>
    <n v="5.3002864976944584E-2"/>
  </r>
  <r>
    <s v="JOHNSONS BAB COT.TOU SEN.W56+BOD+SHG+IGR"/>
    <x v="44"/>
    <s v="JOHNSONS (JOHNSON &amp; JOHNSON INT.)"/>
    <x v="0"/>
    <x v="3"/>
    <x v="8"/>
    <n v="1.0960000000000001"/>
    <n v="0.3664"/>
    <n v="5.7799999999999997E-2"/>
    <n v="13.8332"/>
    <n v="3.4159999999999999"/>
    <n v="0.48"/>
    <n v="7.9229679322210339E-2"/>
    <n v="0.10725995316159251"/>
    <n v="0.12041666666666667"/>
    <n v="1.5202000000000002"/>
    <n v="17.729199999999999"/>
    <n v="0.10230209971682318"/>
  </r>
  <r>
    <s v="JOHNSONS BABY COTTON TOUCH SENS.W 56 BAG"/>
    <x v="44"/>
    <s v="JOHNSONS (JOHNSON &amp; JOHNSON INT.)"/>
    <x v="0"/>
    <x v="3"/>
    <x v="8"/>
    <n v="8.1957000000000004"/>
    <n v="0.14119999999999999"/>
    <n v="1.1000000000000001E-3"/>
    <n v="213.62710000000001"/>
    <n v="2.6021999999999998"/>
    <n v="1.6E-2"/>
    <n v="3.8364514614484771E-2"/>
    <n v="5.4261778495119511E-2"/>
    <n v="6.8750000000000006E-2"/>
    <n v="8.3379999999999992"/>
    <n v="216.24530000000001"/>
    <n v="5.3792097703201425E-2"/>
  </r>
  <r>
    <s v="JOHNSONS BABY GENTLE ALL OVER W 3X56 BAG"/>
    <x v="44"/>
    <s v="JOHNSONS (JOHNSON &amp; JOHNSON INT.)"/>
    <x v="0"/>
    <x v="5"/>
    <x v="8"/>
    <n v="2.8999999999999998E-3"/>
    <n v="0"/>
    <n v="0"/>
    <n v="0.17960000000000001"/>
    <n v="0"/>
    <n v="0"/>
    <n v="1.6146993318485521E-2"/>
    <n v="0"/>
    <n v="0"/>
    <n v="2.8999999999999998E-3"/>
    <n v="0.17960000000000001"/>
    <n v="5.3823311061618404E-3"/>
  </r>
  <r>
    <s v="JOHNSONS BABY GENTLE ALL OVER W 56 BAG"/>
    <x v="44"/>
    <s v="JOHNSONS (JOHNSON &amp; JOHNSON INT.)"/>
    <x v="0"/>
    <x v="5"/>
    <x v="8"/>
    <n v="0"/>
    <n v="0"/>
    <n v="0"/>
    <n v="0"/>
    <n v="0"/>
    <n v="0"/>
    <n v="0"/>
    <n v="0"/>
    <n v="0"/>
    <n v="0"/>
    <n v="0"/>
    <n v="0"/>
  </r>
  <r>
    <s v="JOHNSONS BABY SILK EXTRACT W 56 BAG"/>
    <x v="44"/>
    <s v="JOHNSONS (JOHNSON &amp; JOHNSON INT.)"/>
    <x v="0"/>
    <x v="0"/>
    <x v="8"/>
    <n v="0.22670000000000001"/>
    <n v="0"/>
    <n v="0"/>
    <n v="4.5189000000000004"/>
    <n v="0"/>
    <n v="0"/>
    <n v="5.0167076058332781E-2"/>
    <n v="0"/>
    <n v="0"/>
    <n v="0.22670000000000001"/>
    <n v="4.5189000000000004"/>
    <n v="1.6722358686110928E-2"/>
  </r>
  <r>
    <s v="JOHNSONS BABY GENTLE ALL OVER W 72 BAG K"/>
    <x v="44"/>
    <s v="JOHNSONS (JOHNSON &amp; JOHNSON INT.)"/>
    <x v="0"/>
    <x v="5"/>
    <x v="10"/>
    <n v="24.499500000000001"/>
    <n v="1.3658999999999999"/>
    <n v="5.9999999999999995E-4"/>
    <n v="789.96360000000004"/>
    <n v="36.531500000000001"/>
    <n v="2.06E-2"/>
    <n v="3.1013454290805299E-2"/>
    <n v="3.7389650028057976E-2"/>
    <n v="2.9126213592233007E-2"/>
    <n v="25.866"/>
    <n v="826.51570000000004"/>
    <n v="3.2509772637032093E-2"/>
  </r>
  <r>
    <s v="JOHNSONS BABY SENSITIVE ALC.FREE W 72 BA"/>
    <x v="44"/>
    <s v="JOHNSONS (JOHNSON &amp; JOHNSON INT.)"/>
    <x v="0"/>
    <x v="3"/>
    <x v="10"/>
    <n v="0"/>
    <n v="2.8000000000000001E-2"/>
    <n v="0"/>
    <n v="0"/>
    <n v="0.80640000000000001"/>
    <n v="0"/>
    <n v="0"/>
    <n v="3.4722222222222224E-2"/>
    <n v="0"/>
    <n v="2.8000000000000001E-2"/>
    <n v="0.80640000000000001"/>
    <n v="1.1574074074074075E-2"/>
  </r>
  <r>
    <s v="MAIA BABY PURE&amp;SENSITIVE PH5.5 W 72 BAG"/>
    <x v="45"/>
    <s v="MAIA (KALESAN)"/>
    <x v="0"/>
    <x v="1"/>
    <x v="10"/>
    <n v="0"/>
    <n v="10.2052"/>
    <n v="14.4321"/>
    <n v="0"/>
    <n v="569.2527"/>
    <n v="716.4248"/>
    <n v="0"/>
    <n v="1.7927363366041126E-2"/>
    <n v="2.014461252597621E-2"/>
    <n v="24.6373"/>
    <n v="1285.6775"/>
    <n v="1.2690658630672445E-2"/>
  </r>
  <r>
    <s v="BEBECAN PH5.5 ALC.FREE W 72 BAG KANTARA"/>
    <x v="46"/>
    <s v="BEBECEN (KANTARA PRODUKSIYON DAGITIM)"/>
    <x v="0"/>
    <x v="1"/>
    <x v="10"/>
    <n v="0"/>
    <n v="0"/>
    <n v="0"/>
    <n v="0"/>
    <n v="0"/>
    <n v="0"/>
    <n v="0"/>
    <n v="0"/>
    <n v="0"/>
    <n v="0"/>
    <n v="0"/>
    <n v="0"/>
  </r>
  <r>
    <s v="KRISPA BABY CAMOMILE W 15 BAG"/>
    <x v="47"/>
    <s v="KRISPA (KAPPUS)"/>
    <x v="0"/>
    <x v="0"/>
    <x v="6"/>
    <n v="1.1900000000000001E-2"/>
    <n v="0"/>
    <n v="0"/>
    <n v="0.14000000000000001"/>
    <n v="0"/>
    <n v="0"/>
    <n v="8.4999999999999992E-2"/>
    <n v="0"/>
    <n v="0"/>
    <n v="1.1900000000000001E-2"/>
    <n v="0.14000000000000001"/>
    <n v="2.8333333333333332E-2"/>
  </r>
  <r>
    <s v="KRISPA BABY CAMOMILE P H5.5 W 80 BAG"/>
    <x v="47"/>
    <s v="KRISPA (KAPPUS)"/>
    <x v="0"/>
    <x v="1"/>
    <x v="3"/>
    <n v="0"/>
    <n v="0"/>
    <n v="0"/>
    <n v="0"/>
    <n v="0"/>
    <n v="0"/>
    <n v="0"/>
    <n v="0"/>
    <n v="0"/>
    <n v="0"/>
    <n v="0"/>
    <n v="0"/>
  </r>
  <r>
    <s v="FRESH'N SOFT WATER&amp;COTTON W 3X40 BAG"/>
    <x v="48"/>
    <s v="SOFT &amp; FRESH (KARDESLER UCANYAGLAR SAN A"/>
    <x v="0"/>
    <x v="1"/>
    <x v="7"/>
    <n v="0"/>
    <n v="0"/>
    <n v="0.69599999999999995"/>
    <n v="0"/>
    <n v="0"/>
    <n v="11.551500000000001"/>
    <n v="0"/>
    <n v="0"/>
    <n v="6.0251915335670682E-2"/>
    <n v="0.69599999999999995"/>
    <n v="11.551500000000001"/>
    <n v="2.0083971778556895E-2"/>
  </r>
  <r>
    <s v="FRESH'N SOFT CLASSIC PH5.5 W 90 BAG"/>
    <x v="48"/>
    <s v="SOFT &amp; FRESH (KARDESLER UCANYAGLAR SAN A"/>
    <x v="0"/>
    <x v="1"/>
    <x v="11"/>
    <n v="0.33289999999999997"/>
    <n v="2.7199999999999998E-2"/>
    <n v="0.74419999999999997"/>
    <n v="16.585699999999999"/>
    <n v="2.2242999999999999"/>
    <n v="24.0091"/>
    <n v="2.0071507382865963E-2"/>
    <n v="1.2228566290518364E-2"/>
    <n v="3.0996580463241021E-2"/>
    <n v="1.1042999999999998"/>
    <n v="42.819099999999999"/>
    <n v="2.1098884712208447E-2"/>
  </r>
  <r>
    <s v="RENKLY JUMBO CHAMOMILE 120 W BAG KAPAK"/>
    <x v="49"/>
    <s v="RENKLY BABY (KARTOPU KOLONYA)"/>
    <x v="0"/>
    <x v="1"/>
    <x v="5"/>
    <n v="0"/>
    <n v="3.2099999999999997E-2"/>
    <n v="0.19070000000000001"/>
    <n v="0"/>
    <n v="1.7567999999999999"/>
    <n v="7.8956"/>
    <n v="0"/>
    <n v="1.8271857923497267E-2"/>
    <n v="2.4152692638938145E-2"/>
    <n v="0.2228"/>
    <n v="9.6524000000000001"/>
    <n v="1.4141516854145136E-2"/>
  </r>
  <r>
    <s v="RENKLY BABY ALC.FREE W 70 BAG"/>
    <x v="49"/>
    <s v="RENKLY BABY (KARTOPU KOLONYA)"/>
    <x v="0"/>
    <x v="2"/>
    <x v="20"/>
    <n v="0"/>
    <n v="0"/>
    <n v="2.2185000000000001"/>
    <n v="0"/>
    <n v="0"/>
    <n v="128.51750000000001"/>
    <n v="0"/>
    <n v="0"/>
    <n v="1.7262240550897739E-2"/>
    <n v="2.2185000000000001"/>
    <n v="128.51750000000001"/>
    <n v="5.7540801836325796E-3"/>
  </r>
  <r>
    <s v="RENKLY BABY ALOE VERA 70 W BAG"/>
    <x v="49"/>
    <s v="RENKLY BABY (KARTOPU KOLONYA)"/>
    <x v="0"/>
    <x v="1"/>
    <x v="20"/>
    <n v="0"/>
    <n v="7.0191999999999997"/>
    <n v="7.8216999999999999"/>
    <n v="0"/>
    <n v="471.142"/>
    <n v="503.7824"/>
    <n v="0"/>
    <n v="1.4898268462586651E-2"/>
    <n v="1.5525949298744854E-2"/>
    <n v="14.8409"/>
    <n v="974.92439999999999"/>
    <n v="1.0141405920443835E-2"/>
  </r>
  <r>
    <s v="RENKLI BABY ALC.FREE PH5.5 W 72 BAG KAPA"/>
    <x v="49"/>
    <s v="RENKLY BABY (KARTOPU KOLONYA)"/>
    <x v="0"/>
    <x v="1"/>
    <x v="10"/>
    <n v="8.5007999999999999"/>
    <n v="1.8512999999999999"/>
    <n v="0.35020000000000001"/>
    <n v="288.41750000000002"/>
    <n v="66.691299999999998"/>
    <n v="13.4161"/>
    <n v="2.9473939688125717E-2"/>
    <n v="2.7759242959726382E-2"/>
    <n v="2.6102965839550987E-2"/>
    <n v="10.702299999999999"/>
    <n v="368.5249"/>
    <n v="2.7778716162467697E-2"/>
  </r>
  <r>
    <s v="RENKLY BABY 72 W BAG"/>
    <x v="49"/>
    <s v="RENKLY BABY (KARTOPU KOLONYA)"/>
    <x v="0"/>
    <x v="1"/>
    <x v="10"/>
    <n v="32.951099999999997"/>
    <n v="14.947100000000001"/>
    <n v="4.2103999999999999"/>
    <n v="1259.2874999999999"/>
    <n v="556.85670000000005"/>
    <n v="163.69149999999999"/>
    <n v="2.6166463178583128E-2"/>
    <n v="2.684191462543236E-2"/>
    <n v="2.572155548699841E-2"/>
    <n v="52.108599999999996"/>
    <n v="1979.8356999999999"/>
    <n v="2.6243311097004632E-2"/>
  </r>
  <r>
    <s v="HUGGIES  FreshClean CUCUMBER W 24 BAG"/>
    <x v="50"/>
    <s v="HUGGIES (KIMBERLEY CLARK)"/>
    <x v="0"/>
    <x v="2"/>
    <x v="24"/>
    <n v="0"/>
    <n v="0"/>
    <n v="0"/>
    <n v="0"/>
    <n v="0"/>
    <n v="0"/>
    <n v="0"/>
    <n v="0"/>
    <n v="0"/>
    <n v="0"/>
    <n v="0"/>
    <n v="0"/>
  </r>
  <r>
    <s v="HUGGIES NATURAL CARE ALOE VERA W 56 BAG"/>
    <x v="50"/>
    <s v="HUGGIES (KIMBERLEY CLARK)"/>
    <x v="0"/>
    <x v="2"/>
    <x v="8"/>
    <n v="53.822000000000003"/>
    <n v="66.983199999999997"/>
    <n v="42.143000000000001"/>
    <n v="1325.5655999999999"/>
    <n v="1594.76"/>
    <n v="1015.3249"/>
    <n v="4.0603045220847622E-2"/>
    <n v="4.2002056735809777E-2"/>
    <n v="4.1506910743546233E-2"/>
    <n v="162.94819999999999"/>
    <n v="3935.6505000000002"/>
    <n v="4.137067090006788E-2"/>
  </r>
  <r>
    <s v="HUGGIES PURE COTTON WOOL&amp;WATER 56 W BAG"/>
    <x v="50"/>
    <s v="HUGGIES (KIMBERLEY CLARK)"/>
    <x v="0"/>
    <x v="2"/>
    <x v="8"/>
    <n v="81.760300000000001"/>
    <n v="83.135000000000005"/>
    <n v="53.412599999999998"/>
    <n v="1959.0420999999999"/>
    <n v="1973.6881000000001"/>
    <n v="1284.8007"/>
    <n v="4.1734835611751279E-2"/>
    <n v="4.2121650325601091E-2"/>
    <n v="4.1572673489359085E-2"/>
    <n v="218.30790000000002"/>
    <n v="5217.5308999999997"/>
    <n v="4.1809719808903821E-2"/>
  </r>
  <r>
    <s v="HUGGIES SOFT SKIN VIT E 56 BAG"/>
    <x v="50"/>
    <s v="HUGGIES (KIMBERLEY CLARK)"/>
    <x v="0"/>
    <x v="2"/>
    <x v="8"/>
    <n v="24.3629"/>
    <n v="18.871200000000002"/>
    <n v="0.95489999999999997"/>
    <n v="571.42309999999998"/>
    <n v="430.0342"/>
    <n v="21.356300000000001"/>
    <n v="4.2635483234751977E-2"/>
    <n v="4.3883021396902852E-2"/>
    <n v="4.4712801374769968E-2"/>
    <n v="44.189"/>
    <n v="1022.8136000000001"/>
    <n v="4.3743768668808268E-2"/>
  </r>
  <r>
    <s v="HUGGIES SOFTTOUCH WITHLOTION&amp;VITE 56 BAG"/>
    <x v="50"/>
    <s v="HUGGIES (KIMBERLEY CLARK)"/>
    <x v="0"/>
    <x v="2"/>
    <x v="8"/>
    <n v="0"/>
    <n v="0"/>
    <n v="0"/>
    <n v="0"/>
    <n v="0"/>
    <n v="0"/>
    <n v="0"/>
    <n v="0"/>
    <n v="0"/>
    <n v="0"/>
    <n v="0"/>
    <n v="0"/>
  </r>
  <r>
    <s v="HUGGIES UNISTAR LINGETTES 56 W BAG"/>
    <x v="50"/>
    <s v="HUGGIES (KIMBERLEY CLARK)"/>
    <x v="0"/>
    <x v="0"/>
    <x v="8"/>
    <n v="6.2572999999999999"/>
    <n v="18.031600000000001"/>
    <n v="4.2451999999999996"/>
    <n v="140.29249999999999"/>
    <n v="398.21929999999998"/>
    <n v="95.220100000000002"/>
    <n v="4.460181406703851E-2"/>
    <n v="4.5280577812275805E-2"/>
    <n v="4.4583023962377684E-2"/>
    <n v="28.534100000000002"/>
    <n v="633.7319"/>
    <n v="4.4821805280564002E-2"/>
  </r>
  <r>
    <s v="HUGGIES ALOE+VIT E W 64 BAG"/>
    <x v="50"/>
    <s v="HUGGIES (KIMBERLEY CLARK)"/>
    <x v="0"/>
    <x v="1"/>
    <x v="9"/>
    <n v="0"/>
    <n v="0"/>
    <n v="0.16520000000000001"/>
    <n v="0"/>
    <n v="0"/>
    <n v="4.4053000000000004"/>
    <n v="0"/>
    <n v="0"/>
    <n v="3.7500283749120379E-2"/>
    <n v="0.16520000000000001"/>
    <n v="4.4053000000000004"/>
    <n v="1.2500094583040126E-2"/>
  </r>
  <r>
    <s v="HUGGIES BABY UNISTAR W 64 BAG"/>
    <x v="50"/>
    <s v="HUGGIES (KIMBERLEY CLARK)"/>
    <x v="0"/>
    <x v="0"/>
    <x v="9"/>
    <n v="2.9600000000000001E-2"/>
    <n v="0"/>
    <n v="0"/>
    <n v="0.8246"/>
    <n v="0"/>
    <n v="0"/>
    <n v="3.5896192093136069E-2"/>
    <n v="0"/>
    <n v="0"/>
    <n v="2.9600000000000001E-2"/>
    <n v="0.8246"/>
    <n v="1.196539736437869E-2"/>
  </r>
  <r>
    <s v="HUGGIES PURE COTTON WOOL&amp;WATER 64 W BAG"/>
    <x v="50"/>
    <s v="HUGGIES (KIMBERLEY CLARK)"/>
    <x v="0"/>
    <x v="0"/>
    <x v="9"/>
    <n v="0"/>
    <n v="0"/>
    <n v="0"/>
    <n v="0"/>
    <n v="0"/>
    <n v="0"/>
    <n v="0"/>
    <n v="0"/>
    <n v="0"/>
    <n v="0"/>
    <n v="0"/>
    <n v="0"/>
  </r>
  <r>
    <s v="HUGGIES PURE 99% WATER 72 W BAG"/>
    <x v="50"/>
    <s v="HUGGIES (KIMBERLEY CLARK)"/>
    <x v="0"/>
    <x v="0"/>
    <x v="10"/>
    <n v="2.3472"/>
    <n v="0.8044"/>
    <n v="0"/>
    <n v="54.641800000000003"/>
    <n v="24.183599999999998"/>
    <n v="0"/>
    <n v="4.2956125164251541E-2"/>
    <n v="3.3262210754395546E-2"/>
    <n v="0"/>
    <n v="3.1516000000000002"/>
    <n v="78.825400000000002"/>
    <n v="2.5406111972882364E-2"/>
  </r>
  <r>
    <s v="KOMILI BABY SOFT ALC.FREE W 70 BAG"/>
    <x v="51"/>
    <s v="KOMILI (KOMILI S.A.)"/>
    <x v="0"/>
    <x v="2"/>
    <x v="20"/>
    <n v="5.9740000000000002"/>
    <n v="0"/>
    <n v="0"/>
    <n v="416.80889999999999"/>
    <n v="0"/>
    <n v="0"/>
    <n v="1.4332707387006371E-2"/>
    <n v="0"/>
    <n v="0"/>
    <n v="5.9740000000000002"/>
    <n v="416.80889999999999"/>
    <n v="4.7775691290021238E-3"/>
  </r>
  <r>
    <s v="KOMILI BABY COTTON PH5.5 W 80 BAG"/>
    <x v="51"/>
    <s v="KOMILI (KOMILI S.A.)"/>
    <x v="0"/>
    <x v="1"/>
    <x v="3"/>
    <n v="0.1293"/>
    <n v="8.2299999999999998E-2"/>
    <n v="0"/>
    <n v="5.4459999999999997"/>
    <n v="3.4649000000000001"/>
    <n v="0"/>
    <n v="2.3742196107234669E-2"/>
    <n v="2.3752489249328983E-2"/>
    <n v="0"/>
    <n v="0.21160000000000001"/>
    <n v="8.9108999999999998"/>
    <n v="1.5831561785521215E-2"/>
  </r>
  <r>
    <s v="TANGO BABY SOFT VIT E ALC.FREE 72BR BAG"/>
    <x v="52"/>
    <s v="TANGO (KOZMO KIMYA)"/>
    <x v="0"/>
    <x v="2"/>
    <x v="10"/>
    <n v="11.181699999999999"/>
    <n v="15.1816"/>
    <n v="9.6165000000000003"/>
    <n v="586.38080000000002"/>
    <n v="752.94479999999999"/>
    <n v="438.76389999999998"/>
    <n v="1.9069007716487306E-2"/>
    <n v="2.0162965465728697E-2"/>
    <n v="2.1917254359349072E-2"/>
    <n v="35.979799999999997"/>
    <n v="1778.0895"/>
    <n v="2.0383075847188358E-2"/>
  </r>
  <r>
    <s v="MUSTELA BEBE CLEANSING 25 W BAG"/>
    <x v="53"/>
    <s v="MUSTELA (LABORATORY EXPANSCIENCE)"/>
    <x v="0"/>
    <x v="4"/>
    <x v="15"/>
    <n v="8.2699999999999996E-2"/>
    <n v="4.5199999999999997E-2"/>
    <n v="5.4999999999999997E-3"/>
    <n v="0.35360000000000003"/>
    <n v="0.2"/>
    <n v="2.5000000000000001E-2"/>
    <n v="0.23388009049773753"/>
    <n v="0.22599999999999998"/>
    <n v="0.21999999999999997"/>
    <n v="0.13339999999999999"/>
    <n v="0.57860000000000011"/>
    <n v="0.22662669683257916"/>
  </r>
  <r>
    <s v="MUSTELA BEBE CLEANSING 25 W NP KAPAK"/>
    <x v="53"/>
    <s v="MUSTELA (LABORATORY EXPANSCIENCE)"/>
    <x v="0"/>
    <x v="4"/>
    <x v="15"/>
    <n v="2.0510000000000002"/>
    <n v="2.5941999999999998"/>
    <n v="0.76219999999999999"/>
    <n v="8.6088000000000005"/>
    <n v="11.446400000000001"/>
    <n v="3.6349999999999998"/>
    <n v="0.23824458693429978"/>
    <n v="0.22663894324853226"/>
    <n v="0.20968363136176066"/>
    <n v="5.4074"/>
    <n v="23.690199999999997"/>
    <n v="0.22485572051486424"/>
  </r>
  <r>
    <s v="MUSTELA BEBE STELATOPIA W 50 BAG KAPAK"/>
    <x v="53"/>
    <s v="MUSTELA (LABORATORY EXPANSCIENCE)"/>
    <x v="0"/>
    <x v="4"/>
    <x v="2"/>
    <n v="10.297499999999999"/>
    <n v="4.8240999999999996"/>
    <n v="4.976"/>
    <n v="49.665700000000001"/>
    <n v="27.7622"/>
    <n v="22.308599999999998"/>
    <n v="0.20733625016862742"/>
    <n v="0.17376504743860355"/>
    <n v="0.22305299301614626"/>
    <n v="20.0976"/>
    <n v="99.736499999999992"/>
    <n v="0.20138476354112575"/>
  </r>
  <r>
    <s v="MUSTELABEBE STELATOPIAW50KAP+BOD+BOD+BOD"/>
    <x v="53"/>
    <s v="MUSTELA (LABORATORY EXPANSCIENCE)"/>
    <x v="0"/>
    <x v="4"/>
    <x v="2"/>
    <n v="0.2089"/>
    <n v="0"/>
    <n v="0"/>
    <n v="1.25"/>
    <n v="0"/>
    <n v="0"/>
    <n v="0.16711999999999999"/>
    <n v="0"/>
    <n v="0"/>
    <n v="0.2089"/>
    <n v="1.25"/>
    <n v="5.5706666666666661E-2"/>
  </r>
  <r>
    <s v="MUSTELA BEBE CLEANSING 60 W BAG"/>
    <x v="53"/>
    <s v="MUSTELA (LABORATORY EXPANSCIENCE)"/>
    <x v="0"/>
    <x v="0"/>
    <x v="13"/>
    <n v="0"/>
    <n v="0"/>
    <n v="0.18790000000000001"/>
    <n v="0"/>
    <n v="0"/>
    <n v="1.0885"/>
    <n v="0"/>
    <n v="0"/>
    <n v="0.17262287551676619"/>
    <n v="0.18790000000000001"/>
    <n v="1.0885"/>
    <n v="5.7540958505588734E-2"/>
  </r>
  <r>
    <s v="MUSTELA BEBE CLEANSING AVOCADO 70 W BAG"/>
    <x v="53"/>
    <s v="MUSTELA (LABORATORY EXPANSCIENCE)"/>
    <x v="0"/>
    <x v="0"/>
    <x v="20"/>
    <n v="1.4366000000000001"/>
    <n v="2.8525"/>
    <n v="1.1071"/>
    <n v="10.09"/>
    <n v="20.329999999999998"/>
    <n v="7.64"/>
    <n v="0.14237859266600597"/>
    <n v="0.14030988686669948"/>
    <n v="0.14490837696335079"/>
    <n v="5.3962000000000003"/>
    <n v="38.059999999999995"/>
    <n v="0.14253228549868543"/>
  </r>
  <r>
    <s v="MUSTELA BEBE CLEANSING W 70 BAG KAPAK"/>
    <x v="53"/>
    <s v="MUSTELA (LABORATORY EXPANSCIENCE)"/>
    <x v="0"/>
    <x v="4"/>
    <x v="20"/>
    <n v="6.5038999999999998"/>
    <n v="6.5046999999999997"/>
    <n v="1.2238"/>
    <n v="46.08"/>
    <n v="47.101700000000001"/>
    <n v="9.65"/>
    <n v="0.14114366319444444"/>
    <n v="0.13809904950352109"/>
    <n v="0.12681865284974092"/>
    <n v="14.2324"/>
    <n v="102.83170000000001"/>
    <n v="0.13535378851590216"/>
  </r>
  <r>
    <s v="MUSTELA BEBE SOOTHING ALOE VERA 70 W BAG"/>
    <x v="53"/>
    <s v="MUSTELA (LABORATORY EXPANSCIENCE)"/>
    <x v="0"/>
    <x v="2"/>
    <x v="20"/>
    <n v="0"/>
    <n v="6.5199999999999994E-2"/>
    <n v="0"/>
    <n v="0"/>
    <n v="0.35370000000000001"/>
    <n v="0"/>
    <n v="0"/>
    <n v="0.18433700876448966"/>
    <n v="0"/>
    <n v="6.5199999999999994E-2"/>
    <n v="0.35370000000000001"/>
    <n v="6.1445669588163221E-2"/>
  </r>
  <r>
    <s v="LANSINOH BABY ALC.FREE W 80 BAG KAPAK"/>
    <x v="54"/>
    <s v="LANSINOH (LANSINOH LABORATORIE INC)"/>
    <x v="0"/>
    <x v="2"/>
    <x v="3"/>
    <n v="7.0000000000000001E-3"/>
    <n v="0"/>
    <n v="0"/>
    <n v="0.08"/>
    <n v="0"/>
    <n v="0"/>
    <n v="8.7499999999999994E-2"/>
    <n v="0"/>
    <n v="0"/>
    <n v="7.0000000000000001E-3"/>
    <n v="0.08"/>
    <n v="2.9166666666666664E-2"/>
  </r>
  <r>
    <s v="LARA BABY SOFT ALOE VERA W 100 BAG KAPAK"/>
    <x v="55"/>
    <s v="LARA (LARA KOZMETIK)"/>
    <x v="0"/>
    <x v="2"/>
    <x v="4"/>
    <n v="0"/>
    <n v="0"/>
    <n v="0.80289999999999995"/>
    <n v="0"/>
    <n v="0"/>
    <n v="36.833599999999997"/>
    <n v="0"/>
    <n v="0"/>
    <n v="2.1798032231440858E-2"/>
    <n v="0.80289999999999995"/>
    <n v="36.833599999999997"/>
    <n v="7.266010743813619E-3"/>
  </r>
  <r>
    <s v="LARA BABY SOFT CAMOMILE W 100 BAG KAPAK"/>
    <x v="55"/>
    <s v="LARA (LARA KOZMETIK)"/>
    <x v="0"/>
    <x v="1"/>
    <x v="4"/>
    <n v="9.9892000000000003"/>
    <n v="8.1153999999999993"/>
    <n v="3.5836999999999999"/>
    <n v="492.51530000000002"/>
    <n v="366.96510000000001"/>
    <n v="145.6557"/>
    <n v="2.0282009513207001E-2"/>
    <n v="2.2114909564969528E-2"/>
    <n v="2.4603911827686797E-2"/>
    <n v="21.688299999999998"/>
    <n v="1005.1361000000001"/>
    <n v="2.2333610301954441E-2"/>
  </r>
  <r>
    <s v="LARA BABY SOFT GERBERA DAISY W 100 BAG"/>
    <x v="55"/>
    <s v="LARA (LARA KOZMETIK)"/>
    <x v="0"/>
    <x v="2"/>
    <x v="4"/>
    <n v="2.3199999999999998E-2"/>
    <n v="2.375"/>
    <n v="2.0299"/>
    <n v="1.054"/>
    <n v="113.97580000000001"/>
    <n v="89.836200000000005"/>
    <n v="2.2011385199240983E-2"/>
    <n v="2.0837756786967056E-2"/>
    <n v="2.2595568378894031E-2"/>
    <n v="4.4281000000000006"/>
    <n v="204.86600000000001"/>
    <n v="2.1814903455034024E-2"/>
  </r>
  <r>
    <s v="LARA BABY SOFT LAVENDER W 100 BAG KAPAK"/>
    <x v="55"/>
    <s v="LARA (LARA KOZMETIK)"/>
    <x v="0"/>
    <x v="1"/>
    <x v="4"/>
    <n v="12.8912"/>
    <n v="14.945399999999999"/>
    <n v="2.4279000000000002"/>
    <n v="607.44449999999995"/>
    <n v="678.69550000000004"/>
    <n v="103.8368"/>
    <n v="2.1222021106454995E-2"/>
    <n v="2.2020773675381668E-2"/>
    <n v="2.3381883879318319E-2"/>
    <n v="30.264499999999998"/>
    <n v="1389.9767999999999"/>
    <n v="2.2208226220384996E-2"/>
  </r>
  <r>
    <s v="LARA BABY SOFT WILD ROSE W 100 BAG KAPAK"/>
    <x v="55"/>
    <s v="LARA (LARA KOZMETIK)"/>
    <x v="0"/>
    <x v="0"/>
    <x v="4"/>
    <n v="0"/>
    <n v="0.01"/>
    <n v="1.5183"/>
    <n v="0"/>
    <n v="0.48130000000000001"/>
    <n v="68.4452"/>
    <n v="0"/>
    <n v="2.0777062123415749E-2"/>
    <n v="2.2182709671386743E-2"/>
    <n v="1.5283"/>
    <n v="68.926500000000004"/>
    <n v="1.4319923931600831E-2"/>
  </r>
  <r>
    <s v="LARA BABYSOFT LEMON&amp;GRAPEFRUIT W 100 BAG"/>
    <x v="55"/>
    <s v="LARA (LARA KOZMETIK)"/>
    <x v="0"/>
    <x v="2"/>
    <x v="4"/>
    <n v="32.355400000000003"/>
    <n v="38.555399999999999"/>
    <n v="28.667999999999999"/>
    <n v="1339.7692"/>
    <n v="1517.8848"/>
    <n v="1147.3356000000001"/>
    <n v="2.4149980459320906E-2"/>
    <n v="2.5400741874482172E-2"/>
    <n v="2.4986586313542433E-2"/>
    <n v="99.578800000000001"/>
    <n v="4004.9895999999999"/>
    <n v="2.484576954911517E-2"/>
  </r>
  <r>
    <s v="LARA BABY SOFT ALOE VERA W 120 BAG KAPAK"/>
    <x v="55"/>
    <s v="LARA (LARA KOZMETIK)"/>
    <x v="0"/>
    <x v="1"/>
    <x v="5"/>
    <n v="39.0503"/>
    <n v="53.6008"/>
    <n v="45.671900000000001"/>
    <n v="2028.7261000000001"/>
    <n v="2727.4971999999998"/>
    <n v="2409.5587999999998"/>
    <n v="1.9248680243232438E-2"/>
    <n v="1.9652009175298146E-2"/>
    <n v="1.8954465854910868E-2"/>
    <n v="138.32300000000001"/>
    <n v="7165.7820999999994"/>
    <n v="1.928505175781382E-2"/>
  </r>
  <r>
    <s v="LARA BABY SOFT CAMOMILE BREEZE W 120 BAG"/>
    <x v="55"/>
    <s v="LARA (LARA KOZMETIK)"/>
    <x v="0"/>
    <x v="2"/>
    <x v="5"/>
    <n v="18.061"/>
    <n v="20.3689"/>
    <n v="25.3782"/>
    <n v="997.27200000000005"/>
    <n v="1129.9784999999999"/>
    <n v="1401.0871999999999"/>
    <n v="1.811040518534562E-2"/>
    <n v="1.8025918192248792E-2"/>
    <n v="1.8113219505538271E-2"/>
    <n v="63.808100000000003"/>
    <n v="3528.3377"/>
    <n v="1.8083180961044228E-2"/>
  </r>
  <r>
    <s v="LARA BABY SOFT CAMOMILE W 120 BAG KAPAK"/>
    <x v="55"/>
    <s v="LARA (LARA KOZMETIK)"/>
    <x v="0"/>
    <x v="1"/>
    <x v="5"/>
    <n v="60.256900000000002"/>
    <n v="59.171300000000002"/>
    <n v="46.391500000000001"/>
    <n v="3003.9076"/>
    <n v="2862.6754999999998"/>
    <n v="2309.9086000000002"/>
    <n v="2.0059505159213287E-2"/>
    <n v="2.0669929232286371E-2"/>
    <n v="2.0083695086463592E-2"/>
    <n v="165.81970000000001"/>
    <n v="8176.4917000000005"/>
    <n v="2.0271043159321083E-2"/>
  </r>
  <r>
    <s v="LARA BABY SOFT GERBER W 120 BAG KAPAK"/>
    <x v="55"/>
    <s v="LARA (LARA KOZMETIK)"/>
    <x v="0"/>
    <x v="1"/>
    <x v="5"/>
    <n v="20.0168"/>
    <n v="19.4117"/>
    <n v="16.676400000000001"/>
    <n v="1086.6414"/>
    <n v="1089.1328000000001"/>
    <n v="913.75469999999996"/>
    <n v="1.8420796409928795E-2"/>
    <n v="1.782307905886224E-2"/>
    <n v="1.8250412282421094E-2"/>
    <n v="56.104900000000001"/>
    <n v="3089.5288999999998"/>
    <n v="1.8164762583737375E-2"/>
  </r>
  <r>
    <s v="LARA BABY SOFT LAVENDER W 120 BAG KAPAK"/>
    <x v="55"/>
    <s v="LARA (LARA KOZMETIK)"/>
    <x v="0"/>
    <x v="1"/>
    <x v="5"/>
    <n v="15.4658"/>
    <n v="23.898299999999999"/>
    <n v="20.8841"/>
    <n v="835.59469999999999"/>
    <n v="1304.8905999999999"/>
    <n v="1122.8086000000001"/>
    <n v="1.8508733959179013E-2"/>
    <n v="1.8314408886078267E-2"/>
    <n v="1.8599875348300678E-2"/>
    <n v="60.248199999999997"/>
    <n v="3263.2938999999997"/>
    <n v="1.8474339397852656E-2"/>
  </r>
  <r>
    <s v="LARA BABY SOFT WILD ROSE W 120 BAG KAPAK"/>
    <x v="55"/>
    <s v="LARA (LARA KOZMETIK)"/>
    <x v="0"/>
    <x v="0"/>
    <x v="5"/>
    <n v="17.192699999999999"/>
    <n v="14.837400000000001"/>
    <n v="10.0755"/>
    <n v="845.18690000000004"/>
    <n v="818.97209999999995"/>
    <n v="554.23329999999999"/>
    <n v="2.034189124322679E-2"/>
    <n v="1.8117100692441174E-2"/>
    <n v="1.8179167509422476E-2"/>
    <n v="42.105599999999995"/>
    <n v="2218.3923"/>
    <n v="1.8879386481696816E-2"/>
  </r>
  <r>
    <s v="LARA BABYSOFT LEMON&amp;GRAPEFRUIT W 120 BAG"/>
    <x v="55"/>
    <s v="LARA (LARA KOZMETIK)"/>
    <x v="0"/>
    <x v="2"/>
    <x v="5"/>
    <n v="12.4558"/>
    <n v="19.5045"/>
    <n v="19.680399999999999"/>
    <n v="695.70420000000001"/>
    <n v="1080.8305"/>
    <n v="1068.2409"/>
    <n v="1.7903873514059566E-2"/>
    <n v="1.804584530136779E-2"/>
    <n v="1.8423185257183092E-2"/>
    <n v="51.640699999999995"/>
    <n v="2844.7755999999999"/>
    <n v="1.8124301357536815E-2"/>
  </r>
  <r>
    <s v="LARA BABYSOFT PREMIUM ALC.FREE W 120 BAG"/>
    <x v="55"/>
    <s v="LARA (LARA KOZMETIK)"/>
    <x v="0"/>
    <x v="2"/>
    <x v="5"/>
    <n v="29.7578"/>
    <n v="42.059199999999997"/>
    <n v="37.9373"/>
    <n v="1513.1635000000001"/>
    <n v="2139.8314999999998"/>
    <n v="1997.7666999999999"/>
    <n v="1.9665951498301405E-2"/>
    <n v="1.9655379407210335E-2"/>
    <n v="1.898985502160988E-2"/>
    <n v="109.7543"/>
    <n v="5650.7617"/>
    <n v="1.9437061975707205E-2"/>
  </r>
  <r>
    <s v="LARA BABY SOFT&amp;FRESH PH5.5 W 20 BAG"/>
    <x v="55"/>
    <s v="LARA (LARA KOZMETIK)"/>
    <x v="0"/>
    <x v="1"/>
    <x v="0"/>
    <n v="12.4033"/>
    <n v="7.0781999999999998"/>
    <n v="1.7199"/>
    <n v="294.48759999999999"/>
    <n v="150.97989999999999"/>
    <n v="36.068199999999997"/>
    <n v="4.211824199049468E-2"/>
    <n v="4.6881737237870737E-2"/>
    <n v="4.7684664053099408E-2"/>
    <n v="21.2014"/>
    <n v="481.53569999999996"/>
    <n v="4.556154776048827E-2"/>
  </r>
  <r>
    <s v="LARA BABY SOFT ALOE VERA W 40 BAG"/>
    <x v="55"/>
    <s v="LARA (LARA KOZMETIK)"/>
    <x v="0"/>
    <x v="2"/>
    <x v="7"/>
    <n v="1.6268"/>
    <n v="0"/>
    <n v="0"/>
    <n v="65.1297"/>
    <n v="0"/>
    <n v="0"/>
    <n v="2.4977851886313004E-2"/>
    <n v="0"/>
    <n v="0"/>
    <n v="1.6268"/>
    <n v="65.1297"/>
    <n v="8.3259506287710009E-3"/>
  </r>
  <r>
    <s v="LARA BABY SOFT VIT E&amp;PRO VIT B5 W 40 BAG"/>
    <x v="55"/>
    <s v="LARA (LARA KOZMETIK)"/>
    <x v="0"/>
    <x v="2"/>
    <x v="7"/>
    <n v="2.5358999999999998"/>
    <n v="0"/>
    <n v="0"/>
    <n v="101.7274"/>
    <n v="0"/>
    <n v="0"/>
    <n v="2.4928387042232474E-2"/>
    <n v="0"/>
    <n v="0"/>
    <n v="2.5358999999999998"/>
    <n v="101.7274"/>
    <n v="8.3094623474108242E-3"/>
  </r>
  <r>
    <s v="LARA CARE BABY 99%WATER PREBIOTIC W 60"/>
    <x v="55"/>
    <s v="LARA (LARA KOZMETIK)"/>
    <x v="0"/>
    <x v="0"/>
    <x v="13"/>
    <n v="0"/>
    <n v="0"/>
    <n v="3.6318999999999999"/>
    <n v="0"/>
    <n v="0"/>
    <n v="71.160700000000006"/>
    <n v="0"/>
    <n v="0"/>
    <n v="5.1038002717792262E-2"/>
    <n v="3.6318999999999999"/>
    <n v="71.160700000000006"/>
    <n v="1.701266757259742E-2"/>
  </r>
  <r>
    <s v="LARA BABY FRESH W 72 BAG/KAPACHE"/>
    <x v="55"/>
    <s v="LARA (LARA KOZMETIK)"/>
    <x v="0"/>
    <x v="0"/>
    <x v="10"/>
    <n v="17.9986"/>
    <n v="13.0489"/>
    <n v="10.643000000000001"/>
    <n v="650.62580000000003"/>
    <n v="424.79559999999998"/>
    <n v="323.3997"/>
    <n v="2.7663520260032725E-2"/>
    <n v="3.071806770126621E-2"/>
    <n v="3.2909739866796413E-2"/>
    <n v="41.6905"/>
    <n v="1398.8210999999999"/>
    <n v="3.0430442609365116E-2"/>
  </r>
  <r>
    <s v="LARA BABY SENSITIVE PH5.5 W 72 BAG"/>
    <x v="55"/>
    <s v="LARA (LARA KOZMETIK)"/>
    <x v="0"/>
    <x v="3"/>
    <x v="10"/>
    <n v="18.099399999999999"/>
    <n v="12.3561"/>
    <n v="12.3432"/>
    <n v="1018.4675999999999"/>
    <n v="683.55870000000004"/>
    <n v="606.59050000000002"/>
    <n v="1.7771208431176407E-2"/>
    <n v="1.8076135963158685E-2"/>
    <n v="2.0348488807523362E-2"/>
    <n v="42.798699999999997"/>
    <n v="2308.6167999999998"/>
    <n v="1.8731944400619486E-2"/>
  </r>
  <r>
    <s v="LARA BABY SOFT CAMOMILE W 72 BAG/KAPACHE"/>
    <x v="55"/>
    <s v="LARA (LARA KOZMETIK)"/>
    <x v="0"/>
    <x v="0"/>
    <x v="10"/>
    <n v="13.9643"/>
    <n v="11.9328"/>
    <n v="7.4202000000000004"/>
    <n v="510.25119999999998"/>
    <n v="382.31479999999999"/>
    <n v="215.15559999999999"/>
    <n v="2.7367500556588598E-2"/>
    <n v="3.1211975053019137E-2"/>
    <n v="3.4487598742491486E-2"/>
    <n v="33.317300000000003"/>
    <n v="1107.7216000000001"/>
    <n v="3.1022358117366405E-2"/>
  </r>
  <r>
    <s v="LARA BABY SOFT PH5.5 W 72 BAG"/>
    <x v="55"/>
    <s v="LARA (LARA KOZMETIK)"/>
    <x v="0"/>
    <x v="1"/>
    <x v="10"/>
    <n v="0"/>
    <n v="0.56559999999999999"/>
    <n v="0.19719999999999999"/>
    <n v="0"/>
    <n v="6.4855"/>
    <n v="8.6998999999999995"/>
    <n v="0"/>
    <n v="8.7209929843497028E-2"/>
    <n v="2.2666927206059839E-2"/>
    <n v="0.76279999999999992"/>
    <n v="15.1854"/>
    <n v="3.6625619016518958E-2"/>
  </r>
  <r>
    <s v="LARA BABY SOFT PH5.5 W 72 BAG KAPAK"/>
    <x v="55"/>
    <s v="LARA (LARA KOZMETIK)"/>
    <x v="0"/>
    <x v="1"/>
    <x v="10"/>
    <n v="11.936500000000001"/>
    <n v="11.3424"/>
    <n v="2.8279999999999998"/>
    <n v="494.98500000000001"/>
    <n v="456.52679999999998"/>
    <n v="127.90179999999999"/>
    <n v="2.4114872167843471E-2"/>
    <n v="2.4844981718488379E-2"/>
    <n v="2.2110713062677773E-2"/>
    <n v="26.1069"/>
    <n v="1079.4136000000001"/>
    <n v="2.3690188983003208E-2"/>
  </r>
  <r>
    <s v="LARA BABY SOFT VIT E&amp;PRO VIT B5 W 72 BAG"/>
    <x v="55"/>
    <s v="LARA (LARA KOZMETIK)"/>
    <x v="0"/>
    <x v="2"/>
    <x v="10"/>
    <n v="16.799600000000002"/>
    <n v="11.79"/>
    <n v="3.1292"/>
    <n v="633.09360000000004"/>
    <n v="491.60489999999999"/>
    <n v="123.1259"/>
    <n v="2.6535728682141158E-2"/>
    <n v="2.398267389116748E-2"/>
    <n v="2.5414636563062684E-2"/>
    <n v="31.718800000000002"/>
    <n v="1247.8244"/>
    <n v="2.5311013045457107E-2"/>
  </r>
  <r>
    <s v="LARA BABY SOFT&amp;FRESH W 72 BAG"/>
    <x v="55"/>
    <s v="LARA (LARA KOZMETIK)"/>
    <x v="0"/>
    <x v="1"/>
    <x v="10"/>
    <n v="15.0557"/>
    <n v="9.7439"/>
    <n v="7.3936000000000002"/>
    <n v="945.80409999999995"/>
    <n v="583.28309999999999"/>
    <n v="424.78879999999998"/>
    <n v="1.5918412703011121E-2"/>
    <n v="1.6705267133575445E-2"/>
    <n v="1.7405355320102602E-2"/>
    <n v="32.193199999999997"/>
    <n v="1953.876"/>
    <n v="1.6676345052229723E-2"/>
  </r>
  <r>
    <s v="LARA BABY SPECIAL FORMULA VIT E W 72 BAG"/>
    <x v="55"/>
    <s v="LARA (LARA KOZMETIK)"/>
    <x v="0"/>
    <x v="1"/>
    <x v="10"/>
    <n v="2.5228000000000002"/>
    <n v="0"/>
    <n v="0"/>
    <n v="102.04300000000001"/>
    <n v="0"/>
    <n v="0"/>
    <n v="2.4722910929706104E-2"/>
    <n v="0"/>
    <n v="0"/>
    <n v="2.5228000000000002"/>
    <n v="102.04300000000001"/>
    <n v="8.2409703099020348E-3"/>
  </r>
  <r>
    <s v="LARA BABY SOFT ALOE VERA W 80 BAG KAPAK"/>
    <x v="55"/>
    <s v="LARA (LARA KOZMETIK)"/>
    <x v="0"/>
    <x v="2"/>
    <x v="3"/>
    <n v="5.8501000000000003"/>
    <n v="3.1604999999999999"/>
    <n v="1.1102000000000001"/>
    <n v="279.7971"/>
    <n v="133.69110000000001"/>
    <n v="49.716799999999999"/>
    <n v="2.0908365383343858E-2"/>
    <n v="2.36403171190902E-2"/>
    <n v="2.2330479837801308E-2"/>
    <n v="10.120800000000001"/>
    <n v="463.20499999999998"/>
    <n v="2.2293054113411787E-2"/>
  </r>
  <r>
    <s v="LARA BABY SOFT WILD ROSE W 80 BAG KAPAK"/>
    <x v="55"/>
    <s v="LARA (LARA KOZMETIK)"/>
    <x v="0"/>
    <x v="0"/>
    <x v="3"/>
    <n v="3.5649999999999999"/>
    <n v="3.9624000000000001"/>
    <n v="3.0468999999999999"/>
    <n v="186.07509999999999"/>
    <n v="188.92570000000001"/>
    <n v="146.31370000000001"/>
    <n v="1.9158930990766633E-2"/>
    <n v="2.0973324433891206E-2"/>
    <n v="2.0824434075551363E-2"/>
    <n v="10.574300000000001"/>
    <n v="521.31450000000007"/>
    <n v="2.0318896500069735E-2"/>
  </r>
  <r>
    <s v="LARA BABYSOFT CAMOMILEBREEZ.W 80 BAG KAP"/>
    <x v="55"/>
    <s v="LARA (LARA KOZMETIK)"/>
    <x v="0"/>
    <x v="2"/>
    <x v="3"/>
    <n v="4.5880999999999998"/>
    <n v="5.0932000000000004"/>
    <n v="5.0259"/>
    <n v="237.0685"/>
    <n v="259.80410000000001"/>
    <n v="248.8639"/>
    <n v="1.9353478003193168E-2"/>
    <n v="1.9604001630459257E-2"/>
    <n v="2.019537586608584E-2"/>
    <n v="14.7072"/>
    <n v="745.73649999999998"/>
    <n v="1.9717618499912756E-2"/>
  </r>
  <r>
    <s v="LARA BABY SOFT EXTRA W 96 BAG/KAPACHE"/>
    <x v="55"/>
    <s v="LARA (LARA KOZMETIK)"/>
    <x v="0"/>
    <x v="0"/>
    <x v="25"/>
    <n v="0"/>
    <n v="7.0000000000000001E-3"/>
    <n v="0"/>
    <n v="0"/>
    <n v="0.32779999999999998"/>
    <n v="0"/>
    <n v="0"/>
    <n v="2.1354484441732765E-2"/>
    <n v="0"/>
    <n v="7.0000000000000001E-3"/>
    <n v="0.32779999999999998"/>
    <n v="7.1181614805775886E-3"/>
  </r>
  <r>
    <s v="PUFY FRESH GERBERA PH5.5 W 120 BAG"/>
    <x v="55"/>
    <s v="PUFY (LARA COSMETIC)"/>
    <x v="0"/>
    <x v="1"/>
    <x v="5"/>
    <n v="3.0200000000000001E-2"/>
    <n v="2.0104000000000002"/>
    <n v="1.0045999999999999"/>
    <n v="1.4571000000000001"/>
    <n v="118.0438"/>
    <n v="56.873399999999997"/>
    <n v="2.0726099787248646E-2"/>
    <n v="1.7030966471767259E-2"/>
    <n v="1.7663793618809497E-2"/>
    <n v="3.0451999999999999"/>
    <n v="176.37430000000001"/>
    <n v="1.8473619959275132E-2"/>
  </r>
  <r>
    <s v="TOP BLITZ CREAM VIT E W 72 BAG"/>
    <x v="55"/>
    <s v="TOP BLITZ (LARA KOSMETICK)"/>
    <x v="0"/>
    <x v="0"/>
    <x v="10"/>
    <n v="0.1913"/>
    <n v="0.55200000000000005"/>
    <n v="4.3700000000000003E-2"/>
    <n v="6.9211999999999998"/>
    <n v="19.9695"/>
    <n v="1.2094"/>
    <n v="2.7639715656244582E-2"/>
    <n v="2.7642154285285062E-2"/>
    <n v="3.6133619976848025E-2"/>
    <n v="0.78700000000000003"/>
    <n v="28.100099999999998"/>
    <n v="3.0471829972792557E-2"/>
  </r>
  <r>
    <s v="CONFY BABY PH5.5 W 40 BAG"/>
    <x v="56"/>
    <s v="CONFY (LIDERSAN SAGLIK VE GIDA)"/>
    <x v="0"/>
    <x v="1"/>
    <x v="7"/>
    <n v="2.6700000000000002E-2"/>
    <n v="6.6E-3"/>
    <n v="0"/>
    <n v="1.3361000000000001"/>
    <n v="0.32919999999999999"/>
    <n v="0"/>
    <n v="1.9983534166604297E-2"/>
    <n v="2.0048602673147023E-2"/>
    <n v="0"/>
    <n v="3.3300000000000003E-2"/>
    <n v="1.6653"/>
    <n v="1.3344045613250441E-2"/>
  </r>
  <r>
    <s v="CONFY BABY SENSITIVE W 90 BAG"/>
    <x v="56"/>
    <s v="CONFY (LIDERSAN SAGLIK VE GIDA)"/>
    <x v="0"/>
    <x v="3"/>
    <x v="11"/>
    <n v="6.93E-2"/>
    <n v="0.19889999999999999"/>
    <n v="0"/>
    <n v="3.0247000000000002"/>
    <n v="8.6912000000000003"/>
    <n v="0"/>
    <n v="2.2911363110391113E-2"/>
    <n v="2.2885217231222384E-2"/>
    <n v="0"/>
    <n v="0.26819999999999999"/>
    <n v="11.715900000000001"/>
    <n v="1.5265526780537832E-2"/>
  </r>
  <r>
    <s v="CONFY BABY SENSITIVE W 90 BAG PINK"/>
    <x v="56"/>
    <s v="CONFY (LIDERSAN SAGLIK VE GIDA)"/>
    <x v="0"/>
    <x v="3"/>
    <x v="11"/>
    <n v="7.6300000000000007E-2"/>
    <n v="0.42759999999999998"/>
    <n v="0.15670000000000001"/>
    <n v="3.4260000000000002"/>
    <n v="18.685099999999998"/>
    <n v="6.8449999999999998"/>
    <n v="2.2270869819030942E-2"/>
    <n v="2.2884544369577899E-2"/>
    <n v="2.2892622352081813E-2"/>
    <n v="0.66060000000000008"/>
    <n v="28.956099999999999"/>
    <n v="2.2682678846896884E-2"/>
  </r>
  <r>
    <s v="MIMOSA BABY ALOE VERA 64 BAG"/>
    <x v="57"/>
    <s v="MIMOSA (MAPA INTERNATIONAL)"/>
    <x v="0"/>
    <x v="0"/>
    <x v="9"/>
    <n v="13.539"/>
    <n v="14.939299999999999"/>
    <n v="5.9192"/>
    <n v="399.25150000000002"/>
    <n v="471.38619999999997"/>
    <n v="172.6644"/>
    <n v="3.3910955876183306E-2"/>
    <n v="3.1692272705480133E-2"/>
    <n v="3.4281531108902585E-2"/>
    <n v="34.397499999999994"/>
    <n v="1043.3020999999999"/>
    <n v="3.3294919896855339E-2"/>
  </r>
  <r>
    <s v="MIMOSA BABY CHAMOMILE 64 BAG"/>
    <x v="57"/>
    <s v="MIMOSA (MAPA INTERNATIONAL)"/>
    <x v="0"/>
    <x v="0"/>
    <x v="9"/>
    <n v="9.7232000000000003"/>
    <n v="14.417199999999999"/>
    <n v="5.9874999999999998"/>
    <n v="300.88780000000003"/>
    <n v="488.67129999999997"/>
    <n v="199.4579"/>
    <n v="3.2315035704338961E-2"/>
    <n v="2.950285805612075E-2"/>
    <n v="3.0018866136663425E-2"/>
    <n v="30.1279"/>
    <n v="989.01699999999994"/>
    <n v="3.0612253299041044E-2"/>
  </r>
  <r>
    <s v="MIMOSA BABY PH5.5 72 BAG KAPAK"/>
    <x v="57"/>
    <s v="MIMOSA (MAPA INTERNATIONAL)"/>
    <x v="0"/>
    <x v="1"/>
    <x v="10"/>
    <n v="0.4834"/>
    <n v="0"/>
    <n v="0"/>
    <n v="12.901899999999999"/>
    <n v="0"/>
    <n v="0"/>
    <n v="3.7467349770188889E-2"/>
    <n v="0"/>
    <n v="0"/>
    <n v="0.4834"/>
    <n v="12.901899999999999"/>
    <n v="1.2489116590062964E-2"/>
  </r>
  <r>
    <s v="SENCE BABY SENSITIVE PH5.5 W 60 BAG"/>
    <x v="58"/>
    <s v="SENCE (MAXBRANDS MARKETING B.V.)"/>
    <x v="0"/>
    <x v="3"/>
    <x v="13"/>
    <n v="0.13550000000000001"/>
    <n v="0"/>
    <n v="0"/>
    <n v="3.2519"/>
    <n v="0"/>
    <n v="0"/>
    <n v="4.1667947968879737E-2"/>
    <n v="0"/>
    <n v="0"/>
    <n v="0.13550000000000001"/>
    <n v="3.2519"/>
    <n v="1.388931598962658E-2"/>
  </r>
  <r>
    <s v="BABY CARE CHAMOMILE 4X12/2FR BAG"/>
    <x v="59"/>
    <s v="BABY CARE (MEGA)"/>
    <x v="0"/>
    <x v="5"/>
    <x v="26"/>
    <n v="0"/>
    <n v="2.3E-3"/>
    <n v="0"/>
    <n v="0"/>
    <n v="4.8000000000000001E-2"/>
    <n v="0"/>
    <n v="0"/>
    <n v="4.7916666666666663E-2"/>
    <n v="0"/>
    <n v="2.3E-3"/>
    <n v="4.8000000000000001E-2"/>
    <n v="1.5972222222222221E-2"/>
  </r>
  <r>
    <s v="BABY CARE CHAMOMILE W 12 BAG"/>
    <x v="59"/>
    <s v="BABY CARE (MEGA)"/>
    <x v="0"/>
    <x v="5"/>
    <x v="26"/>
    <n v="3.7978999999999998"/>
    <n v="0.23119999999999999"/>
    <n v="5.57E-2"/>
    <n v="45.909399999999998"/>
    <n v="3.0430999999999999"/>
    <n v="0.74270000000000003"/>
    <n v="8.272597768648686E-2"/>
    <n v="7.5975156912359107E-2"/>
    <n v="7.4996633903325699E-2"/>
    <n v="4.0847999999999995"/>
    <n v="49.6952"/>
    <n v="7.789925616739056E-2"/>
  </r>
  <r>
    <s v="BABY CARE CHAMOMILE W 3X12/1FR BAG"/>
    <x v="59"/>
    <s v="BABY CARE (MEGA)"/>
    <x v="0"/>
    <x v="5"/>
    <x v="26"/>
    <n v="10.1713"/>
    <n v="1.4034"/>
    <n v="0.79169999999999996"/>
    <n v="191.46350000000001"/>
    <n v="25.065200000000001"/>
    <n v="12.493499999999999"/>
    <n v="5.3123963575302864E-2"/>
    <n v="5.5989978137018656E-2"/>
    <n v="6.3368951854964578E-2"/>
    <n v="12.366400000000001"/>
    <n v="229.02220000000003"/>
    <n v="5.7494297855762037E-2"/>
  </r>
  <r>
    <s v="BABY CARE TRAVEL CHAMOMILE 20 BAG"/>
    <x v="59"/>
    <s v="BABY CARE (MEGA)"/>
    <x v="0"/>
    <x v="5"/>
    <x v="0"/>
    <n v="8.9099999999999999E-2"/>
    <n v="0"/>
    <n v="0"/>
    <n v="1.4943"/>
    <n v="0"/>
    <n v="0"/>
    <n v="5.9626581007829756E-2"/>
    <n v="0"/>
    <n v="0"/>
    <n v="8.9099999999999999E-2"/>
    <n v="1.4943"/>
    <n v="1.987552700260992E-2"/>
  </r>
  <r>
    <s v="BABY CARE CLAMING PURE WATER 63 BAG"/>
    <x v="59"/>
    <s v="BABY CARE (MEGA)"/>
    <x v="0"/>
    <x v="0"/>
    <x v="17"/>
    <n v="16.7622"/>
    <n v="54.880099999999999"/>
    <n v="30.8141"/>
    <n v="558.82709999999997"/>
    <n v="1712.2448999999999"/>
    <n v="842.72770000000003"/>
    <n v="2.9995324135139476E-2"/>
    <n v="3.2051548233550005E-2"/>
    <n v="3.6564717167834875E-2"/>
    <n v="102.4564"/>
    <n v="3113.7997"/>
    <n v="3.2870529845508117E-2"/>
  </r>
  <r>
    <s v="BABY CARE PURE COTTON EXTRACT 63 BAG"/>
    <x v="59"/>
    <s v="BABY CARE (MEGA)"/>
    <x v="0"/>
    <x v="0"/>
    <x v="17"/>
    <n v="61.024299999999997"/>
    <n v="69.369399999999999"/>
    <n v="37.2607"/>
    <n v="1986.0632000000001"/>
    <n v="2074.7809000000002"/>
    <n v="1026.0545999999999"/>
    <n v="3.0726262890324939E-2"/>
    <n v="3.3434566512541154E-2"/>
    <n v="3.6314539206782952E-2"/>
    <n v="167.65440000000001"/>
    <n v="5086.8986999999997"/>
    <n v="3.3491789536549681E-2"/>
  </r>
  <r>
    <s v="BABY CARE SENSITIVE OLIVE EXTRACT 63 BAG"/>
    <x v="59"/>
    <s v="BABY CARE (MEGA)"/>
    <x v="0"/>
    <x v="3"/>
    <x v="17"/>
    <n v="99.720299999999995"/>
    <n v="82.962900000000005"/>
    <n v="1.6460999999999999"/>
    <n v="3124.0421999999999"/>
    <n v="2460.6639"/>
    <n v="45.897799999999997"/>
    <n v="3.1920279437966617E-2"/>
    <n v="3.3715656981841369E-2"/>
    <n v="3.5864464091960833E-2"/>
    <n v="184.32929999999999"/>
    <n v="5630.6038999999992"/>
    <n v="3.3833466837256271E-2"/>
  </r>
  <r>
    <s v="BABY CARE TRAVEL CHAMOMILE 72 BAG RE"/>
    <x v="59"/>
    <s v="BABY CARE (MEGA)"/>
    <x v="0"/>
    <x v="0"/>
    <x v="10"/>
    <n v="86.361699999999999"/>
    <n v="101.56570000000001"/>
    <n v="54.776899999999998"/>
    <n v="3022.1621"/>
    <n v="3499.3182999999999"/>
    <n v="1704.9738"/>
    <n v="2.8576130975899672E-2"/>
    <n v="2.9024424557205903E-2"/>
    <n v="3.2127707768881845E-2"/>
    <n v="242.70429999999999"/>
    <n v="8226.4542000000001"/>
    <n v="2.990942110066247E-2"/>
  </r>
  <r>
    <s v="BABYLINO SENSITIVE ARNIKA&amp;CHAM W10+WIPFI"/>
    <x v="59"/>
    <s v="BABYLINO (MEGA S.A.)"/>
    <x v="0"/>
    <x v="3"/>
    <x v="1"/>
    <n v="0"/>
    <n v="0"/>
    <n v="0"/>
    <n v="0.2349"/>
    <n v="0"/>
    <n v="0"/>
    <n v="0"/>
    <n v="0"/>
    <n v="0"/>
    <n v="0"/>
    <n v="0.2349"/>
    <n v="0"/>
  </r>
  <r>
    <s v="BABY LINO SENSITIVE CHAMOMILE W 3X54/1FR"/>
    <x v="59"/>
    <s v="BABYLINO (MEGA S.A.)"/>
    <x v="0"/>
    <x v="3"/>
    <x v="27"/>
    <n v="0"/>
    <n v="0"/>
    <n v="0"/>
    <n v="0"/>
    <n v="0"/>
    <n v="0"/>
    <n v="0"/>
    <n v="0"/>
    <n v="0"/>
    <n v="0"/>
    <n v="0"/>
    <n v="0"/>
  </r>
  <r>
    <s v="BABY LINO SENSITIVE CHAMOMILE W 54 BAG"/>
    <x v="59"/>
    <s v="BABYLINO (MEGA S.A.)"/>
    <x v="0"/>
    <x v="3"/>
    <x v="27"/>
    <n v="23.7104"/>
    <n v="2.5188000000000001"/>
    <n v="0.15770000000000001"/>
    <n v="549.04570000000001"/>
    <n v="49.080599999999997"/>
    <n v="2.9064000000000001"/>
    <n v="4.3184747644868175E-2"/>
    <n v="5.1319666018752833E-2"/>
    <n v="5.4259565097715387E-2"/>
    <n v="26.386899999999997"/>
    <n v="601.03269999999998"/>
    <n v="4.9587992920445467E-2"/>
  </r>
  <r>
    <s v="BABYLINO SENSITIVE ARNIKACHAMOMILE W 54"/>
    <x v="59"/>
    <s v="BABYLINO (MEGA S.A.)"/>
    <x v="0"/>
    <x v="3"/>
    <x v="27"/>
    <n v="34.488300000000002"/>
    <n v="5.6889000000000003"/>
    <n v="0.2626"/>
    <n v="739.96220000000005"/>
    <n v="104.66840000000001"/>
    <n v="4.7222"/>
    <n v="4.660819160762536E-2"/>
    <n v="5.4351647679719957E-2"/>
    <n v="5.560967345728686E-2"/>
    <n v="40.439799999999998"/>
    <n v="849.35280000000012"/>
    <n v="5.2189837581544052E-2"/>
  </r>
  <r>
    <s v="BABYLINO SENSITIVE CHAMOMILE W 54+10 BAG"/>
    <x v="59"/>
    <s v="BABYLINO (MEGA S.A.)"/>
    <x v="0"/>
    <x v="3"/>
    <x v="27"/>
    <n v="0.31869999999999998"/>
    <n v="0"/>
    <n v="0"/>
    <n v="6.5327000000000002"/>
    <n v="0"/>
    <n v="0"/>
    <n v="4.8785341436159625E-2"/>
    <n v="0"/>
    <n v="0"/>
    <n v="0.31869999999999998"/>
    <n v="6.5327000000000002"/>
    <n v="1.6261780478719876E-2"/>
  </r>
  <r>
    <s v="BABYLINO SENSITIVE CHAMOMILE W 54+WIP 10"/>
    <x v="59"/>
    <s v="BABYLINO (MEGA S.A.)"/>
    <x v="0"/>
    <x v="3"/>
    <x v="27"/>
    <n v="7.1499999999999994E-2"/>
    <n v="0"/>
    <n v="0"/>
    <n v="1.2682"/>
    <n v="0"/>
    <n v="0"/>
    <n v="5.6379120012616302E-2"/>
    <n v="0"/>
    <n v="0"/>
    <n v="7.1499999999999994E-2"/>
    <n v="1.2682"/>
    <n v="1.8793040004205435E-2"/>
  </r>
  <r>
    <s v="HUGGLO WET&amp;SOFT W 100 BAG KAPAK"/>
    <x v="60"/>
    <s v="HUGGLO (MIS SAGLIK SAN.)"/>
    <x v="0"/>
    <x v="2"/>
    <x v="4"/>
    <n v="0"/>
    <n v="0"/>
    <n v="0"/>
    <n v="0"/>
    <n v="0"/>
    <n v="0"/>
    <n v="0"/>
    <n v="0"/>
    <n v="0"/>
    <n v="0"/>
    <n v="0"/>
    <n v="0"/>
  </r>
  <r>
    <s v="L'UNICO BABY OLIO DI ARGAN HYPO.W 72 BAG"/>
    <x v="61"/>
    <s v="L'UNICO (MONTRASIO)"/>
    <x v="0"/>
    <x v="4"/>
    <x v="10"/>
    <n v="0"/>
    <n v="6.2138"/>
    <n v="8.77E-2"/>
    <n v="0"/>
    <n v="384.83499999999998"/>
    <n v="5.7408999999999999"/>
    <n v="0"/>
    <n v="1.6146660256993257E-2"/>
    <n v="1.5276350398021216E-2"/>
    <n v="6.3014999999999999"/>
    <n v="390.57589999999999"/>
    <n v="1.0474336885004825E-2"/>
  </r>
  <r>
    <s v="BIG SOFT SENSITIVE WITH CREAM 100 BAG"/>
    <x v="62"/>
    <s v="BIG SOFT (MORAMEX GROUP / TOBI MG LTD)"/>
    <x v="0"/>
    <x v="3"/>
    <x v="4"/>
    <n v="2.8529"/>
    <n v="0"/>
    <n v="0"/>
    <n v="195.97380000000001"/>
    <n v="0"/>
    <n v="0"/>
    <n v="1.4557558204208929E-2"/>
    <n v="0"/>
    <n v="0"/>
    <n v="2.8529"/>
    <n v="195.97380000000001"/>
    <n v="4.8525194014029764E-3"/>
  </r>
  <r>
    <s v="BIGSOFT SENSITIVEWITHCREAM 100 BAG KAPAK"/>
    <x v="62"/>
    <s v="BIG SOFT (MORAMEX GROUP / TOBI MG LTD)"/>
    <x v="0"/>
    <x v="3"/>
    <x v="4"/>
    <n v="13.515499999999999"/>
    <n v="1.9742999999999999"/>
    <n v="2.98E-2"/>
    <n v="813.32730000000004"/>
    <n v="103.7679"/>
    <n v="1.4246000000000001"/>
    <n v="1.6617541302253101E-2"/>
    <n v="1.9026115012446044E-2"/>
    <n v="2.0918152463849499E-2"/>
    <n v="15.519599999999999"/>
    <n v="918.51980000000003"/>
    <n v="1.8853936259516216E-2"/>
  </r>
  <r>
    <s v="BIG SOFT CREAM SENS.PH5.5 W 120 BAG"/>
    <x v="62"/>
    <s v="BIG SOFT (MORAMEX GROUP / TOBI MG LTD)"/>
    <x v="0"/>
    <x v="3"/>
    <x v="5"/>
    <n v="0"/>
    <n v="47.540100000000002"/>
    <n v="13.0617"/>
    <n v="0"/>
    <n v="2356.4949999999999"/>
    <n v="720.12469999999996"/>
    <n v="0"/>
    <n v="2.0174072085873303E-2"/>
    <n v="1.8138108580361152E-2"/>
    <n v="60.601800000000004"/>
    <n v="3076.6196999999997"/>
    <n v="1.2770726888744819E-2"/>
  </r>
  <r>
    <s v="BIG SOFT SENSITIVE OLIVE OIL ALOE 70 BAG"/>
    <x v="62"/>
    <s v="BIG SOFT (MORAMEX GROUP / TOBI MG LTD)"/>
    <x v="0"/>
    <x v="3"/>
    <x v="20"/>
    <n v="4.0548000000000002"/>
    <n v="2.4268999999999998"/>
    <n v="0"/>
    <n v="220.69159999999999"/>
    <n v="134.58930000000001"/>
    <n v="0"/>
    <n v="1.8373150586610456E-2"/>
    <n v="1.8031894065872991E-2"/>
    <n v="0"/>
    <n v="6.4817"/>
    <n v="355.28089999999997"/>
    <n v="1.2135014884161148E-2"/>
  </r>
  <r>
    <s v="HAPPY FAMILY BABY PH5.5 W 70 BAG"/>
    <x v="62"/>
    <s v="HAPPY (MORAMEX GROUP / TOBI MG LTD)"/>
    <x v="0"/>
    <x v="1"/>
    <x v="20"/>
    <n v="42.300199999999997"/>
    <n v="20.829499999999999"/>
    <n v="4.8948"/>
    <n v="2912.5239999999999"/>
    <n v="1143.2672"/>
    <n v="245.0727"/>
    <n v="1.4523554140669741E-2"/>
    <n v="1.8219275423977877E-2"/>
    <n v="1.9972848873007886E-2"/>
    <n v="68.024500000000003"/>
    <n v="4300.8638999999994"/>
    <n v="1.7571892812551837E-2"/>
  </r>
  <r>
    <s v="MORS CHAMOMILE PH5.5 W 120 BAG KAPAK"/>
    <x v="63"/>
    <s v="MORS (MORS COSMETICS)"/>
    <x v="0"/>
    <x v="1"/>
    <x v="5"/>
    <n v="12.6196"/>
    <n v="0.30170000000000002"/>
    <n v="0"/>
    <n v="774.8818"/>
    <n v="18.222799999999999"/>
    <n v="0"/>
    <n v="1.6285838691784991E-2"/>
    <n v="1.6556182364949407E-2"/>
    <n v="0"/>
    <n v="12.9213"/>
    <n v="793.1046"/>
    <n v="1.0947340352244797E-2"/>
  </r>
  <r>
    <s v="WIPEST COMFORT ALC.FREE W 120 BAG KAPAK"/>
    <x v="63"/>
    <s v="WIPEST (MORS COSMETICS)"/>
    <x v="0"/>
    <x v="2"/>
    <x v="5"/>
    <n v="0"/>
    <n v="39.128300000000003"/>
    <n v="18.019200000000001"/>
    <n v="0"/>
    <n v="2116.4569999999999"/>
    <n v="1056.0386000000001"/>
    <n v="0"/>
    <n v="1.8487642319215559E-2"/>
    <n v="1.7063012658817586E-2"/>
    <n v="57.147500000000008"/>
    <n v="3172.4956000000002"/>
    <n v="1.1850218326011047E-2"/>
  </r>
  <r>
    <s v="WIPEST COMFORT ALC.FREE W 72 BAG KAPAK"/>
    <x v="63"/>
    <s v="WIPEST (MORS COSMETICS)"/>
    <x v="0"/>
    <x v="2"/>
    <x v="10"/>
    <n v="14.5854"/>
    <n v="45.532299999999999"/>
    <n v="49.915700000000001"/>
    <n v="930.23509999999999"/>
    <n v="2490.5082000000002"/>
    <n v="2411.3348000000001"/>
    <n v="1.5679262156416157E-2"/>
    <n v="1.8282332898964155E-2"/>
    <n v="2.0700443588339536E-2"/>
    <n v="110.0334"/>
    <n v="5832.0781000000006"/>
    <n v="1.8220679547906616E-2"/>
  </r>
  <r>
    <s v="NATY SENSITIVE ALOE VERA W 56 BAG"/>
    <x v="64"/>
    <s v="NATY (NATY AB)"/>
    <x v="0"/>
    <x v="3"/>
    <x v="8"/>
    <n v="0.1139"/>
    <n v="4.0300000000000002E-2"/>
    <n v="0"/>
    <n v="0.85599999999999998"/>
    <n v="0.30399999999999999"/>
    <n v="0"/>
    <n v="0.13306074766355142"/>
    <n v="0.13256578947368422"/>
    <n v="0"/>
    <n v="0.1542"/>
    <n v="1.1599999999999999"/>
    <n v="8.8542179045745198E-2"/>
  </r>
  <r>
    <s v="NATY SENSITIVE W 56 BAG NATY AB"/>
    <x v="64"/>
    <s v="NATY (NATY AB)"/>
    <x v="0"/>
    <x v="3"/>
    <x v="8"/>
    <n v="0.19919999999999999"/>
    <n v="0"/>
    <n v="0"/>
    <n v="1.496"/>
    <n v="0"/>
    <n v="0"/>
    <n v="0.13315508021390374"/>
    <n v="0"/>
    <n v="0"/>
    <n v="0.19919999999999999"/>
    <n v="1.496"/>
    <n v="4.438502673796791E-2"/>
  </r>
  <r>
    <s v="FRESH BABY PREMIUM ALC.FREE W 100 BAG"/>
    <x v="65"/>
    <s v="FRESH BABY (NAVIGA TURKEY)"/>
    <x v="0"/>
    <x v="2"/>
    <x v="4"/>
    <n v="4.4461000000000004"/>
    <n v="2.0626000000000002"/>
    <n v="0"/>
    <n v="234.7319"/>
    <n v="137.5095"/>
    <n v="0"/>
    <n v="1.8941183537474031E-2"/>
    <n v="1.4999690930444808E-2"/>
    <n v="0"/>
    <n v="6.508700000000001"/>
    <n v="372.2414"/>
    <n v="1.1313624822639612E-2"/>
  </r>
  <r>
    <s v="FRESH BABY PH5.5 W 15 BAG"/>
    <x v="65"/>
    <s v="FRESH BABY (NAVIGA TURKEY)"/>
    <x v="0"/>
    <x v="1"/>
    <x v="6"/>
    <n v="0.15609999999999999"/>
    <n v="2.98E-2"/>
    <n v="0.25540000000000002"/>
    <n v="9.3703000000000003"/>
    <n v="1.4905999999999999"/>
    <n v="12.7729"/>
    <n v="1.6659018387885124E-2"/>
    <n v="1.9991949550516572E-2"/>
    <n v="1.9995459136139798E-2"/>
    <n v="0.44130000000000003"/>
    <n v="23.633800000000001"/>
    <n v="1.88821423581805E-2"/>
  </r>
  <r>
    <s v="FRESH BABY WATER 99.9% W 60 BAG"/>
    <x v="65"/>
    <s v="FRESH BABY (NAVIGA TURKEY)"/>
    <x v="0"/>
    <x v="0"/>
    <x v="13"/>
    <n v="1.8445"/>
    <n v="0"/>
    <n v="0"/>
    <n v="41.871899999999997"/>
    <n v="0"/>
    <n v="0"/>
    <n v="4.4051022284634804E-2"/>
    <n v="0"/>
    <n v="0"/>
    <n v="1.8445"/>
    <n v="41.871899999999997"/>
    <n v="1.4683674094878267E-2"/>
  </r>
  <r>
    <s v="FRESH BABY P H5.5 W 72 BAG"/>
    <x v="65"/>
    <s v="FRESH BABY (NAVIGA TURKEY)"/>
    <x v="0"/>
    <x v="1"/>
    <x v="10"/>
    <n v="0.57199999999999995"/>
    <n v="0"/>
    <n v="0"/>
    <n v="34.318100000000001"/>
    <n v="0"/>
    <n v="0"/>
    <n v="1.6667589406173418E-2"/>
    <n v="0"/>
    <n v="0"/>
    <n v="0.57199999999999995"/>
    <n v="34.318100000000001"/>
    <n v="5.5558631353911396E-3"/>
  </r>
  <r>
    <s v="FRESH BABY PH5.5 W 72 BAG KAPAK"/>
    <x v="65"/>
    <s v="FRESH BABY (NAVIGA TURKEY)"/>
    <x v="0"/>
    <x v="1"/>
    <x v="10"/>
    <n v="10.123900000000001"/>
    <n v="4.3895"/>
    <n v="0"/>
    <n v="617.78060000000005"/>
    <n v="241.07740000000001"/>
    <n v="0"/>
    <n v="1.6387533049759088E-2"/>
    <n v="1.8207845281225033E-2"/>
    <n v="0"/>
    <n v="14.513400000000001"/>
    <n v="858.85800000000006"/>
    <n v="1.1531792776994709E-2"/>
  </r>
  <r>
    <s v="GOLDEN SENSITIVE W 120 BAG"/>
    <x v="65"/>
    <s v="GOLDEN (NAVIGA TURKEY)"/>
    <x v="0"/>
    <x v="3"/>
    <x v="5"/>
    <n v="0"/>
    <n v="56.203800000000001"/>
    <n v="22.180299999999999"/>
    <n v="0"/>
    <n v="3259.8697999999999"/>
    <n v="1260.6195"/>
    <n v="0"/>
    <n v="1.7241118034836852E-2"/>
    <n v="1.7594761940458638E-2"/>
    <n v="78.384100000000004"/>
    <n v="4520.4893000000002"/>
    <n v="1.1611959991765163E-2"/>
  </r>
  <r>
    <s v="GOLDEN SENSITIVE W 72 BAG"/>
    <x v="65"/>
    <s v="GOLDEN (NAVIGA TURKEY)"/>
    <x v="0"/>
    <x v="3"/>
    <x v="10"/>
    <n v="0"/>
    <n v="15.356400000000001"/>
    <n v="10.720599999999999"/>
    <n v="0"/>
    <n v="847.21910000000003"/>
    <n v="534.71069999999997"/>
    <n v="0"/>
    <n v="1.8125653682736852E-2"/>
    <n v="2.0049346310070101E-2"/>
    <n v="26.076999999999998"/>
    <n v="1381.9297999999999"/>
    <n v="1.2724999997602316E-2"/>
  </r>
  <r>
    <s v="MY FIX BABY ROSE FRESH W 80 BAG KAPAK"/>
    <x v="65"/>
    <s v="MY FIX (NAVIGA TURKEY)"/>
    <x v="0"/>
    <x v="0"/>
    <x v="3"/>
    <n v="1.0731999999999999"/>
    <n v="0"/>
    <n v="0"/>
    <n v="47.075600000000001"/>
    <n v="0"/>
    <n v="0"/>
    <n v="2.2797372736619394E-2"/>
    <n v="0"/>
    <n v="0"/>
    <n v="1.0731999999999999"/>
    <n v="47.075600000000001"/>
    <n v="7.5991242455397982E-3"/>
  </r>
  <r>
    <s v="PUFFY BABY SENSITIVE PURE W 88 BAG KAPAK"/>
    <x v="65"/>
    <s v="PUFFY (NAVIGA TURKEY)"/>
    <x v="0"/>
    <x v="3"/>
    <x v="28"/>
    <n v="2.6486999999999998"/>
    <n v="0"/>
    <n v="0"/>
    <n v="124.62050000000001"/>
    <n v="0"/>
    <n v="0"/>
    <n v="2.1254127531184674E-2"/>
    <n v="0"/>
    <n v="0"/>
    <n v="2.6486999999999998"/>
    <n v="124.62050000000001"/>
    <n v="7.0847091770615579E-3"/>
  </r>
  <r>
    <s v="TITO BABY SOFT COMFORT PH5.5 W 120 BAG"/>
    <x v="65"/>
    <s v="TITO (NAVIGA TURKEY)"/>
    <x v="0"/>
    <x v="1"/>
    <x v="5"/>
    <n v="84.095799999999997"/>
    <n v="151.49979999999999"/>
    <n v="39.488900000000001"/>
    <n v="4863.5491000000002"/>
    <n v="8687.4974999999995"/>
    <n v="2240.9688000000001"/>
    <n v="1.7291035470372858E-2"/>
    <n v="1.7438830917649185E-2"/>
    <n v="1.7621351979554556E-2"/>
    <n v="275.08449999999999"/>
    <n v="15792.0154"/>
    <n v="1.7450406122525533E-2"/>
  </r>
  <r>
    <s v="TITO BABY PH5.5 ALC.FREE W 72 BAG KAPAK"/>
    <x v="65"/>
    <s v="TITO (NAVIGA TURKEY)"/>
    <x v="0"/>
    <x v="1"/>
    <x v="10"/>
    <n v="24.440899999999999"/>
    <n v="13.931900000000001"/>
    <n v="5.4257"/>
    <n v="1419.3269"/>
    <n v="757.8877"/>
    <n v="289.12630000000001"/>
    <n v="1.7220063961304474E-2"/>
    <n v="1.8382538732321426E-2"/>
    <n v="1.8765847313094657E-2"/>
    <n v="43.798499999999997"/>
    <n v="2466.3409000000001"/>
    <n v="1.8122816668906853E-2"/>
  </r>
  <r>
    <s v="TITO BABY SOFT COMFORT PH5.5 W 72 BAG"/>
    <x v="65"/>
    <s v="TITO (NAVIGA TURKEY)"/>
    <x v="0"/>
    <x v="1"/>
    <x v="10"/>
    <n v="2.0893000000000002"/>
    <n v="2.5973000000000002"/>
    <n v="0.1109"/>
    <n v="135.5565"/>
    <n v="141.02850000000001"/>
    <n v="6.4691999999999998"/>
    <n v="1.541276146846518E-2"/>
    <n v="1.8416844822145877E-2"/>
    <n v="1.7142768812217893E-2"/>
    <n v="4.7975000000000003"/>
    <n v="283.05420000000004"/>
    <n v="1.6990791700942986E-2"/>
  </r>
  <r>
    <s v="FRESH BABY PREM.QUALITY PH5.5 W 120 BAG"/>
    <x v="66"/>
    <s v="FRESH (NUR GIDA SAN)"/>
    <x v="0"/>
    <x v="1"/>
    <x v="5"/>
    <n v="6.1833"/>
    <n v="0.61119999999999997"/>
    <n v="0"/>
    <n v="392.1592"/>
    <n v="31.181999999999999"/>
    <n v="0"/>
    <n v="1.576732102676668E-2"/>
    <n v="1.960105188891027E-2"/>
    <n v="0"/>
    <n v="6.7945000000000002"/>
    <n v="423.34120000000001"/>
    <n v="1.1789457638558981E-2"/>
  </r>
  <r>
    <s v="FRESH SENSE CHAMOM.LOTION PH5.5 72 BAG"/>
    <x v="66"/>
    <s v="FRESH SENSE (NUR GIDA SAN)"/>
    <x v="0"/>
    <x v="1"/>
    <x v="10"/>
    <n v="0"/>
    <n v="0"/>
    <n v="0"/>
    <n v="0"/>
    <n v="0"/>
    <n v="0"/>
    <n v="0"/>
    <n v="0"/>
    <n v="0"/>
    <n v="0"/>
    <n v="0"/>
    <n v="0"/>
  </r>
  <r>
    <s v="PUFY BABY CHAMOMILE PH5.5 W 120 BAG"/>
    <x v="66"/>
    <s v="PUFY (NUR GIDA SANAYI)"/>
    <x v="0"/>
    <x v="1"/>
    <x v="5"/>
    <n v="2.5480999999999998"/>
    <n v="2.6009000000000002"/>
    <n v="0"/>
    <n v="132.16820000000001"/>
    <n v="141.76490000000001"/>
    <n v="0"/>
    <n v="1.9279221476875674E-2"/>
    <n v="1.8346572388510837E-2"/>
    <n v="0"/>
    <n v="5.149"/>
    <n v="273.93310000000002"/>
    <n v="1.254193128846217E-2"/>
  </r>
  <r>
    <s v="SPEEDYCARE BABYLINECONCREMAMAXI 20 BAG"/>
    <x v="67"/>
    <s v="SPEEDY CARE (O-PAC S.R.L.)"/>
    <x v="0"/>
    <x v="4"/>
    <x v="0"/>
    <n v="0.15809999999999999"/>
    <n v="2E-3"/>
    <n v="1E-3"/>
    <n v="2.1"/>
    <n v="0.02"/>
    <n v="0.02"/>
    <n v="7.5285714285714275E-2"/>
    <n v="0.1"/>
    <n v="0.05"/>
    <n v="0.16109999999999999"/>
    <n v="2.14"/>
    <n v="7.509523809523809E-2"/>
  </r>
  <r>
    <s v="CAN BEBE BASIC CARE ALK.FREE W 56 BAG"/>
    <x v="68"/>
    <s v="CAN BEBE (ONTEX)"/>
    <x v="0"/>
    <x v="2"/>
    <x v="8"/>
    <n v="6.0000000000000001E-3"/>
    <n v="0.35439999999999999"/>
    <n v="0"/>
    <n v="0.33839999999999998"/>
    <n v="16.541699999999999"/>
    <n v="0"/>
    <n v="1.7730496453900711E-2"/>
    <n v="2.1424641965456997E-2"/>
    <n v="0"/>
    <n v="0.3604"/>
    <n v="16.880099999999999"/>
    <n v="1.305171280645257E-2"/>
  </r>
  <r>
    <s v="BABS&amp;BABS BABY PH5.5 120 W BAG KAPAK"/>
    <x v="69"/>
    <s v="BABS &amp; BABS (OZDAMARLAR GIDA A.S.)"/>
    <x v="0"/>
    <x v="1"/>
    <x v="5"/>
    <n v="0"/>
    <n v="0"/>
    <n v="0"/>
    <n v="0"/>
    <n v="0"/>
    <n v="0"/>
    <n v="0"/>
    <n v="0"/>
    <n v="0"/>
    <n v="0"/>
    <n v="0"/>
    <n v="0"/>
  </r>
  <r>
    <s v="KOPRINA  FreshClean 72 W BAG KAPAK"/>
    <x v="70"/>
    <s v="KOPRINA (OZYURT TEKSTIL SAN)"/>
    <x v="0"/>
    <x v="1"/>
    <x v="10"/>
    <n v="0"/>
    <n v="0"/>
    <n v="9.8000000000000004E-2"/>
    <n v="0"/>
    <n v="0"/>
    <n v="3.3592"/>
    <n v="0"/>
    <n v="0"/>
    <n v="2.9173612764944037E-2"/>
    <n v="9.8000000000000004E-2"/>
    <n v="3.3592"/>
    <n v="9.7245375883146783E-3"/>
  </r>
  <r>
    <s v="BEBIKO VIPBABY ACTIVE&amp;SOFT PH5.5 100 BAG"/>
    <x v="71"/>
    <s v="BEBIKO (PAKSEL KIMYA)"/>
    <x v="0"/>
    <x v="1"/>
    <x v="4"/>
    <n v="0"/>
    <n v="0"/>
    <n v="0"/>
    <n v="0"/>
    <n v="0"/>
    <n v="0"/>
    <n v="0"/>
    <n v="0"/>
    <n v="0"/>
    <n v="0"/>
    <n v="0"/>
    <n v="0"/>
  </r>
  <r>
    <s v="BEBIKO VIP BABY ALOE VERA W 72 BAG KAPAK"/>
    <x v="71"/>
    <s v="BEBIKO (PAKSEL KIMYA)"/>
    <x v="0"/>
    <x v="0"/>
    <x v="10"/>
    <n v="0"/>
    <n v="0.79349999999999998"/>
    <n v="0.7298"/>
    <n v="0"/>
    <n v="47.268799999999999"/>
    <n v="43.602699999999999"/>
    <n v="0"/>
    <n v="1.6786971533019668E-2"/>
    <n v="1.6737495613803732E-2"/>
    <n v="1.5232999999999999"/>
    <n v="90.871499999999997"/>
    <n v="1.1174822382274468E-2"/>
  </r>
  <r>
    <s v="PAPATYA BABY B5&amp;VIT E PH5.5 90 W BAG"/>
    <x v="72"/>
    <s v="PAPATYA (PAPATYA PAMUK KOSMETIK)"/>
    <x v="0"/>
    <x v="1"/>
    <x v="11"/>
    <n v="0.36020000000000002"/>
    <n v="5.21E-2"/>
    <n v="9.4000000000000004E-3"/>
    <n v="19.065100000000001"/>
    <n v="2.6206"/>
    <n v="0.48"/>
    <n v="1.8893160801674264E-2"/>
    <n v="1.9880943295428527E-2"/>
    <n v="1.9583333333333335E-2"/>
    <n v="0.42170000000000002"/>
    <n v="22.165700000000001"/>
    <n v="1.9452479143478706E-2"/>
  </r>
  <r>
    <s v="PERFETTO PH5.5 ALC.FREE W 80 BAG"/>
    <x v="73"/>
    <s v="PERFETTO (PERFETTO GROUP)"/>
    <x v="0"/>
    <x v="1"/>
    <x v="3"/>
    <n v="0"/>
    <n v="0"/>
    <n v="2.0999999999999999E-3"/>
    <n v="0"/>
    <n v="0"/>
    <n v="0.17710000000000001"/>
    <n v="0"/>
    <n v="0"/>
    <n v="1.1857707509881422E-2"/>
    <n v="2.0999999999999999E-3"/>
    <n v="0.17710000000000001"/>
    <n v="3.952569169960474E-3"/>
  </r>
  <r>
    <s v="BETTY BABY ALC.FREE W 24 BAG"/>
    <x v="74"/>
    <s v="BETTY (PHOENIX PHARMA DOO)"/>
    <x v="0"/>
    <x v="2"/>
    <x v="24"/>
    <n v="1.4545999999999999"/>
    <n v="0.15629999999999999"/>
    <n v="5.8099999999999999E-2"/>
    <n v="31.957999999999998"/>
    <n v="3.1030000000000002"/>
    <n v="1.1613"/>
    <n v="4.5515989736529192E-2"/>
    <n v="5.0370609087979371E-2"/>
    <n v="5.0030138637733576E-2"/>
    <n v="1.669"/>
    <n v="36.222299999999997"/>
    <n v="4.8638912487414053E-2"/>
  </r>
  <r>
    <s v="BETTY BABY ALC.FREE W 72 BAG"/>
    <x v="74"/>
    <s v="BETTY (PHOENIX PHARMA DOO)"/>
    <x v="0"/>
    <x v="2"/>
    <x v="10"/>
    <n v="0.69610000000000005"/>
    <n v="0"/>
    <n v="0"/>
    <n v="23.8918"/>
    <n v="0"/>
    <n v="0"/>
    <n v="2.9135519299508621E-2"/>
    <n v="0"/>
    <n v="0"/>
    <n v="0.69610000000000005"/>
    <n v="23.8918"/>
    <n v="9.7118397665028732E-3"/>
  </r>
  <r>
    <s v="KLORANE BEBE CALENDULA ALC.FREE W 25 BAG"/>
    <x v="75"/>
    <s v="KLORANE (PIERRE FABRE)"/>
    <x v="0"/>
    <x v="2"/>
    <x v="15"/>
    <n v="0.83640000000000003"/>
    <n v="0.55679999999999996"/>
    <n v="0.16950000000000001"/>
    <n v="3.2871000000000001"/>
    <n v="1.9970000000000001"/>
    <n v="0.75749999999999995"/>
    <n v="0.25444921055033309"/>
    <n v="0.27881822734101147"/>
    <n v="0.22376237623762379"/>
    <n v="1.5627"/>
    <n v="6.0416000000000007"/>
    <n v="0.25234327137632279"/>
  </r>
  <r>
    <s v="KLORANE BEBE CALENDULA CLEAN.LOTION W 70"/>
    <x v="75"/>
    <s v="KLORANE (PIERRE FABRE)"/>
    <x v="0"/>
    <x v="2"/>
    <x v="20"/>
    <n v="1.8599999999999998E-2"/>
    <n v="0"/>
    <n v="0"/>
    <n v="0.14000000000000001"/>
    <n v="0"/>
    <n v="0"/>
    <n v="0.13285714285714284"/>
    <n v="0"/>
    <n v="0"/>
    <n v="1.8599999999999998E-2"/>
    <n v="0.14000000000000001"/>
    <n v="4.4285714285714282E-2"/>
  </r>
  <r>
    <s v="KLORANE BEBE CALENDULA THICKCL. W 70 BAG"/>
    <x v="75"/>
    <s v="KLORANE (PIERRE FABRE)"/>
    <x v="0"/>
    <x v="2"/>
    <x v="20"/>
    <n v="0.34599999999999997"/>
    <n v="0.3881"/>
    <n v="0.2717"/>
    <n v="2.4157999999999999"/>
    <n v="2.4979"/>
    <n v="1.68"/>
    <n v="0.14322377680271545"/>
    <n v="0.15537051122943271"/>
    <n v="0.16172619047619047"/>
    <n v="1.0058"/>
    <n v="6.5937000000000001"/>
    <n v="0.15344015950277953"/>
  </r>
  <r>
    <s v="KLORANE BEBE CALENDULA W 70 SP.TS. BAG"/>
    <x v="75"/>
    <s v="KLORANE (PIERRE FABRE)"/>
    <x v="0"/>
    <x v="2"/>
    <x v="20"/>
    <n v="0.25569999999999998"/>
    <n v="2.6200000000000001E-2"/>
    <n v="0"/>
    <n v="2.27"/>
    <n v="0.31"/>
    <n v="0"/>
    <n v="0.1126431718061674"/>
    <n v="8.4516129032258067E-2"/>
    <n v="0"/>
    <n v="0.28189999999999998"/>
    <n v="2.58"/>
    <n v="6.571976694614183E-2"/>
  </r>
  <r>
    <s v="FRESH BABY ALOE&amp;CALEN. PH5.5 W 60 BAG"/>
    <x v="76"/>
    <s v="FRESH (PIRAMIDA 72 DOO)"/>
    <x v="0"/>
    <x v="1"/>
    <x v="13"/>
    <n v="4.2514000000000003"/>
    <n v="9.5349000000000004"/>
    <n v="4.3247999999999998"/>
    <n v="118.9742"/>
    <n v="264.43900000000002"/>
    <n v="116.2043"/>
    <n v="3.5733797747746994E-2"/>
    <n v="3.6057086889604031E-2"/>
    <n v="3.7217211411281682E-2"/>
    <n v="18.1111"/>
    <n v="499.61750000000001"/>
    <n v="3.6336032016210905E-2"/>
  </r>
  <r>
    <s v="FRESH BABY AQUA PURE PH5.5 W 60 BAG"/>
    <x v="76"/>
    <s v="FRESH (PIRAMIDA 72 DOO)"/>
    <x v="0"/>
    <x v="1"/>
    <x v="13"/>
    <n v="0"/>
    <n v="3.1814"/>
    <n v="1.8621000000000001"/>
    <n v="0"/>
    <n v="84.536500000000004"/>
    <n v="48.9773"/>
    <n v="0"/>
    <n v="3.7633448273822548E-2"/>
    <n v="3.801965400297689E-2"/>
    <n v="5.0434999999999999"/>
    <n v="133.5138"/>
    <n v="2.5217700758933148E-2"/>
  </r>
  <r>
    <s v="FRESH BABY CARE ALOE VERA W 60 BAG"/>
    <x v="76"/>
    <s v="FRESH (PIRAMIDA 72 DOO)"/>
    <x v="0"/>
    <x v="0"/>
    <x v="13"/>
    <n v="9.6434999999999995"/>
    <n v="0"/>
    <n v="0"/>
    <n v="280.5643"/>
    <n v="0"/>
    <n v="0"/>
    <n v="3.4371799975976981E-2"/>
    <n v="0"/>
    <n v="0"/>
    <n v="9.6434999999999995"/>
    <n v="280.5643"/>
    <n v="1.1457266658658994E-2"/>
  </r>
  <r>
    <s v="FRESH BABY SOFT CREAM W 60 BAG"/>
    <x v="76"/>
    <s v="FRESH (PIRAMIDA 72 DOO)"/>
    <x v="0"/>
    <x v="0"/>
    <x v="13"/>
    <n v="12.711499999999999"/>
    <n v="0"/>
    <n v="0"/>
    <n v="374.43990000000002"/>
    <n v="0"/>
    <n v="0"/>
    <n v="3.3948038123073954E-2"/>
    <n v="0"/>
    <n v="0"/>
    <n v="12.711499999999999"/>
    <n v="374.43990000000002"/>
    <n v="1.1316012707691317E-2"/>
  </r>
  <r>
    <s v="SLIPP BEBE SENS.LOTION&amp;VITE&amp;B5 W 120 BAG"/>
    <x v="77"/>
    <s v="SLIPP (PREDO)"/>
    <x v="0"/>
    <x v="3"/>
    <x v="5"/>
    <n v="0"/>
    <n v="0"/>
    <n v="0.624"/>
    <n v="0"/>
    <n v="0"/>
    <n v="34.035699999999999"/>
    <n v="0"/>
    <n v="0"/>
    <n v="1.8333690801129402E-2"/>
    <n v="0.624"/>
    <n v="34.035699999999999"/>
    <n v="6.1112302670431337E-3"/>
  </r>
  <r>
    <s v="MELANI BABY ALOEVERA&amp;VITE W 64 BAG KAPAK"/>
    <x v="78"/>
    <s v="MELANI (PROBEG 97)"/>
    <x v="0"/>
    <x v="0"/>
    <x v="9"/>
    <n v="192.72300000000001"/>
    <n v="183.24340000000001"/>
    <n v="97.209599999999995"/>
    <n v="7900.9691000000003"/>
    <n v="6838.8454000000002"/>
    <n v="3264.5805999999998"/>
    <n v="2.4392324227669744E-2"/>
    <n v="2.6794493702109425E-2"/>
    <n v="2.9777056201338695E-2"/>
    <n v="473.17600000000004"/>
    <n v="18004.395100000002"/>
    <n v="2.6987958043705951E-2"/>
  </r>
  <r>
    <s v="PAMPERS AQUA PURE ALC.FREE 12 BAG+DIA"/>
    <x v="79"/>
    <s v="PAMPERS (PROCTER &amp; GAMBLE)"/>
    <x v="0"/>
    <x v="2"/>
    <x v="26"/>
    <n v="6.59E-2"/>
    <n v="0.95820000000000005"/>
    <n v="0"/>
    <n v="0.18509999999999999"/>
    <n v="3.0327999999999999"/>
    <n v="0"/>
    <n v="0.35602377093462995"/>
    <n v="0.315945660775521"/>
    <n v="0"/>
    <n v="1.0241"/>
    <n v="3.2178999999999998"/>
    <n v="0.22398981057005032"/>
  </r>
  <r>
    <s v="PAMPERS AQUA PURE ALC.FREE 12 BAG+DIA28"/>
    <x v="79"/>
    <s v="PAMPERS (PROCTER &amp; GAMBLE)"/>
    <x v="0"/>
    <x v="2"/>
    <x v="26"/>
    <n v="5.1000000000000004E-3"/>
    <n v="0.40570000000000001"/>
    <n v="0"/>
    <n v="1.37E-2"/>
    <n v="1.3527"/>
    <n v="0"/>
    <n v="0.37226277372262773"/>
    <n v="0.29991868115620612"/>
    <n v="0"/>
    <n v="0.4108"/>
    <n v="1.3664000000000001"/>
    <n v="0.22406048495961128"/>
  </r>
  <r>
    <s v="PAMPERS AQUA PURE ALC.FREE 12 BAG+DIA50"/>
    <x v="79"/>
    <s v="PAMPERS (PROCTER &amp; GAMBLE)"/>
    <x v="0"/>
    <x v="2"/>
    <x v="26"/>
    <n v="0.1182"/>
    <n v="1.0884"/>
    <n v="0"/>
    <n v="0.31890000000000002"/>
    <n v="3.3033999999999999"/>
    <n v="0"/>
    <n v="0.37064910630291625"/>
    <n v="0.32947871889568325"/>
    <n v="0"/>
    <n v="1.2066000000000001"/>
    <n v="3.6223000000000001"/>
    <n v="0.23337594173286649"/>
  </r>
  <r>
    <s v="PAMPERS SENSITIVE ALC.FREE 12 BAG"/>
    <x v="79"/>
    <s v="PAMPERS (PROCTER &amp; GAMBLE)"/>
    <x v="0"/>
    <x v="3"/>
    <x v="26"/>
    <n v="0.87180000000000002"/>
    <n v="4.3999999999999997E-2"/>
    <n v="0"/>
    <n v="8.5823999999999998"/>
    <n v="0.58599999999999997"/>
    <n v="0"/>
    <n v="0.10157997762863535"/>
    <n v="7.5085324232081918E-2"/>
    <n v="0"/>
    <n v="0.91580000000000006"/>
    <n v="9.1684000000000001"/>
    <n v="5.8888433953572426E-2"/>
  </r>
  <r>
    <s v="PAMPERS SENSITIVE PH5.5 12 BAG"/>
    <x v="79"/>
    <s v="PAMPERS (PROCTER &amp; GAMBLE)"/>
    <x v="0"/>
    <x v="3"/>
    <x v="26"/>
    <n v="5.4508000000000001"/>
    <n v="2.1189"/>
    <n v="0.77749999999999997"/>
    <n v="70.866600000000005"/>
    <n v="26.7118"/>
    <n v="8.9403000000000006"/>
    <n v="7.6916347052066833E-2"/>
    <n v="7.9324493295098053E-2"/>
    <n v="8.6965761775331912E-2"/>
    <n v="8.3472000000000008"/>
    <n v="106.5187"/>
    <n v="8.1068867374165604E-2"/>
  </r>
  <r>
    <s v="PAMPERS SENSITIVE PROTECT PH5.5 12 BAG"/>
    <x v="79"/>
    <s v="PAMPERS (PROCTER &amp; GAMBLE)"/>
    <x v="0"/>
    <x v="3"/>
    <x v="26"/>
    <n v="0"/>
    <n v="0"/>
    <n v="0"/>
    <n v="0"/>
    <n v="0"/>
    <n v="0"/>
    <n v="0"/>
    <n v="0"/>
    <n v="0"/>
    <n v="0"/>
    <n v="0"/>
    <n v="0"/>
  </r>
  <r>
    <s v="PAMPERS BABY FRESH 24 BAG"/>
    <x v="79"/>
    <s v="PAMPERS (PROCTER &amp; GAMBLE)"/>
    <x v="0"/>
    <x v="2"/>
    <x v="24"/>
    <n v="9.06E-2"/>
    <n v="0"/>
    <n v="0"/>
    <n v="1.3372999999999999"/>
    <n v="0"/>
    <n v="0"/>
    <n v="6.7748448366110825E-2"/>
    <n v="0"/>
    <n v="0"/>
    <n v="9.06E-2"/>
    <n v="1.3372999999999999"/>
    <n v="2.2582816122036942E-2"/>
  </r>
  <r>
    <s v="PAMPERS SOLE E LUNA CAMOMILLA 50/25%BAG"/>
    <x v="79"/>
    <s v="PAMPERS (PROCTER &amp; GAMBLE)"/>
    <x v="0"/>
    <x v="0"/>
    <x v="29"/>
    <n v="1.3827"/>
    <n v="0.7681"/>
    <n v="2.3199999999999998E-2"/>
    <n v="23.328099999999999"/>
    <n v="13.2523"/>
    <n v="0.52669999999999995"/>
    <n v="5.9271865261208589E-2"/>
    <n v="5.7959750382952396E-2"/>
    <n v="4.4047845073096642E-2"/>
    <n v="2.1740000000000004"/>
    <n v="37.107099999999996"/>
    <n v="5.3759820239085876E-2"/>
  </r>
  <r>
    <s v="PAMPERS AQUA HARMONIE 99%WATER 3X48 BAG"/>
    <x v="79"/>
    <s v="PAMPERS (PROCTER &amp; GAMBLE)"/>
    <x v="0"/>
    <x v="2"/>
    <x v="30"/>
    <n v="0"/>
    <n v="0"/>
    <n v="20.740400000000001"/>
    <n v="0"/>
    <n v="0"/>
    <n v="310.0301"/>
    <n v="0"/>
    <n v="0"/>
    <n v="6.689802054703721E-2"/>
    <n v="20.740400000000001"/>
    <n v="310.0301"/>
    <n v="2.2299340182345737E-2"/>
  </r>
  <r>
    <s v="PAMPERS AQUA HARMONIE 99%WATER AL.FR.48"/>
    <x v="79"/>
    <s v="PAMPERS (PROCTER &amp; GAMBLE)"/>
    <x v="0"/>
    <x v="2"/>
    <x v="30"/>
    <n v="0"/>
    <n v="0"/>
    <n v="1.2435"/>
    <n v="0"/>
    <n v="0"/>
    <n v="17.1813"/>
    <n v="0"/>
    <n v="0"/>
    <n v="7.237519861710115E-2"/>
    <n v="1.2435"/>
    <n v="17.1813"/>
    <n v="2.4125066205700384E-2"/>
  </r>
  <r>
    <s v="PAMPERS AQUA PURE ALC.FREE 3X48 BAG"/>
    <x v="79"/>
    <s v="PAMPERS (PROCTER &amp; GAMBLE)"/>
    <x v="0"/>
    <x v="2"/>
    <x v="30"/>
    <n v="4.0780000000000003"/>
    <n v="35.126199999999997"/>
    <n v="26.273900000000001"/>
    <n v="71.718599999999995"/>
    <n v="592.5693"/>
    <n v="441.30500000000001"/>
    <n v="5.6861121103869858E-2"/>
    <n v="5.9277792487730969E-2"/>
    <n v="5.9536828270697138E-2"/>
    <n v="65.478099999999998"/>
    <n v="1105.5929000000001"/>
    <n v="5.8558580620765993E-2"/>
  </r>
  <r>
    <s v="PAMPERS AQUA PURE ALC.FREE 48 BAG"/>
    <x v="79"/>
    <s v="PAMPERS (PROCTER &amp; GAMBLE)"/>
    <x v="0"/>
    <x v="2"/>
    <x v="30"/>
    <n v="264.06810000000002"/>
    <n v="329.44319999999999"/>
    <n v="205.9486"/>
    <n v="3958.0279"/>
    <n v="5113.9928"/>
    <n v="2876.5592000000001"/>
    <n v="6.6717089083682304E-2"/>
    <n v="6.4419957728528668E-2"/>
    <n v="7.1595467251291053E-2"/>
    <n v="799.45990000000006"/>
    <n v="11948.579900000001"/>
    <n v="6.7577504687834009E-2"/>
  </r>
  <r>
    <s v="PAMPERS SENSITIVE 50 BAG"/>
    <x v="79"/>
    <s v="PAMPERS (PROCTER &amp; GAMBLE)"/>
    <x v="0"/>
    <x v="3"/>
    <x v="2"/>
    <n v="0"/>
    <n v="0"/>
    <n v="0"/>
    <n v="0"/>
    <n v="0"/>
    <n v="0"/>
    <n v="0"/>
    <n v="0"/>
    <n v="0"/>
    <n v="0"/>
    <n v="0"/>
    <n v="0"/>
  </r>
  <r>
    <s v="PAMPERS BABY FRESH CLEAN W 2X52 BAG"/>
    <x v="79"/>
    <s v="PAMPERS (PROCTER &amp; GAMBLE)"/>
    <x v="0"/>
    <x v="2"/>
    <x v="21"/>
    <n v="8.5046999999999997"/>
    <n v="12.872299999999999"/>
    <n v="4.3821000000000003"/>
    <n v="194.4057"/>
    <n v="338.25259999999997"/>
    <n v="110.48520000000001"/>
    <n v="4.3747174079772355E-2"/>
    <n v="3.8055287675541886E-2"/>
    <n v="3.9662325813774151E-2"/>
    <n v="25.7591"/>
    <n v="643.1434999999999"/>
    <n v="4.0488262523029471E-2"/>
  </r>
  <r>
    <s v="PAMPERS BABY FRESH CLEAN W 4X52 BAG"/>
    <x v="79"/>
    <s v="PAMPERS (PROCTER &amp; GAMBLE)"/>
    <x v="0"/>
    <x v="2"/>
    <x v="21"/>
    <n v="171.4581"/>
    <n v="146.56880000000001"/>
    <n v="94.527100000000004"/>
    <n v="5827.8176999999996"/>
    <n v="5036.4476000000004"/>
    <n v="3121.8564000000001"/>
    <n v="2.9420635446438213E-2"/>
    <n v="2.9101623136116812E-2"/>
    <n v="3.0279131352742555E-2"/>
    <n v="412.55400000000003"/>
    <n v="13986.1217"/>
    <n v="2.960046331176586E-2"/>
  </r>
  <r>
    <s v="PAMPERS BABY FRESH CLEAN W 52 BAG"/>
    <x v="79"/>
    <s v="PAMPERS (PROCTER &amp; GAMBLE)"/>
    <x v="0"/>
    <x v="2"/>
    <x v="21"/>
    <n v="195.73400000000001"/>
    <n v="242.5813"/>
    <n v="163.20820000000001"/>
    <n v="3936.1988000000001"/>
    <n v="5003.2757000000001"/>
    <n v="3062.0891000000001"/>
    <n v="4.9726655066304068E-2"/>
    <n v="4.8484495867377443E-2"/>
    <n v="5.3299624756183613E-2"/>
    <n v="601.52350000000001"/>
    <n v="12001.563600000001"/>
    <n v="5.0503591896621708E-2"/>
  </r>
  <r>
    <s v="PAMPERS BABY FRESH CLEAN W 52 BAG+DIA 38"/>
    <x v="79"/>
    <s v="PAMPERS (PROCTER &amp; GAMBLE)"/>
    <x v="0"/>
    <x v="2"/>
    <x v="21"/>
    <n v="0.2492"/>
    <n v="5.8500000000000003E-2"/>
    <n v="0"/>
    <n v="4.6970000000000001"/>
    <n v="1.1557999999999999"/>
    <n v="0"/>
    <n v="5.3055141579731742E-2"/>
    <n v="5.0614293130299366E-2"/>
    <n v="0"/>
    <n v="0.30770000000000003"/>
    <n v="5.8528000000000002"/>
    <n v="3.4556478236677034E-2"/>
  </r>
  <r>
    <s v="PAMPERS BABY FRESH CLEAN W 52 BAG+DIA 40"/>
    <x v="79"/>
    <s v="PAMPERS (PROCTER &amp; GAMBLE)"/>
    <x v="0"/>
    <x v="2"/>
    <x v="21"/>
    <n v="0.97950000000000004"/>
    <n v="0"/>
    <n v="0"/>
    <n v="23.239000000000001"/>
    <n v="0"/>
    <n v="0"/>
    <n v="4.214897370799088E-2"/>
    <n v="0"/>
    <n v="0"/>
    <n v="0.97950000000000004"/>
    <n v="23.239000000000001"/>
    <n v="1.4049657902663626E-2"/>
  </r>
  <r>
    <s v="PAMPERS BABY FRESH CLEAN W 52 BAG+DIA 42"/>
    <x v="79"/>
    <s v="PAMPERS (PROCTER &amp; GAMBLE)"/>
    <x v="0"/>
    <x v="2"/>
    <x v="21"/>
    <n v="1.0518000000000001"/>
    <n v="0"/>
    <n v="0"/>
    <n v="15.4772"/>
    <n v="0"/>
    <n v="0"/>
    <n v="6.7958028583981603E-2"/>
    <n v="0"/>
    <n v="0"/>
    <n v="1.0518000000000001"/>
    <n v="15.4772"/>
    <n v="2.2652676194660534E-2"/>
  </r>
  <r>
    <s v="PAMPERS BABY FRESH CLEAN W 52 BAG+DIA 44"/>
    <x v="79"/>
    <s v="PAMPERS (PROCTER &amp; GAMBLE)"/>
    <x v="0"/>
    <x v="2"/>
    <x v="21"/>
    <n v="1.23"/>
    <n v="5.5100000000000003E-2"/>
    <n v="0"/>
    <n v="22.518699999999999"/>
    <n v="1.0911"/>
    <n v="0"/>
    <n v="5.4621270321999052E-2"/>
    <n v="5.0499495921547066E-2"/>
    <n v="0"/>
    <n v="1.2850999999999999"/>
    <n v="23.6098"/>
    <n v="3.5040255414515373E-2"/>
  </r>
  <r>
    <s v="PAMPERS BABY FRESH CLEAN W 52 BAG+DIA 51"/>
    <x v="79"/>
    <s v="PAMPERS (PROCTER &amp; GAMBLE)"/>
    <x v="0"/>
    <x v="2"/>
    <x v="21"/>
    <n v="0.64070000000000005"/>
    <n v="0"/>
    <n v="0"/>
    <n v="15.170299999999999"/>
    <n v="0"/>
    <n v="0"/>
    <n v="4.2233838487043769E-2"/>
    <n v="0"/>
    <n v="0"/>
    <n v="0.64070000000000005"/>
    <n v="15.170299999999999"/>
    <n v="1.4077946162347922E-2"/>
  </r>
  <r>
    <s v="PAMPERS BABY FRESH CLEAN W 52 BAG+DIA 52"/>
    <x v="79"/>
    <s v="PAMPERS (PROCTER &amp; GAMBLE)"/>
    <x v="0"/>
    <x v="2"/>
    <x v="21"/>
    <n v="0.8125"/>
    <n v="2.2100000000000002E-2"/>
    <n v="0"/>
    <n v="14.451000000000001"/>
    <n v="0.38290000000000002"/>
    <n v="0"/>
    <n v="5.6224482734758836E-2"/>
    <n v="5.771741969182554E-2"/>
    <n v="0"/>
    <n v="0.83460000000000001"/>
    <n v="14.8339"/>
    <n v="3.798063414219479E-2"/>
  </r>
  <r>
    <s v="PAMPERS BABY FRESH CLEAN W 52 BAG+DIA 53"/>
    <x v="79"/>
    <s v="PAMPERS (PROCTER &amp; GAMBLE)"/>
    <x v="0"/>
    <x v="2"/>
    <x v="21"/>
    <n v="0.40889999999999999"/>
    <n v="7.7899999999999997E-2"/>
    <n v="0"/>
    <n v="9.6999999999999993"/>
    <n v="1.9962"/>
    <n v="0"/>
    <n v="4.2154639175257733E-2"/>
    <n v="3.9024145877166613E-2"/>
    <n v="0"/>
    <n v="0.48680000000000001"/>
    <n v="11.696199999999999"/>
    <n v="2.7059595017474781E-2"/>
  </r>
  <r>
    <s v="PAMPERS BABY FRESH CLEAN W 52 BAG+DIA 54"/>
    <x v="79"/>
    <s v="PAMPERS (PROCTER &amp; GAMBLE)"/>
    <x v="0"/>
    <x v="2"/>
    <x v="21"/>
    <n v="1.716"/>
    <n v="0"/>
    <n v="0"/>
    <n v="43.815600000000003"/>
    <n v="0"/>
    <n v="0"/>
    <n v="3.9164133322378329E-2"/>
    <n v="0"/>
    <n v="0"/>
    <n v="1.716"/>
    <n v="43.815600000000003"/>
    <n v="1.3054711107459442E-2"/>
  </r>
  <r>
    <s v="PAMPERS BABY FRESH CLEAN W 52 BAG+DIA 58"/>
    <x v="79"/>
    <s v="PAMPERS (PROCTER &amp; GAMBLE)"/>
    <x v="0"/>
    <x v="2"/>
    <x v="21"/>
    <n v="0.17050000000000001"/>
    <n v="7.7700000000000005E-2"/>
    <n v="0"/>
    <n v="3.5674000000000001"/>
    <n v="1.7087000000000001"/>
    <n v="0"/>
    <n v="4.7793911532208334E-2"/>
    <n v="4.5473166734944698E-2"/>
    <n v="0"/>
    <n v="0.24820000000000003"/>
    <n v="5.2761000000000005"/>
    <n v="3.1089026089051008E-2"/>
  </r>
  <r>
    <s v="PAMPERS BABY FRESH CLEAN W 52 BAG+DIA 60"/>
    <x v="79"/>
    <s v="PAMPERS (PROCTER &amp; GAMBLE)"/>
    <x v="0"/>
    <x v="2"/>
    <x v="21"/>
    <n v="1.5501"/>
    <n v="0.42659999999999998"/>
    <n v="0.12859999999999999"/>
    <n v="28.959800000000001"/>
    <n v="8.7736999999999998"/>
    <n v="2.5320999999999998"/>
    <n v="5.3525922140346273E-2"/>
    <n v="4.8622587961749321E-2"/>
    <n v="5.0787883574898308E-2"/>
    <n v="2.1053000000000002"/>
    <n v="40.265599999999999"/>
    <n v="5.0978797892331305E-2"/>
  </r>
  <r>
    <s v="PAMPERS BABY FRESH CLEAN W 52 BAG+DIA 66"/>
    <x v="79"/>
    <s v="PAMPERS (PROCTER &amp; GAMBLE)"/>
    <x v="0"/>
    <x v="2"/>
    <x v="21"/>
    <n v="0.83640000000000003"/>
    <n v="0.51139999999999997"/>
    <n v="0"/>
    <n v="18.6389"/>
    <n v="9.5508000000000006"/>
    <n v="0"/>
    <n v="4.4873892772642164E-2"/>
    <n v="5.3545252753696017E-2"/>
    <n v="0"/>
    <n v="1.3477999999999999"/>
    <n v="28.189700000000002"/>
    <n v="3.2806381842112729E-2"/>
  </r>
  <r>
    <s v="PAMPERS BABY FRESH CLEAN W 52 BAG+DIA 68"/>
    <x v="79"/>
    <s v="PAMPERS (PROCTER &amp; GAMBLE)"/>
    <x v="0"/>
    <x v="2"/>
    <x v="21"/>
    <n v="0.72089999999999999"/>
    <n v="0"/>
    <n v="0"/>
    <n v="9.8262"/>
    <n v="0"/>
    <n v="0"/>
    <n v="7.3365085180435982E-2"/>
    <n v="0"/>
    <n v="0"/>
    <n v="0.72089999999999999"/>
    <n v="9.8262"/>
    <n v="2.445502839347866E-2"/>
  </r>
  <r>
    <s v="PAMPERS BABY FRESH CLEAN W 52 BAG+DIA 76"/>
    <x v="79"/>
    <s v="PAMPERS (PROCTER &amp; GAMBLE)"/>
    <x v="0"/>
    <x v="2"/>
    <x v="21"/>
    <n v="0.48470000000000002"/>
    <n v="0"/>
    <n v="0"/>
    <n v="10.088699999999999"/>
    <n v="0"/>
    <n v="0"/>
    <n v="4.8043851041263991E-2"/>
    <n v="0"/>
    <n v="0"/>
    <n v="0.48470000000000002"/>
    <n v="10.088699999999999"/>
    <n v="1.6014617013754662E-2"/>
  </r>
  <r>
    <s v="PAMPERS BABY FRESH CLEAN W 52 BAG+DIA 78"/>
    <x v="79"/>
    <s v="PAMPERS (PROCTER &amp; GAMBLE)"/>
    <x v="0"/>
    <x v="2"/>
    <x v="21"/>
    <n v="1.3634999999999999"/>
    <n v="2.1999999999999999E-2"/>
    <n v="0"/>
    <n v="21.971299999999999"/>
    <n v="0.34660000000000002"/>
    <n v="0"/>
    <n v="6.2058230509801422E-2"/>
    <n v="6.3473744950952093E-2"/>
    <n v="0"/>
    <n v="1.3855"/>
    <n v="22.317899999999998"/>
    <n v="4.184399182025117E-2"/>
  </r>
  <r>
    <s v="PAMPERS BABY FRESH CLEAN W 52 BAG+DIA 90"/>
    <x v="79"/>
    <s v="PAMPERS (PROCTER &amp; GAMBLE)"/>
    <x v="0"/>
    <x v="2"/>
    <x v="21"/>
    <n v="0.2001"/>
    <n v="0"/>
    <n v="0"/>
    <n v="3.1530999999999998"/>
    <n v="0"/>
    <n v="0"/>
    <n v="6.3461355491421151E-2"/>
    <n v="0"/>
    <n v="0"/>
    <n v="0.2001"/>
    <n v="3.1530999999999998"/>
    <n v="2.1153785163807049E-2"/>
  </r>
  <r>
    <s v="PAMPERS BABY FRESH CLEAN W 52 BAG+DIA104"/>
    <x v="79"/>
    <s v="PAMPERS (PROCTER &amp; GAMBLE)"/>
    <x v="0"/>
    <x v="2"/>
    <x v="21"/>
    <n v="0.30409999999999998"/>
    <n v="0"/>
    <n v="0"/>
    <n v="4.4311999999999996"/>
    <n v="0"/>
    <n v="0"/>
    <n v="6.8627008485286162E-2"/>
    <n v="0"/>
    <n v="0"/>
    <n v="0.30409999999999998"/>
    <n v="4.4311999999999996"/>
    <n v="2.2875669495095386E-2"/>
  </r>
  <r>
    <s v="PAMPERS BABY FRESH CLEAN W 52 BAG+DIA50"/>
    <x v="79"/>
    <s v="PAMPERS (PROCTER &amp; GAMBLE)"/>
    <x v="0"/>
    <x v="2"/>
    <x v="21"/>
    <n v="1.4756"/>
    <n v="0.29549999999999998"/>
    <n v="0.13869999999999999"/>
    <n v="38.575499999999998"/>
    <n v="5.6929999999999996"/>
    <n v="2.5320999999999998"/>
    <n v="3.8252258557892965E-2"/>
    <n v="5.1905849288600037E-2"/>
    <n v="5.4776667588167925E-2"/>
    <n v="1.9098000000000002"/>
    <n v="46.800599999999996"/>
    <n v="4.8311591811553645E-2"/>
  </r>
  <r>
    <s v="PAMPERS BABY FRESH CLEAN W 52+DIA PANT38"/>
    <x v="79"/>
    <s v="PAMPERS (PROCTER &amp; GAMBLE)"/>
    <x v="0"/>
    <x v="2"/>
    <x v="21"/>
    <n v="0.92279999999999995"/>
    <n v="0"/>
    <n v="0"/>
    <n v="21.822199999999999"/>
    <n v="0"/>
    <n v="0"/>
    <n v="4.2287212105103979E-2"/>
    <n v="0"/>
    <n v="0"/>
    <n v="0.92279999999999995"/>
    <n v="21.822199999999999"/>
    <n v="1.4095737368367993E-2"/>
  </r>
  <r>
    <s v="PAMPERS BABY FRESH CLEAN W 6X52 BAG"/>
    <x v="79"/>
    <s v="PAMPERS (PROCTER &amp; GAMBLE)"/>
    <x v="0"/>
    <x v="2"/>
    <x v="21"/>
    <n v="105.723"/>
    <n v="231.39109999999999"/>
    <n v="190.30779999999999"/>
    <n v="3632.1455999999998"/>
    <n v="7878.6941999999999"/>
    <n v="6167.0902999999998"/>
    <n v="2.9107588638517135E-2"/>
    <n v="2.9369219584636244E-2"/>
    <n v="3.0858604421602192E-2"/>
    <n v="527.42190000000005"/>
    <n v="17677.930099999998"/>
    <n v="2.9778470881585192E-2"/>
  </r>
  <r>
    <s v="PAMPERS BABY FRESH CLEAN W52+DIA ACT6 44"/>
    <x v="79"/>
    <s v="PAMPERS (PROCTER &amp; GAMBLE)"/>
    <x v="0"/>
    <x v="2"/>
    <x v="21"/>
    <n v="0.97140000000000004"/>
    <n v="3.1E-2"/>
    <n v="0"/>
    <n v="22.952100000000002"/>
    <n v="0.70540000000000003"/>
    <n v="0"/>
    <n v="4.2322924699700677E-2"/>
    <n v="4.3946696909554862E-2"/>
    <n v="0"/>
    <n v="1.0024"/>
    <n v="23.657500000000002"/>
    <n v="2.8756540536418514E-2"/>
  </r>
  <r>
    <s v="PAMPERS BABY FRESH CLEAN W52+DIA PANTS60"/>
    <x v="79"/>
    <s v="PAMPERS (PROCTER &amp; GAMBLE)"/>
    <x v="0"/>
    <x v="2"/>
    <x v="21"/>
    <n v="0.23680000000000001"/>
    <n v="0"/>
    <n v="0"/>
    <n v="4.3052000000000001"/>
    <n v="0"/>
    <n v="0"/>
    <n v="5.5003251881445697E-2"/>
    <n v="0"/>
    <n v="0"/>
    <n v="0.23680000000000001"/>
    <n v="4.3052000000000001"/>
    <n v="1.8334417293815231E-2"/>
  </r>
  <r>
    <s v="PAMPERS SENSITIVE PH5.5 2X52 BAG"/>
    <x v="79"/>
    <s v="PAMPERS (PROCTER &amp; GAMBLE)"/>
    <x v="0"/>
    <x v="3"/>
    <x v="21"/>
    <n v="40.155500000000004"/>
    <n v="53.039099999999998"/>
    <n v="19.640599999999999"/>
    <n v="809.24120000000005"/>
    <n v="1117.5988"/>
    <n v="353.57029999999997"/>
    <n v="4.9621175985602319E-2"/>
    <n v="4.745808603230426E-2"/>
    <n v="5.5549349026204974E-2"/>
    <n v="112.83520000000001"/>
    <n v="2280.4103"/>
    <n v="5.0876203681370517E-2"/>
  </r>
  <r>
    <s v="PAMPERS SENSITIVE PH5.5 4X52 BAG"/>
    <x v="79"/>
    <s v="PAMPERS (PROCTER &amp; GAMBLE)"/>
    <x v="0"/>
    <x v="3"/>
    <x v="21"/>
    <n v="124.0141"/>
    <n v="119.1621"/>
    <n v="72.991100000000003"/>
    <n v="4179.8078999999998"/>
    <n v="4057.9854"/>
    <n v="2439.5360000000001"/>
    <n v="2.9669808509620744E-2"/>
    <n v="2.9364841973063775E-2"/>
    <n v="2.9920074965075327E-2"/>
    <n v="316.16730000000001"/>
    <n v="10677.329299999999"/>
    <n v="2.9651575149253279E-2"/>
  </r>
  <r>
    <s v="PAMPERS SENSITIVE PH5.5 52 BAG"/>
    <x v="79"/>
    <s v="PAMPERS (PROCTER &amp; GAMBLE)"/>
    <x v="0"/>
    <x v="3"/>
    <x v="21"/>
    <n v="126.2456"/>
    <n v="161.7927"/>
    <n v="82.616799999999998"/>
    <n v="2585.6873000000001"/>
    <n v="3416.431"/>
    <n v="1611.8206"/>
    <n v="4.8824774751378482E-2"/>
    <n v="4.7357227469250807E-2"/>
    <n v="5.1256821013455217E-2"/>
    <n v="370.6551"/>
    <n v="7613.9389000000001"/>
    <n v="4.9146274411361497E-2"/>
  </r>
  <r>
    <s v="PAMPERS SENSITIVE PH5.5 6X52 BAG"/>
    <x v="79"/>
    <s v="PAMPERS (PROCTER &amp; GAMBLE)"/>
    <x v="0"/>
    <x v="3"/>
    <x v="21"/>
    <n v="95.148099999999999"/>
    <n v="213.16730000000001"/>
    <n v="155.60400000000001"/>
    <n v="3171.4767999999999"/>
    <n v="7264.2154"/>
    <n v="5013.7686000000003"/>
    <n v="3.0001196918735148E-2"/>
    <n v="2.9344848447087624E-2"/>
    <n v="3.1035337370775348E-2"/>
    <n v="463.9194"/>
    <n v="15449.460800000001"/>
    <n v="3.0127127578866042E-2"/>
  </r>
  <r>
    <s v="PAMPERS SENSITIVE 54 BAG KAPAK"/>
    <x v="79"/>
    <s v="PAMPERS (PROCTER &amp; GAMBLE)"/>
    <x v="0"/>
    <x v="3"/>
    <x v="27"/>
    <n v="19.249199999999998"/>
    <n v="1.4004000000000001"/>
    <n v="0"/>
    <n v="316.69850000000002"/>
    <n v="25.215900000000001"/>
    <n v="0"/>
    <n v="6.07808372947772E-2"/>
    <n v="5.5536387755344842E-2"/>
    <n v="0"/>
    <n v="20.6496"/>
    <n v="341.9144"/>
    <n v="3.8772408350040678E-2"/>
  </r>
  <r>
    <s v="PAMPERS SENSITIVE 2X56 BAG"/>
    <x v="79"/>
    <s v="PAMPERS (PROCTER &amp; GAMBLE)"/>
    <x v="0"/>
    <x v="3"/>
    <x v="8"/>
    <n v="0.76639999999999997"/>
    <n v="3.6499999999999998E-2"/>
    <n v="0"/>
    <n v="14.48"/>
    <n v="0.67200000000000004"/>
    <n v="0"/>
    <n v="5.2928176795580109E-2"/>
    <n v="5.4315476190476185E-2"/>
    <n v="0"/>
    <n v="0.80289999999999995"/>
    <n v="15.152000000000001"/>
    <n v="3.5747884328685427E-2"/>
  </r>
  <r>
    <s v="PAMPERS SENSITIVE 4X56 BAG"/>
    <x v="79"/>
    <s v="PAMPERS (PROCTER &amp; GAMBLE)"/>
    <x v="0"/>
    <x v="3"/>
    <x v="8"/>
    <n v="0.17649999999999999"/>
    <n v="0"/>
    <n v="0"/>
    <n v="2.9144999999999999"/>
    <n v="0"/>
    <n v="0"/>
    <n v="6.0559272602504717E-2"/>
    <n v="0"/>
    <n v="0"/>
    <n v="0.17649999999999999"/>
    <n v="2.9144999999999999"/>
    <n v="2.0186424200834906E-2"/>
  </r>
  <r>
    <s v="PAMPERS SENSITIVE 56 BAG"/>
    <x v="79"/>
    <s v="PAMPERS (PROCTER &amp; GAMBLE)"/>
    <x v="0"/>
    <x v="3"/>
    <x v="8"/>
    <n v="3.9998"/>
    <n v="2.0327000000000002"/>
    <n v="0.44619999999999999"/>
    <n v="76.599100000000007"/>
    <n v="45.206499999999998"/>
    <n v="9.7993000000000006"/>
    <n v="5.2217323702236709E-2"/>
    <n v="4.496477276497849E-2"/>
    <n v="4.5533864663802513E-2"/>
    <n v="6.4787000000000008"/>
    <n v="131.60489999999999"/>
    <n v="4.7571987043672576E-2"/>
  </r>
  <r>
    <s v="PAMPERS SENSITIVE 56 BAG KAPAK"/>
    <x v="79"/>
    <s v="PAMPERS (PROCTER &amp; GAMBLE)"/>
    <x v="0"/>
    <x v="3"/>
    <x v="8"/>
    <n v="3.4256000000000002"/>
    <n v="0.1051"/>
    <n v="0"/>
    <n v="52.9163"/>
    <n v="1.5987"/>
    <n v="0"/>
    <n v="6.4736196597267759E-2"/>
    <n v="6.5740914493025576E-2"/>
    <n v="0"/>
    <n v="3.5307000000000004"/>
    <n v="54.515000000000001"/>
    <n v="4.3492370363431114E-2"/>
  </r>
  <r>
    <s v="PAMPERS SENSITIVE 56 BAG+DIA PANTS3 60"/>
    <x v="79"/>
    <s v="PAMPERS (PROCTER &amp; GAMBLE)"/>
    <x v="0"/>
    <x v="3"/>
    <x v="8"/>
    <n v="2.7799999999999998E-2"/>
    <n v="0"/>
    <n v="0"/>
    <n v="0.59"/>
    <n v="0"/>
    <n v="0"/>
    <n v="4.711864406779661E-2"/>
    <n v="0"/>
    <n v="0"/>
    <n v="2.7799999999999998E-2"/>
    <n v="0.59"/>
    <n v="1.5706214689265537E-2"/>
  </r>
  <r>
    <s v="PAMPERS SENSITIVE 56 BAG+DIA PANTS4 52"/>
    <x v="79"/>
    <s v="PAMPERS (PROCTER &amp; GAMBLE)"/>
    <x v="0"/>
    <x v="3"/>
    <x v="8"/>
    <n v="2.0205000000000002"/>
    <n v="6.1100000000000002E-2"/>
    <n v="4.3E-3"/>
    <n v="30.746600000000001"/>
    <n v="0.89600000000000002"/>
    <n v="5.6000000000000001E-2"/>
    <n v="6.571458307585229E-2"/>
    <n v="6.8191964285714279E-2"/>
    <n v="7.678571428571429E-2"/>
    <n v="2.0859000000000005"/>
    <n v="31.698600000000003"/>
    <n v="7.0230753882426958E-2"/>
  </r>
  <r>
    <s v="PAMPERS SENSITIVE 56 BAG+DIA PANTS5 48"/>
    <x v="79"/>
    <s v="PAMPERS (PROCTER &amp; GAMBLE)"/>
    <x v="0"/>
    <x v="3"/>
    <x v="8"/>
    <n v="0"/>
    <n v="0"/>
    <n v="0"/>
    <n v="0"/>
    <n v="0"/>
    <n v="0"/>
    <n v="0"/>
    <n v="0"/>
    <n v="0"/>
    <n v="0"/>
    <n v="0"/>
    <n v="0"/>
  </r>
  <r>
    <s v="PAMPERS SENSITIVE 56 BAG+DIA PANTS5 48 1"/>
    <x v="79"/>
    <s v="PAMPERS (PROCTER &amp; GAMBLE)"/>
    <x v="0"/>
    <x v="3"/>
    <x v="8"/>
    <n v="2.1128999999999998"/>
    <n v="3.0200000000000001E-2"/>
    <n v="0"/>
    <n v="32.116500000000002"/>
    <n v="0.44800000000000001"/>
    <n v="0"/>
    <n v="6.5788613329596929E-2"/>
    <n v="6.7410714285714282E-2"/>
    <n v="0"/>
    <n v="2.1430999999999996"/>
    <n v="32.564500000000002"/>
    <n v="4.4399775871770408E-2"/>
  </r>
  <r>
    <s v="PAMPERS SENSITIVE 56 BAG+DIA PANTS5 52"/>
    <x v="79"/>
    <s v="PAMPERS (PROCTER &amp; GAMBLE)"/>
    <x v="0"/>
    <x v="3"/>
    <x v="8"/>
    <n v="0"/>
    <n v="0"/>
    <n v="0"/>
    <n v="0"/>
    <n v="0"/>
    <n v="0"/>
    <n v="0"/>
    <n v="0"/>
    <n v="0"/>
    <n v="0"/>
    <n v="0"/>
    <n v="0"/>
  </r>
  <r>
    <s v="PAMPERS SENSITIVE 56 BAG+DIA PR CARE54"/>
    <x v="79"/>
    <s v="PAMPERS (PROCTER &amp; GAMBLE)"/>
    <x v="0"/>
    <x v="3"/>
    <x v="8"/>
    <n v="0.03"/>
    <n v="5.8999999999999999E-3"/>
    <n v="0"/>
    <n v="0.67200000000000004"/>
    <n v="0.16800000000000001"/>
    <n v="0"/>
    <n v="4.4642857142857137E-2"/>
    <n v="3.5119047619047619E-2"/>
    <n v="0"/>
    <n v="3.5900000000000001E-2"/>
    <n v="0.84000000000000008"/>
    <n v="2.6587301587301587E-2"/>
  </r>
  <r>
    <s v="PAMPERS SENSITIVE 56 BAG+DIAPREMCARE3 60"/>
    <x v="79"/>
    <s v="PAMPERS (PROCTER &amp; GAMBLE)"/>
    <x v="0"/>
    <x v="3"/>
    <x v="8"/>
    <n v="3.5200000000000002E-2"/>
    <n v="0"/>
    <n v="0"/>
    <n v="0.65949999999999998"/>
    <n v="0"/>
    <n v="0"/>
    <n v="5.3373768006065206E-2"/>
    <n v="0"/>
    <n v="0"/>
    <n v="3.5200000000000002E-2"/>
    <n v="0.65949999999999998"/>
    <n v="1.7791256002021735E-2"/>
  </r>
  <r>
    <s v="PAMPERS SENSITIVE 56 BAG+DIAPREMCARE5 44"/>
    <x v="79"/>
    <s v="PAMPERS (PROCTER &amp; GAMBLE)"/>
    <x v="0"/>
    <x v="3"/>
    <x v="8"/>
    <n v="0.17460000000000001"/>
    <n v="5.2699999999999997E-2"/>
    <n v="1.09E-2"/>
    <n v="3.8159000000000001"/>
    <n v="1.4"/>
    <n v="0.28000000000000003"/>
    <n v="4.575591603553552E-2"/>
    <n v="3.7642857142857145E-2"/>
    <n v="3.8928571428571423E-2"/>
    <n v="0.2382"/>
    <n v="5.4958999999999998"/>
    <n v="4.0775781535654698E-2"/>
  </r>
  <r>
    <s v="PAMPERS SENSITIVE 56BAG+DIA PANTS6 44"/>
    <x v="79"/>
    <s v="PAMPERS (PROCTER &amp; GAMBLE)"/>
    <x v="0"/>
    <x v="3"/>
    <x v="8"/>
    <n v="0"/>
    <n v="0"/>
    <n v="0"/>
    <n v="0"/>
    <n v="0"/>
    <n v="0"/>
    <n v="0"/>
    <n v="0"/>
    <n v="0"/>
    <n v="0"/>
    <n v="0"/>
    <n v="0"/>
  </r>
  <r>
    <s v="PAMPERS SENSITIVE 6X56/2BR FREE BAG"/>
    <x v="79"/>
    <s v="PAMPERS (PROCTER &amp; GAMBLE)"/>
    <x v="0"/>
    <x v="3"/>
    <x v="8"/>
    <n v="1.0412999999999999"/>
    <n v="0"/>
    <n v="0"/>
    <n v="23.5031"/>
    <n v="0"/>
    <n v="0"/>
    <n v="4.4304793835706777E-2"/>
    <n v="0"/>
    <n v="0"/>
    <n v="1.0412999999999999"/>
    <n v="23.5031"/>
    <n v="1.4768264611902259E-2"/>
  </r>
  <r>
    <s v="PAMPERS SENSITIVE CAMOMILE&amp;ALOE 56 BAG"/>
    <x v="79"/>
    <s v="PAMPERS (PROCTER &amp; GAMBLE)"/>
    <x v="0"/>
    <x v="3"/>
    <x v="8"/>
    <n v="3.8100000000000002E-2"/>
    <n v="7.4000000000000003E-3"/>
    <n v="1.11E-2"/>
    <n v="0.67200000000000004"/>
    <n v="0.112"/>
    <n v="0.16800000000000001"/>
    <n v="5.6696428571428571E-2"/>
    <n v="6.6071428571428573E-2"/>
    <n v="6.6071428571428573E-2"/>
    <n v="5.6599999999999998E-2"/>
    <n v="0.95200000000000007"/>
    <n v="6.294642857142857E-2"/>
  </r>
  <r>
    <s v="PAMPERS SENSITIVE SOFTLIKECOTTON 56 BAG"/>
    <x v="79"/>
    <s v="PAMPERS (PROCTER &amp; GAMBLE)"/>
    <x v="0"/>
    <x v="3"/>
    <x v="8"/>
    <n v="1.0855999999999999"/>
    <n v="0.58120000000000005"/>
    <n v="0"/>
    <n v="19.170200000000001"/>
    <n v="10.2963"/>
    <n v="0"/>
    <n v="5.6629560463636257E-2"/>
    <n v="5.6447461709546148E-2"/>
    <n v="0"/>
    <n v="1.6667999999999998"/>
    <n v="29.466500000000003"/>
    <n v="3.769234072439414E-2"/>
  </r>
  <r>
    <s v="PAMPERS SENSITIVE W 6X56/336 BAG"/>
    <x v="79"/>
    <s v="PAMPERS (PROCTER &amp; GAMBLE)"/>
    <x v="0"/>
    <x v="3"/>
    <x v="8"/>
    <n v="0.72109999999999996"/>
    <n v="5.3105000000000002"/>
    <n v="0"/>
    <n v="13.8162"/>
    <n v="130.43450000000001"/>
    <n v="0"/>
    <n v="5.219235390338877E-2"/>
    <n v="4.0713921546830012E-2"/>
    <n v="0"/>
    <n v="6.0316000000000001"/>
    <n v="144.25070000000002"/>
    <n v="3.0968758483406262E-2"/>
  </r>
  <r>
    <s v="PAMPERS SENSITIVE XXL W 6X56/2BR FR BAG"/>
    <x v="79"/>
    <s v="PAMPERS (PROCTER &amp; GAMBLE)"/>
    <x v="0"/>
    <x v="3"/>
    <x v="8"/>
    <n v="0.80620000000000003"/>
    <n v="0"/>
    <n v="0"/>
    <n v="18.060500000000001"/>
    <n v="0"/>
    <n v="0"/>
    <n v="4.4638852744940616E-2"/>
    <n v="0"/>
    <n v="0"/>
    <n v="0.80620000000000003"/>
    <n v="18.060500000000001"/>
    <n v="1.4879617581646873E-2"/>
  </r>
  <r>
    <s v="PAMPERS BABY FRESH ALOE W 64 BAG"/>
    <x v="79"/>
    <s v="PAMPERS (PROCTER &amp; GAMBLE)"/>
    <x v="0"/>
    <x v="2"/>
    <x v="9"/>
    <n v="15.5359"/>
    <n v="0.67789999999999995"/>
    <n v="0"/>
    <n v="345.3125"/>
    <n v="13.0631"/>
    <n v="0"/>
    <n v="4.4990841628959277E-2"/>
    <n v="5.1894267057589691E-2"/>
    <n v="0"/>
    <n v="16.213799999999999"/>
    <n v="358.37560000000002"/>
    <n v="3.2295036228849654E-2"/>
  </r>
  <r>
    <s v="PAMPERS BABY FRESH CLEAN W 4X64 BAG"/>
    <x v="79"/>
    <s v="PAMPERS (PROCTER &amp; GAMBLE)"/>
    <x v="0"/>
    <x v="0"/>
    <x v="9"/>
    <n v="0.33579999999999999"/>
    <n v="0"/>
    <n v="0"/>
    <n v="9.1472999999999995"/>
    <n v="0"/>
    <n v="0"/>
    <n v="3.6710286095350542E-2"/>
    <n v="0"/>
    <n v="0"/>
    <n v="0.33579999999999999"/>
    <n v="9.1472999999999995"/>
    <n v="1.2236762031783513E-2"/>
  </r>
  <r>
    <s v="PAMPERS BABY FRESH CLEAN W 64 BAG"/>
    <x v="79"/>
    <s v="PAMPERS (PROCTER &amp; GAMBLE)"/>
    <x v="0"/>
    <x v="0"/>
    <x v="9"/>
    <n v="27.901900000000001"/>
    <n v="8.1903000000000006"/>
    <n v="0.88470000000000004"/>
    <n v="618.1096"/>
    <n v="185.2071"/>
    <n v="18.353999999999999"/>
    <n v="4.5140699966478438E-2"/>
    <n v="4.4222386722755233E-2"/>
    <n v="4.8202026806145805E-2"/>
    <n v="36.976900000000008"/>
    <n v="821.67070000000001"/>
    <n v="4.5855037831793156E-2"/>
  </r>
  <r>
    <s v="PAMPERS BABY FRESH CLEAN W 64 BAG+DIA 42"/>
    <x v="79"/>
    <s v="PAMPERS (PROCTER &amp; GAMBLE)"/>
    <x v="0"/>
    <x v="0"/>
    <x v="9"/>
    <n v="2.58E-2"/>
    <n v="7.9000000000000008E-3"/>
    <n v="0"/>
    <n v="0.57599999999999996"/>
    <n v="0.38400000000000001"/>
    <n v="0"/>
    <n v="4.4791666666666667E-2"/>
    <n v="2.057291666666667E-2"/>
    <n v="0"/>
    <n v="3.3700000000000001E-2"/>
    <n v="0.96"/>
    <n v="2.1788194444444447E-2"/>
  </r>
  <r>
    <s v="PAMPERS BABY FRESH CLEAN W 64 BAG+DIA 76"/>
    <x v="79"/>
    <s v="PAMPERS (PROCTER &amp; GAMBLE)"/>
    <x v="0"/>
    <x v="0"/>
    <x v="9"/>
    <n v="0"/>
    <n v="0"/>
    <n v="0"/>
    <n v="0"/>
    <n v="0"/>
    <n v="0"/>
    <n v="0"/>
    <n v="0"/>
    <n v="0"/>
    <n v="0"/>
    <n v="0"/>
    <n v="0"/>
  </r>
  <r>
    <s v="PAMPERS BABY FRESH CLEAN W 64 BAG+DIA68"/>
    <x v="79"/>
    <s v="PAMPERS (PROCTER &amp; GAMBLE)"/>
    <x v="0"/>
    <x v="0"/>
    <x v="9"/>
    <n v="0.55289999999999995"/>
    <n v="0.47820000000000001"/>
    <n v="8.14E-2"/>
    <n v="17.2395"/>
    <n v="16.416799999999999"/>
    <n v="2.5183"/>
    <n v="3.2071695814843815E-2"/>
    <n v="2.9128697431899032E-2"/>
    <n v="3.232339276496049E-2"/>
    <n v="1.1124999999999998"/>
    <n v="36.174599999999998"/>
    <n v="3.1174595337234445E-2"/>
  </r>
  <r>
    <s v="PAMPERS BABY FRESH CLEAN W 6X64/384 BAG"/>
    <x v="79"/>
    <s v="PAMPERS (PROCTER &amp; GAMBLE)"/>
    <x v="0"/>
    <x v="0"/>
    <x v="9"/>
    <n v="3.53"/>
    <n v="1.6247"/>
    <n v="0"/>
    <n v="92.468000000000004"/>
    <n v="38.321599999999997"/>
    <n v="0"/>
    <n v="3.8175368776225287E-2"/>
    <n v="4.239645526282828E-2"/>
    <n v="0"/>
    <n v="5.1547000000000001"/>
    <n v="130.78960000000001"/>
    <n v="2.6857274679684521E-2"/>
  </r>
  <r>
    <s v="PAMPERS BABY FRESH ECONOMY W 2X64 BAG"/>
    <x v="79"/>
    <s v="PAMPERS (PROCTER &amp; GAMBLE)"/>
    <x v="0"/>
    <x v="2"/>
    <x v="9"/>
    <n v="0.42930000000000001"/>
    <n v="0.67159999999999997"/>
    <n v="0"/>
    <n v="9.3439999999999994"/>
    <n v="12.986599999999999"/>
    <n v="0"/>
    <n v="4.5943921232876717E-2"/>
    <n v="5.1714844532056117E-2"/>
    <n v="0"/>
    <n v="1.1009"/>
    <n v="22.330599999999997"/>
    <n v="3.255292192164428E-2"/>
  </r>
  <r>
    <s v="PAMPERS BABYFRESHCLEAN ALOE W 6X64/2BRFR"/>
    <x v="79"/>
    <s v="PAMPERS (PROCTER &amp; GAMBLE)"/>
    <x v="0"/>
    <x v="0"/>
    <x v="9"/>
    <n v="0.48170000000000002"/>
    <n v="0"/>
    <n v="0"/>
    <n v="13.007199999999999"/>
    <n v="0"/>
    <n v="0"/>
    <n v="3.7033335383479922E-2"/>
    <n v="0"/>
    <n v="0"/>
    <n v="0.48170000000000002"/>
    <n v="13.007199999999999"/>
    <n v="1.2344445127826641E-2"/>
  </r>
  <r>
    <s v="PAMPERS BABYFRESHCLEAN W 3X64/1FREE BAG"/>
    <x v="79"/>
    <s v="PAMPERS (PROCTER &amp; GAMBLE)"/>
    <x v="0"/>
    <x v="0"/>
    <x v="9"/>
    <n v="0"/>
    <n v="0"/>
    <n v="8.9800000000000005E-2"/>
    <n v="0"/>
    <n v="0"/>
    <n v="1.9842"/>
    <n v="0"/>
    <n v="0"/>
    <n v="4.525753452272957E-2"/>
    <n v="8.9800000000000005E-2"/>
    <n v="1.9842"/>
    <n v="1.5085844840909857E-2"/>
  </r>
  <r>
    <s v="PAMPERS BABYFRESHCLEAN W 6X64/2BRFR BAG"/>
    <x v="79"/>
    <s v="PAMPERS (PROCTER &amp; GAMBLE)"/>
    <x v="0"/>
    <x v="0"/>
    <x v="9"/>
    <n v="0"/>
    <n v="0"/>
    <n v="0"/>
    <n v="0"/>
    <n v="0"/>
    <n v="0"/>
    <n v="0"/>
    <n v="0"/>
    <n v="0"/>
    <n v="0"/>
    <n v="0"/>
    <n v="0"/>
  </r>
  <r>
    <s v="PAMPERS CLEAN&amp;PLAY 64 BAG"/>
    <x v="79"/>
    <s v="PAMPERS (PROCTER &amp; GAMBLE)"/>
    <x v="0"/>
    <x v="0"/>
    <x v="9"/>
    <n v="0"/>
    <n v="0"/>
    <n v="0.16889999999999999"/>
    <n v="0"/>
    <n v="0"/>
    <n v="4.3247"/>
    <n v="0"/>
    <n v="0"/>
    <n v="3.9054732120147061E-2"/>
    <n v="0.16889999999999999"/>
    <n v="4.3247"/>
    <n v="1.301824404004902E-2"/>
  </r>
  <r>
    <s v="PAMPERS NATURAL CLEAN W 64 BAG KAPAK"/>
    <x v="79"/>
    <s v="PAMPERS (PROCTER &amp; GAMBLE)"/>
    <x v="0"/>
    <x v="0"/>
    <x v="9"/>
    <n v="4.2949000000000002"/>
    <n v="0.33839999999999998"/>
    <n v="0"/>
    <n v="87.926599999999993"/>
    <n v="6.2496999999999998"/>
    <n v="0"/>
    <n v="4.8846424176529062E-2"/>
    <n v="5.4146599036753763E-2"/>
    <n v="0"/>
    <n v="4.6333000000000002"/>
    <n v="94.176299999999998"/>
    <n v="3.4331007737760939E-2"/>
  </r>
  <r>
    <s v="PAMPERS NATURALCLEAN FRAGR.FREE W 64 BAG"/>
    <x v="79"/>
    <s v="PAMPERS (PROCTER &amp; GAMBLE)"/>
    <x v="0"/>
    <x v="0"/>
    <x v="9"/>
    <n v="13.5303"/>
    <n v="2.3972000000000002"/>
    <n v="0.73670000000000002"/>
    <n v="272.4522"/>
    <n v="43.2258"/>
    <n v="13.669700000000001"/>
    <n v="4.9661188274493652E-2"/>
    <n v="5.5457620217555265E-2"/>
    <n v="5.3892916450251287E-2"/>
    <n v="16.664200000000001"/>
    <n v="329.34769999999997"/>
    <n v="5.3003908314100068E-2"/>
  </r>
  <r>
    <s v="PAMPERS NATURALLY CLEAN W 4X64 BAG"/>
    <x v="79"/>
    <s v="PAMPERS (PROCTER &amp; GAMBLE)"/>
    <x v="0"/>
    <x v="0"/>
    <x v="9"/>
    <n v="8.9724000000000004"/>
    <n v="2.3250000000000002"/>
    <n v="9.6000000000000002E-2"/>
    <n v="202.00700000000001"/>
    <n v="55.267699999999998"/>
    <n v="2.0488"/>
    <n v="4.4416282604068179E-2"/>
    <n v="4.2067970984860967E-2"/>
    <n v="4.6856696602889499E-2"/>
    <n v="11.3934"/>
    <n v="259.32349999999997"/>
    <n v="4.4446983397272877E-2"/>
  </r>
  <r>
    <s v="PAMPERS NATURALLY CLEAN+CHAMOMILE W 2X64"/>
    <x v="79"/>
    <s v="PAMPERS (PROCTER &amp; GAMBLE)"/>
    <x v="0"/>
    <x v="0"/>
    <x v="9"/>
    <n v="0.24310000000000001"/>
    <n v="0.1048"/>
    <n v="0"/>
    <n v="5.5039999999999996"/>
    <n v="2.3589000000000002"/>
    <n v="0"/>
    <n v="4.4167877906976752E-2"/>
    <n v="4.4427487388189406E-2"/>
    <n v="0"/>
    <n v="0.34789999999999999"/>
    <n v="7.8628999999999998"/>
    <n v="2.953178843172205E-2"/>
  </r>
  <r>
    <s v="PAMPERS NATURALLYCLEAN+CHAMOMILE W64 BAG"/>
    <x v="79"/>
    <s v="PAMPERS (PROCTER &amp; GAMBLE)"/>
    <x v="0"/>
    <x v="0"/>
    <x v="9"/>
    <n v="0"/>
    <n v="0"/>
    <n v="0"/>
    <n v="0"/>
    <n v="0"/>
    <n v="0"/>
    <n v="0"/>
    <n v="0"/>
    <n v="0"/>
    <n v="0"/>
    <n v="0"/>
    <n v="0"/>
  </r>
  <r>
    <s v="PAMPERS NATURALLYCLEAN+CHAMOMILE4X64/1FR"/>
    <x v="79"/>
    <s v="PAMPERS (PROCTER &amp; GAMBLE)"/>
    <x v="0"/>
    <x v="0"/>
    <x v="9"/>
    <n v="0"/>
    <n v="0"/>
    <n v="0"/>
    <n v="0"/>
    <n v="0"/>
    <n v="0"/>
    <n v="0"/>
    <n v="0"/>
    <n v="0"/>
    <n v="0"/>
    <n v="0"/>
    <n v="0"/>
  </r>
  <r>
    <s v="PAMPERS BABY FRESH CLEAN XXL W 80 BAG"/>
    <x v="79"/>
    <s v="PAMPERS (PROCTER &amp; GAMBLE)"/>
    <x v="0"/>
    <x v="2"/>
    <x v="3"/>
    <n v="299.24509999999998"/>
    <n v="239.40260000000001"/>
    <n v="70.132900000000006"/>
    <n v="8505.4575000000004"/>
    <n v="6543.0663999999997"/>
    <n v="1626.3281999999999"/>
    <n v="3.5182716508782741E-2"/>
    <n v="3.6588746829773887E-2"/>
    <n v="4.3123460565954654E-2"/>
    <n v="608.78060000000005"/>
    <n v="16674.8521"/>
    <n v="3.8298307968170429E-2"/>
  </r>
  <r>
    <s v="PAMPERS SENSITIVE PH5.5 XXL 80 BAG"/>
    <x v="79"/>
    <s v="PAMPERS (PROCTER &amp; GAMBLE)"/>
    <x v="0"/>
    <x v="3"/>
    <x v="3"/>
    <n v="228.9504"/>
    <n v="220.107"/>
    <n v="99.616699999999994"/>
    <n v="6068.1558999999997"/>
    <n v="5788.4287000000004"/>
    <n v="2377.8838000000001"/>
    <n v="3.7729815082700825E-2"/>
    <n v="3.802534528930105E-2"/>
    <n v="4.189300587354184E-2"/>
    <n v="548.67410000000007"/>
    <n v="14234.4684"/>
    <n v="3.9216055415181243E-2"/>
  </r>
  <r>
    <s v="PAMPERS HARMONIE COCO AL.FREE 3X42 BAG"/>
    <x v="79"/>
    <s v="PAMPERS (PROCTER &amp; GAMBLE)"/>
    <x v="0"/>
    <x v="2"/>
    <x v="31"/>
    <n v="0"/>
    <n v="0"/>
    <n v="4.2099999999999999E-2"/>
    <n v="0"/>
    <n v="0"/>
    <n v="0.45"/>
    <n v="0"/>
    <n v="0"/>
    <n v="9.3555555555555545E-2"/>
    <n v="4.2099999999999999E-2"/>
    <n v="0.45"/>
    <n v="3.118518518518518E-2"/>
  </r>
  <r>
    <s v="PAMPERS HARMONIE COCO AL.FREE 42 BAG"/>
    <x v="79"/>
    <s v="PAMPERS (PROCTER &amp; GAMBLE)"/>
    <x v="0"/>
    <x v="2"/>
    <x v="31"/>
    <n v="0"/>
    <n v="0"/>
    <n v="0.3543"/>
    <n v="0"/>
    <n v="0"/>
    <n v="4.1279000000000003"/>
    <n v="0"/>
    <n v="0"/>
    <n v="8.583056760095932E-2"/>
    <n v="0.3543"/>
    <n v="4.1279000000000003"/>
    <n v="2.8610189200319772E-2"/>
  </r>
  <r>
    <s v="PAMPERS PURE COCONUT AL.FREE 3X42 BAG"/>
    <x v="79"/>
    <s v="PAMPERS (PROCTER &amp; GAMBLE)"/>
    <x v="0"/>
    <x v="2"/>
    <x v="31"/>
    <n v="9.0039999999999996"/>
    <n v="27.005199999999999"/>
    <n v="7.3737000000000004"/>
    <n v="168.55369999999999"/>
    <n v="470.04379999999998"/>
    <n v="117.492"/>
    <n v="5.3419177389757683E-2"/>
    <n v="5.7452518254681798E-2"/>
    <n v="6.275916658155449E-2"/>
    <n v="43.382899999999999"/>
    <n v="756.08949999999993"/>
    <n v="5.7876954075331326E-2"/>
  </r>
  <r>
    <s v="PAMPERS PURE COCONUT AL.FREE 42 BAG"/>
    <x v="79"/>
    <s v="PAMPERS (PROCTER &amp; GAMBLE)"/>
    <x v="0"/>
    <x v="2"/>
    <x v="31"/>
    <n v="9.5648"/>
    <n v="36.633899999999997"/>
    <n v="14.959"/>
    <n v="136.73179999999999"/>
    <n v="512.46489999999994"/>
    <n v="178.05029999999999"/>
    <n v="6.9953002885941681E-2"/>
    <n v="7.1485676384860697E-2"/>
    <n v="8.4015584360149914E-2"/>
    <n v="61.157699999999991"/>
    <n v="827.24699999999996"/>
    <n v="7.515142121031744E-2"/>
  </r>
  <r>
    <s v="PAMPERS 72 R BAG"/>
    <x v="79"/>
    <s v="PAMPERS (PROCTER &amp; GAMBLE)"/>
    <x v="0"/>
    <x v="0"/>
    <x v="10"/>
    <n v="0.18679999999999999"/>
    <n v="0"/>
    <n v="0"/>
    <n v="4.4957000000000003"/>
    <n v="0"/>
    <n v="0"/>
    <n v="4.1550815223435726E-2"/>
    <n v="0"/>
    <n v="0"/>
    <n v="0.18679999999999999"/>
    <n v="4.4957000000000003"/>
    <n v="1.3850271741145241E-2"/>
  </r>
  <r>
    <s v="PAMPERS SENSITIVE 56 BOX"/>
    <x v="79"/>
    <s v="PAMPERS (PROCTER &amp; GAMBLE)"/>
    <x v="1"/>
    <x v="3"/>
    <x v="8"/>
    <n v="0.2319"/>
    <n v="0"/>
    <n v="0"/>
    <n v="3.4005999999999998"/>
    <n v="0"/>
    <n v="0"/>
    <n v="6.8193848144445096E-2"/>
    <n v="0"/>
    <n v="0"/>
    <n v="0.2319"/>
    <n v="3.4005999999999998"/>
    <n v="2.2731282714815032E-2"/>
  </r>
  <r>
    <s v="PRIMA HASSAS CILTLER W 56 BAG"/>
    <x v="79"/>
    <s v="PRIMA (PROCTER &amp; GAMBLE)"/>
    <x v="0"/>
    <x v="3"/>
    <x v="8"/>
    <n v="0.2671"/>
    <n v="0"/>
    <n v="0"/>
    <n v="5.0296000000000003"/>
    <n v="0"/>
    <n v="0"/>
    <n v="5.3105614760617141E-2"/>
    <n v="0"/>
    <n v="0"/>
    <n v="0.2671"/>
    <n v="5.0296000000000003"/>
    <n v="1.7701871586872382E-2"/>
  </r>
  <r>
    <s v="PRIMA  FreshClean ALOE W 64 BAG"/>
    <x v="79"/>
    <s v="PRIMA (PROCTER &amp; GAMBLE)"/>
    <x v="0"/>
    <x v="0"/>
    <x v="9"/>
    <n v="0.10589999999999999"/>
    <n v="1.12E-2"/>
    <n v="0"/>
    <n v="2.2591999999999999"/>
    <n v="0.2389"/>
    <n v="0"/>
    <n v="4.6875E-2"/>
    <n v="4.6881540393470068E-2"/>
    <n v="0"/>
    <n v="0.1171"/>
    <n v="2.4981"/>
    <n v="3.1252180131156687E-2"/>
  </r>
  <r>
    <s v="URIAGE BEBE HYPOALERGENIC W 2X70/1FR BAG"/>
    <x v="80"/>
    <s v="URIAGE (PUIG)"/>
    <x v="0"/>
    <x v="5"/>
    <x v="20"/>
    <n v="2.1598999999999999"/>
    <n v="5.1025"/>
    <n v="6.3079000000000001"/>
    <n v="36.4"/>
    <n v="77.862799999999993"/>
    <n v="91.042100000000005"/>
    <n v="5.9337912087912087E-2"/>
    <n v="6.5531935661188659E-2"/>
    <n v="6.9285528343480646E-2"/>
    <n v="13.5703"/>
    <n v="205.3049"/>
    <n v="6.4718458697527126E-2"/>
  </r>
  <r>
    <s v="URIAGE BEBE HYPOALERGENIC W 70 BAG"/>
    <x v="80"/>
    <s v="URIAGE (PUIG)"/>
    <x v="0"/>
    <x v="5"/>
    <x v="20"/>
    <n v="10.1408"/>
    <n v="7.4416000000000002"/>
    <n v="2.3571"/>
    <n v="91.191500000000005"/>
    <n v="64.807599999999994"/>
    <n v="19.349299999999999"/>
    <n v="0.11120334680315599"/>
    <n v="0.11482603892136109"/>
    <n v="0.12181836035412134"/>
    <n v="19.939499999999999"/>
    <n v="175.3484"/>
    <n v="0.11594924869287948"/>
  </r>
  <r>
    <s v="BEBECAN EXTRASOFT PH5.5 ALC.FREE W 72BAG"/>
    <x v="81"/>
    <s v="BEBECAN (RAMER KOZMETIK)"/>
    <x v="0"/>
    <x v="1"/>
    <x v="10"/>
    <n v="0"/>
    <n v="0"/>
    <n v="0"/>
    <n v="0"/>
    <n v="0"/>
    <n v="0"/>
    <n v="0"/>
    <n v="0"/>
    <n v="0"/>
    <n v="0"/>
    <n v="0"/>
    <n v="0"/>
  </r>
  <r>
    <s v="BIMBO&amp;BIMBA CHAMOMILE&amp;ALOE W 80 BAG"/>
    <x v="82"/>
    <s v="BIMBO &amp; BIMBA (REGINA TRADING LTD)"/>
    <x v="0"/>
    <x v="1"/>
    <x v="3"/>
    <n v="2.9045000000000001"/>
    <n v="0"/>
    <n v="0"/>
    <n v="116.9823"/>
    <n v="0"/>
    <n v="0"/>
    <n v="2.4828542437616632E-2"/>
    <n v="0"/>
    <n v="0"/>
    <n v="2.9045000000000001"/>
    <n v="116.9823"/>
    <n v="8.2761808125388775E-3"/>
  </r>
  <r>
    <s v="BIMBO&amp;BIMBA CHAMOMILE&amp;CALENDULA W 80 BAG"/>
    <x v="82"/>
    <s v="BIMBO &amp; BIMBA (REGINA TRADING LTD)"/>
    <x v="0"/>
    <x v="0"/>
    <x v="3"/>
    <n v="2.9113000000000002"/>
    <n v="0"/>
    <n v="0"/>
    <n v="119.83880000000001"/>
    <n v="0"/>
    <n v="0"/>
    <n v="2.4293467558086364E-2"/>
    <n v="0"/>
    <n v="0"/>
    <n v="2.9113000000000002"/>
    <n v="119.83880000000001"/>
    <n v="8.0978225193621221E-3"/>
  </r>
  <r>
    <s v="BIMBO&amp;BIMBA CHAMOMILE&amp;LAVENDER W 80 BAG"/>
    <x v="82"/>
    <s v="BIMBO &amp; BIMBA (REGINA TRADING LTD)"/>
    <x v="0"/>
    <x v="0"/>
    <x v="3"/>
    <n v="4.2324000000000002"/>
    <n v="0"/>
    <n v="0"/>
    <n v="171.05330000000001"/>
    <n v="0"/>
    <n v="0"/>
    <n v="2.4743164849786586E-2"/>
    <n v="0"/>
    <n v="0"/>
    <n v="4.2324000000000002"/>
    <n v="171.05330000000001"/>
    <n v="8.2477216165955294E-3"/>
  </r>
  <r>
    <s v="BIMBO&amp;BIMBA CHAMOMILE&amp;SMRADLIKA W 80 BAG"/>
    <x v="82"/>
    <s v="BIMBO &amp; BIMBA (REGINA TRADING LTD)"/>
    <x v="0"/>
    <x v="1"/>
    <x v="3"/>
    <n v="2.6360000000000001"/>
    <n v="0"/>
    <n v="0"/>
    <n v="103.9999"/>
    <n v="0"/>
    <n v="0"/>
    <n v="2.5346178217479056E-2"/>
    <n v="0"/>
    <n v="0"/>
    <n v="2.6360000000000001"/>
    <n v="103.9999"/>
    <n v="8.4487260724930187E-3"/>
  </r>
  <r>
    <s v="VIBELLE BABY RASPBERRY VIT E PH5.5 W 144"/>
    <x v="82"/>
    <s v="VIBELLE (REGINA TRADING LTD)"/>
    <x v="0"/>
    <x v="1"/>
    <x v="32"/>
    <n v="59.2014"/>
    <n v="82.022099999999995"/>
    <n v="31.495899999999999"/>
    <n v="4163.6220999999996"/>
    <n v="5172.0583999999999"/>
    <n v="1931.7985000000001"/>
    <n v="1.4218725565896099E-2"/>
    <n v="1.5858695640404988E-2"/>
    <n v="1.6303926108235407E-2"/>
    <n v="172.71940000000001"/>
    <n v="11267.478999999999"/>
    <n v="1.54604491048455E-2"/>
  </r>
  <r>
    <s v="VIBELLE BABY ULTRA SENS.ROSE PH5.5 W 144"/>
    <x v="82"/>
    <s v="VIBELLE (REGINA TRADING LTD)"/>
    <x v="0"/>
    <x v="1"/>
    <x v="32"/>
    <n v="6.7272999999999996"/>
    <n v="1.7110000000000001"/>
    <n v="1.5649999999999999"/>
    <n v="473.34"/>
    <n v="112.14570000000001"/>
    <n v="108.86020000000001"/>
    <n v="1.421240545907804E-2"/>
    <n v="1.5256938072525296E-2"/>
    <n v="1.4376236677867575E-2"/>
    <n v="10.003299999999999"/>
    <n v="694.34589999999992"/>
    <n v="1.461519340315697E-2"/>
  </r>
  <r>
    <s v="BELUX BABY SENS.CREAM LOTION W 120 BAG"/>
    <x v="83"/>
    <s v="BELUX (RENKSAN)"/>
    <x v="0"/>
    <x v="3"/>
    <x v="5"/>
    <n v="53.944000000000003"/>
    <n v="41.741"/>
    <n v="12.7791"/>
    <n v="3422.2186000000002"/>
    <n v="2176.2671999999998"/>
    <n v="723.71550000000002"/>
    <n v="1.5762873826937883E-2"/>
    <n v="1.9180089650756123E-2"/>
    <n v="1.7657629275592411E-2"/>
    <n v="108.4641"/>
    <n v="6322.2013000000006"/>
    <n v="1.7533530917762139E-2"/>
  </r>
  <r>
    <s v="BELUX ULTRA SENSITIVE W 120/48GRATIS BAG"/>
    <x v="83"/>
    <s v="BELUX (RENKSAN)"/>
    <x v="0"/>
    <x v="3"/>
    <x v="10"/>
    <n v="10.5024"/>
    <n v="1.2988"/>
    <n v="0.38090000000000002"/>
    <n v="626.13580000000002"/>
    <n v="67.750100000000003"/>
    <n v="17.785299999999999"/>
    <n v="1.677335811177064E-2"/>
    <n v="1.9170451408927806E-2"/>
    <n v="2.1416563116731235E-2"/>
    <n v="12.1821"/>
    <n v="711.6712"/>
    <n v="1.9120124212476563E-2"/>
  </r>
  <r>
    <s v="SECKIN PROVITB5 PH5.5 ALC.FREE W 102 BAG"/>
    <x v="83"/>
    <s v="SECKIN (RENKSAN)"/>
    <x v="0"/>
    <x v="1"/>
    <x v="12"/>
    <n v="1.4174"/>
    <n v="2.3006000000000002"/>
    <n v="0"/>
    <n v="78.384500000000003"/>
    <n v="113.29300000000001"/>
    <n v="0"/>
    <n v="1.8082656647679069E-2"/>
    <n v="2.0306638539009471E-2"/>
    <n v="0"/>
    <n v="3.718"/>
    <n v="191.67750000000001"/>
    <n v="1.2796431728896182E-2"/>
  </r>
  <r>
    <s v="SOFT CARE COTTON VIT ECHAMOMILE W 72 BAG"/>
    <x v="84"/>
    <s v="SOFT CARE (SANO LTD)"/>
    <x v="0"/>
    <x v="4"/>
    <x v="10"/>
    <n v="2.9096000000000002"/>
    <n v="6.0198"/>
    <n v="5.5109000000000004"/>
    <n v="55.366500000000002"/>
    <n v="108.4705"/>
    <n v="98.710099999999997"/>
    <n v="5.2551633207806168E-2"/>
    <n v="5.5497116727589529E-2"/>
    <n v="5.5829140077864381E-2"/>
    <n v="14.440300000000001"/>
    <n v="262.5471"/>
    <n v="5.462596333775336E-2"/>
  </r>
  <r>
    <s v="HOPS P H5.5 W 90/18BONUS ORANJEVI BAG"/>
    <x v="85"/>
    <s v="HOPS (SAPRO TEMIZLIK)"/>
    <x v="0"/>
    <x v="1"/>
    <x v="10"/>
    <n v="0"/>
    <n v="0"/>
    <n v="9.1999999999999998E-3"/>
    <n v="0"/>
    <n v="0"/>
    <n v="0.30320000000000003"/>
    <n v="0"/>
    <n v="0"/>
    <n v="3.034300791556728E-2"/>
    <n v="9.1999999999999998E-3"/>
    <n v="0.30320000000000003"/>
    <n v="1.0114335971855759E-2"/>
  </r>
  <r>
    <s v="MAXIMENS VIT E&amp;PRO VIT B5 W 72 BAG"/>
    <x v="86"/>
    <s v="MAXIMENS (SARIHAN TEMIZLIK)"/>
    <x v="0"/>
    <x v="1"/>
    <x v="10"/>
    <n v="0"/>
    <n v="0"/>
    <n v="0"/>
    <n v="0"/>
    <n v="0"/>
    <n v="0"/>
    <n v="0"/>
    <n v="0"/>
    <n v="0"/>
    <n v="0"/>
    <n v="0"/>
    <n v="0"/>
  </r>
  <r>
    <s v="DOCTOR WIPES BABY GRAPES W 60 BAG KAPAK"/>
    <x v="87"/>
    <s v="DOCTOR (SC EUROPACK MEDIA SRL)"/>
    <x v="0"/>
    <x v="1"/>
    <x v="13"/>
    <n v="0.35610000000000003"/>
    <n v="0"/>
    <n v="0"/>
    <n v="5.6227"/>
    <n v="0"/>
    <n v="0"/>
    <n v="6.3332562647838236E-2"/>
    <n v="0"/>
    <n v="0"/>
    <n v="0.35610000000000003"/>
    <n v="5.6227"/>
    <n v="2.1110854215946079E-2"/>
  </r>
  <r>
    <s v="DOCTOR WIPES BABY W 72 BAG &amp;&amp;&amp;"/>
    <x v="87"/>
    <s v="DOCTOR (SC EUROPACK MEDIA SRL)"/>
    <x v="0"/>
    <x v="0"/>
    <x v="10"/>
    <n v="1.3764000000000001"/>
    <n v="2.7699999999999999E-2"/>
    <n v="0"/>
    <n v="28.943100000000001"/>
    <n v="0.64290000000000003"/>
    <n v="0"/>
    <n v="4.7555375892699814E-2"/>
    <n v="4.3086016487789702E-2"/>
    <n v="0"/>
    <n v="1.4041000000000001"/>
    <n v="29.586000000000002"/>
    <n v="3.0213797460163172E-2"/>
  </r>
  <r>
    <s v="MEDPROFESSIONAL BABYPOWDERARGANOIL W 24"/>
    <x v="87"/>
    <s v="MEDPROFFESIONAL (SC EUROPACK MEDIA SRL)"/>
    <x v="0"/>
    <x v="2"/>
    <x v="24"/>
    <n v="6.7664999999999997"/>
    <n v="0.54779999999999995"/>
    <n v="0"/>
    <n v="162.6651"/>
    <n v="12.7288"/>
    <n v="0"/>
    <n v="4.1597736699513291E-2"/>
    <n v="4.3036264219722203E-2"/>
    <n v="0"/>
    <n v="7.3142999999999994"/>
    <n v="175.3939"/>
    <n v="2.8211333639745165E-2"/>
  </r>
  <r>
    <s v="MED PROFESSIONAL BABY ALOE VERA W 60 BAG"/>
    <x v="87"/>
    <s v="MEDPROFFESIONAL (SC EUROPACK MEDIA SRL)"/>
    <x v="0"/>
    <x v="2"/>
    <x v="13"/>
    <n v="14.513400000000001"/>
    <n v="11.551399999999999"/>
    <n v="8.6715"/>
    <n v="383.46769999999998"/>
    <n v="307.81580000000002"/>
    <n v="255.3304"/>
    <n v="3.7847777009641231E-2"/>
    <n v="3.7526988543148204E-2"/>
    <n v="3.3961878413224594E-2"/>
    <n v="34.7363"/>
    <n v="946.61390000000006"/>
    <n v="3.6445547988671341E-2"/>
  </r>
  <r>
    <s v="MEDPROFESSIONAL BABYGRAPESEEDOIL W 60BAG"/>
    <x v="87"/>
    <s v="MEDPROFFESIONAL (SC EUROPACK MEDIA SRL)"/>
    <x v="0"/>
    <x v="2"/>
    <x v="13"/>
    <n v="17.654699999999998"/>
    <n v="12.539"/>
    <n v="4.6113"/>
    <n v="482.61590000000001"/>
    <n v="340.10579999999999"/>
    <n v="153.12389999999999"/>
    <n v="3.6581264728327428E-2"/>
    <n v="3.6867939329467476E-2"/>
    <n v="3.0114828579993067E-2"/>
    <n v="34.805"/>
    <n v="975.8456000000001"/>
    <n v="3.4521344212595985E-2"/>
  </r>
  <r>
    <s v="SPRING LINE  FreshClean W 120 BAG &amp;&amp;&amp;"/>
    <x v="87"/>
    <s v="SPRING LINE (SC EUROPACK MEDIA SRL)"/>
    <x v="0"/>
    <x v="0"/>
    <x v="5"/>
    <n v="20.231999999999999"/>
    <n v="11.313700000000001"/>
    <n v="0"/>
    <n v="583.67819999999995"/>
    <n v="345.19709999999998"/>
    <n v="0"/>
    <n v="3.4662935843757743E-2"/>
    <n v="3.2774609056680955E-2"/>
    <n v="0"/>
    <n v="31.5457"/>
    <n v="928.87529999999992"/>
    <n v="2.2479181633479565E-2"/>
  </r>
  <r>
    <s v="SPRINGLINE BABY COMPLEX5VITAMINS W 72BAG"/>
    <x v="87"/>
    <s v="SPRING LINE (SC EUROPACK MEDIA SRL)"/>
    <x v="0"/>
    <x v="1"/>
    <x v="10"/>
    <n v="0"/>
    <n v="0"/>
    <n v="0"/>
    <n v="0"/>
    <n v="0"/>
    <n v="0"/>
    <n v="0"/>
    <n v="0"/>
    <n v="0"/>
    <n v="0"/>
    <n v="0"/>
    <n v="0"/>
  </r>
  <r>
    <s v="GIAN BABY CREAM PH5.5 W 120 BAG"/>
    <x v="88"/>
    <s v="GIAN (SCK ZETA COMPANY)"/>
    <x v="0"/>
    <x v="1"/>
    <x v="5"/>
    <n v="0"/>
    <n v="20.586300000000001"/>
    <n v="29.262499999999999"/>
    <n v="0"/>
    <n v="1265.0245"/>
    <n v="1657.2372"/>
    <n v="0"/>
    <n v="1.6273439763419602E-2"/>
    <n v="1.7657399918370165E-2"/>
    <n v="49.848799999999997"/>
    <n v="2922.2617"/>
    <n v="1.1310279893929923E-2"/>
  </r>
  <r>
    <s v="GIAN BABY CREAM PH5.5 W 72 BAG"/>
    <x v="88"/>
    <s v="GIAN (SCK ZETA COMPANY)"/>
    <x v="0"/>
    <x v="1"/>
    <x v="10"/>
    <n v="26.3474"/>
    <n v="52.005499999999998"/>
    <n v="32.744900000000001"/>
    <n v="920.46799999999996"/>
    <n v="1819.1769999999999"/>
    <n v="1062.7058999999999"/>
    <n v="2.8623917398540744E-2"/>
    <n v="2.8587377698816554E-2"/>
    <n v="3.0812758261716627E-2"/>
    <n v="111.09780000000001"/>
    <n v="3802.3508999999999"/>
    <n v="2.9341351119691311E-2"/>
  </r>
  <r>
    <s v="SEBAMED BABYCLEANSING EXTRASOFT W 72 BAG"/>
    <x v="89"/>
    <s v="SEBAMED (SEBAPHARMA)"/>
    <x v="0"/>
    <x v="0"/>
    <x v="10"/>
    <n v="0.1701"/>
    <n v="0.71989999999999998"/>
    <n v="4.9299999999999997E-2"/>
    <n v="1.008"/>
    <n v="3.8765000000000001"/>
    <n v="0.28799999999999998"/>
    <n v="0.16875000000000001"/>
    <n v="0.18570875790016766"/>
    <n v="0.17118055555555556"/>
    <n v="0.93930000000000002"/>
    <n v="5.1725000000000003"/>
    <n v="0.17521310448524108"/>
  </r>
  <r>
    <s v="SEBAMED BABY OIL WIPES W 70 BOX"/>
    <x v="89"/>
    <s v="SEBAMED (SEBAPHARMA)"/>
    <x v="1"/>
    <x v="0"/>
    <x v="20"/>
    <n v="0.8034"/>
    <n v="0.64690000000000003"/>
    <n v="0.2069"/>
    <n v="3.92"/>
    <n v="3.48"/>
    <n v="1.1399999999999999"/>
    <n v="0.20494897959183675"/>
    <n v="0.18589080459770116"/>
    <n v="0.18149122807017545"/>
    <n v="1.6572"/>
    <n v="8.5400000000000009"/>
    <n v="0.19077700408657114"/>
  </r>
  <r>
    <s v="MAMMI PH5.5 ALC.FREE W 72 BAG SINI"/>
    <x v="90"/>
    <s v="MAMMI (SEMA TREYD ODD)"/>
    <x v="0"/>
    <x v="1"/>
    <x v="10"/>
    <n v="16.393699999999999"/>
    <n v="13.5199"/>
    <n v="5.5843999999999996"/>
    <n v="841.14940000000001"/>
    <n v="693.07759999999996"/>
    <n v="305.17070000000001"/>
    <n v="1.9489641198103452E-2"/>
    <n v="1.9507050869917022E-2"/>
    <n v="1.8299266607180831E-2"/>
    <n v="35.497999999999998"/>
    <n v="1839.3977"/>
    <n v="1.9098652891733767E-2"/>
  </r>
  <r>
    <s v="MAMMI PH5.5 ALC.FREE W 72 BAG ZELENI"/>
    <x v="90"/>
    <s v="MAMMI (SEMA TREYD ODD)"/>
    <x v="0"/>
    <x v="1"/>
    <x v="10"/>
    <n v="2.1175000000000002"/>
    <n v="0.66620000000000001"/>
    <n v="0"/>
    <n v="137.34479999999999"/>
    <n v="41.348700000000001"/>
    <n v="0"/>
    <n v="1.5417402042159589E-2"/>
    <n v="1.6111752001876721E-2"/>
    <n v="0"/>
    <n v="2.7837000000000001"/>
    <n v="178.6935"/>
    <n v="1.0509718014678768E-2"/>
  </r>
  <r>
    <s v="ASALI BABY ULTRA SOFT VIT.E W 120 BAG"/>
    <x v="91"/>
    <s v="ASALI (SEPA MENSUCAT)"/>
    <x v="0"/>
    <x v="1"/>
    <x v="5"/>
    <n v="1.9984999999999999"/>
    <n v="3.2300000000000002E-2"/>
    <n v="0"/>
    <n v="141.71469999999999"/>
    <n v="1.9971000000000001"/>
    <n v="0"/>
    <n v="1.410227732197154E-2"/>
    <n v="1.6173451504681788E-2"/>
    <n v="0"/>
    <n v="2.0308000000000002"/>
    <n v="143.71179999999998"/>
    <n v="1.0091909608884442E-2"/>
  </r>
  <r>
    <s v="COTTON SOFT CHAMOMILE ALC.FREE W 100 BAG"/>
    <x v="91"/>
    <s v="COTTON SOFT (SEPA MENSUCAT)"/>
    <x v="0"/>
    <x v="2"/>
    <x v="4"/>
    <n v="136.17420000000001"/>
    <n v="152.24180000000001"/>
    <n v="70.924899999999994"/>
    <n v="7155.8876"/>
    <n v="7606.2596000000003"/>
    <n v="3236.7058000000002"/>
    <n v="1.902967285288271E-2"/>
    <n v="2.0015330531185132E-2"/>
    <n v="2.1912680479022836E-2"/>
    <n v="359.34090000000003"/>
    <n v="17998.852999999999"/>
    <n v="2.0319227954363559E-2"/>
  </r>
  <r>
    <s v="COTTON SOFT PH5.5 W 120 BAG KAPAK"/>
    <x v="91"/>
    <s v="COTTON SOFT (SEPA MENSUCAT)"/>
    <x v="0"/>
    <x v="1"/>
    <x v="5"/>
    <n v="166.38550000000001"/>
    <n v="154.19909999999999"/>
    <n v="78.409199999999998"/>
    <n v="8805.9477000000006"/>
    <n v="8032.0802000000003"/>
    <n v="3983.7687000000001"/>
    <n v="1.8894672744876738E-2"/>
    <n v="1.9197903427308902E-2"/>
    <n v="1.9682166788448335E-2"/>
    <n v="398.99380000000002"/>
    <n v="20821.796600000001"/>
    <n v="1.9258247653544659E-2"/>
  </r>
  <r>
    <s v="COTTON SOFT PH5.5 W 72 BAG KAPAK"/>
    <x v="91"/>
    <s v="COTTON SOFT (SEPA MENSUCAT)"/>
    <x v="0"/>
    <x v="1"/>
    <x v="10"/>
    <n v="7.4499999999999997E-2"/>
    <n v="0"/>
    <n v="0"/>
    <n v="5.2851999999999997"/>
    <n v="0"/>
    <n v="0"/>
    <n v="1.4095966093998335E-2"/>
    <n v="0"/>
    <n v="0"/>
    <n v="7.4499999999999997E-2"/>
    <n v="5.2851999999999997"/>
    <n v="4.6986553646661119E-3"/>
  </r>
  <r>
    <s v="COTTON SOFT W 72 BAG"/>
    <x v="91"/>
    <s v="COTTON SOFT (SEPA MENSUCAT)"/>
    <x v="0"/>
    <x v="0"/>
    <x v="10"/>
    <n v="4.2912999999999997"/>
    <n v="3.2158000000000002"/>
    <n v="0.39529999999999998"/>
    <n v="253.55109999999999"/>
    <n v="179.24690000000001"/>
    <n v="19.092600000000001"/>
    <n v="1.6924793463723879E-2"/>
    <n v="1.7940617104117283E-2"/>
    <n v="2.0704356661743292E-2"/>
    <n v="7.9023999999999992"/>
    <n v="451.89060000000001"/>
    <n v="1.8523255743194817E-2"/>
  </r>
  <r>
    <s v="ELVIM BABY JUMBO SENSITIVE W 120 BAG"/>
    <x v="91"/>
    <s v="ELVIM (SEPA MENSUCAT)"/>
    <x v="0"/>
    <x v="3"/>
    <x v="5"/>
    <n v="12.5473"/>
    <n v="21.5989"/>
    <n v="10.3498"/>
    <n v="734.85479999999995"/>
    <n v="1234.4389000000001"/>
    <n v="587.04769999999996"/>
    <n v="1.7074529553321283E-2"/>
    <n v="1.7496937272472538E-2"/>
    <n v="1.7630253895892959E-2"/>
    <n v="44.496000000000002"/>
    <n v="2556.3414000000002"/>
    <n v="1.740057357389559E-2"/>
  </r>
  <r>
    <s v="ELVIM ULTRA SENSITIVE VIT E&amp;B5 W 70 BAG"/>
    <x v="91"/>
    <s v="ELVIM (SEPA MENSUCAT)"/>
    <x v="0"/>
    <x v="3"/>
    <x v="20"/>
    <n v="0.68669999999999998"/>
    <n v="0"/>
    <n v="0"/>
    <n v="52.465899999999998"/>
    <n v="0"/>
    <n v="0"/>
    <n v="1.3088501293220931E-2"/>
    <n v="0"/>
    <n v="0"/>
    <n v="0.68669999999999998"/>
    <n v="52.465899999999998"/>
    <n v="4.3628337644069769E-3"/>
  </r>
  <r>
    <s v="ELVIM BABY PH5.5 ALC.FREE W 72 BAG"/>
    <x v="91"/>
    <s v="ELVIM (SEPA MENSUCAT)"/>
    <x v="0"/>
    <x v="1"/>
    <x v="10"/>
    <n v="0"/>
    <n v="0"/>
    <n v="0"/>
    <n v="0"/>
    <n v="0"/>
    <n v="0"/>
    <n v="0"/>
    <n v="0"/>
    <n v="0"/>
    <n v="0"/>
    <n v="0"/>
    <n v="0"/>
  </r>
  <r>
    <s v="ELVIM BABY ULTRASENSITIVE LOTION&amp;VITE 72"/>
    <x v="91"/>
    <s v="ELVIM (SEPA MENSUCAT)"/>
    <x v="0"/>
    <x v="3"/>
    <x v="10"/>
    <n v="37.213999999999999"/>
    <n v="7.2126999999999999"/>
    <n v="0"/>
    <n v="2501.2190000000001"/>
    <n v="451.55340000000001"/>
    <n v="0"/>
    <n v="1.4878345318822541E-2"/>
    <n v="1.5973083139225616E-2"/>
    <n v="0"/>
    <n v="44.426699999999997"/>
    <n v="2952.7723999999998"/>
    <n v="1.0283809486016052E-2"/>
  </r>
  <r>
    <s v="ELVIM BABY ULTRASENSITIVE LOTION&amp;VITE 90"/>
    <x v="91"/>
    <s v="ELVIM (SEPA MENSUCAT)"/>
    <x v="0"/>
    <x v="3"/>
    <x v="11"/>
    <n v="2.7111999999999998"/>
    <n v="0"/>
    <n v="0"/>
    <n v="136.8194"/>
    <n v="0"/>
    <n v="0"/>
    <n v="1.9815903300262974E-2"/>
    <n v="0"/>
    <n v="0"/>
    <n v="2.7111999999999998"/>
    <n v="136.8194"/>
    <n v="6.6053011000876578E-3"/>
  </r>
  <r>
    <s v="FLAMINGO BABY ULTRASENS.LOTION&amp;VITE 70 B"/>
    <x v="91"/>
    <s v="FLAMINGO (SEPA MENSUCAT)"/>
    <x v="0"/>
    <x v="3"/>
    <x v="20"/>
    <n v="0"/>
    <n v="19.032699999999998"/>
    <n v="19.713699999999999"/>
    <n v="0"/>
    <n v="1111.0531000000001"/>
    <n v="1063.3096"/>
    <n v="0"/>
    <n v="1.7130324374235575E-2"/>
    <n v="1.8539943587455619E-2"/>
    <n v="38.746399999999994"/>
    <n v="2174.3627000000001"/>
    <n v="1.189008932056373E-2"/>
  </r>
  <r>
    <s v="INCI FRESH VITE&amp;PROVITB5 ALC.FREE W 100"/>
    <x v="91"/>
    <s v="INCI (SEPA MENSUCAT)"/>
    <x v="0"/>
    <x v="2"/>
    <x v="4"/>
    <n v="1.0042"/>
    <n v="0"/>
    <n v="0"/>
    <n v="76.638000000000005"/>
    <n v="0"/>
    <n v="0"/>
    <n v="1.3103160312116703E-2"/>
    <n v="0"/>
    <n v="0"/>
    <n v="1.0042"/>
    <n v="76.638000000000005"/>
    <n v="4.367720104038901E-3"/>
  </r>
  <r>
    <s v="INCI FRESH VITE&amp;PROVITB5 PH5.5 W 120 BAG"/>
    <x v="91"/>
    <s v="INCI (SEPA MENSUCAT)"/>
    <x v="0"/>
    <x v="1"/>
    <x v="5"/>
    <n v="251.465"/>
    <n v="145.75579999999999"/>
    <n v="77.822699999999998"/>
    <n v="15122.0514"/>
    <n v="8717.0684000000001"/>
    <n v="4462.7493999999997"/>
    <n v="1.662902693215287E-2"/>
    <n v="1.6720736067644026E-2"/>
    <n v="1.7438285914060065E-2"/>
    <n v="475.04349999999999"/>
    <n v="28301.869200000001"/>
    <n v="1.6929349637952323E-2"/>
  </r>
  <r>
    <s v="INCI FRESH ULTRASOFT VITE&amp;PROVITB5 W 144"/>
    <x v="91"/>
    <s v="INCI (SEPA MENSUCAT)"/>
    <x v="0"/>
    <x v="2"/>
    <x v="32"/>
    <n v="15.856"/>
    <n v="22.015000000000001"/>
    <n v="3.4060000000000001"/>
    <n v="1023.9475"/>
    <n v="1391.8684000000001"/>
    <n v="229.50649999999999"/>
    <n v="1.5485168917351719E-2"/>
    <n v="1.5816868893639657E-2"/>
    <n v="1.484053828540804E-2"/>
    <n v="41.277000000000001"/>
    <n v="2645.3224"/>
    <n v="1.5380858698799805E-2"/>
  </r>
  <r>
    <s v="INCI FRESH VITE&amp;PROVITB5 PH5.5 W 60 BAG"/>
    <x v="91"/>
    <s v="INCI (SEPA MENSUCAT)"/>
    <x v="0"/>
    <x v="1"/>
    <x v="13"/>
    <n v="0"/>
    <n v="0"/>
    <n v="0.28920000000000001"/>
    <n v="0"/>
    <n v="0"/>
    <n v="17.3521"/>
    <n v="0"/>
    <n v="0"/>
    <n v="1.666657061681295E-2"/>
    <n v="0.28920000000000001"/>
    <n v="17.3521"/>
    <n v="5.5555235389376503E-3"/>
  </r>
  <r>
    <s v="INCI FRESH VITE&amp;PROVITB5 PH5.5 W 72 BAG"/>
    <x v="91"/>
    <s v="INCI (SEPA MENSUCAT)"/>
    <x v="0"/>
    <x v="1"/>
    <x v="10"/>
    <n v="2.5535999999999999"/>
    <n v="3.8500999999999999"/>
    <n v="0.82650000000000001"/>
    <n v="126.3817"/>
    <n v="174.249"/>
    <n v="46.762"/>
    <n v="2.0205456960936591E-2"/>
    <n v="2.2095392226067295E-2"/>
    <n v="1.7674607587357255E-2"/>
    <n v="7.2302"/>
    <n v="347.39269999999999"/>
    <n v="1.9991818924787047E-2"/>
  </r>
  <r>
    <s v="INCI FRESH VITE&amp;PROVITB5 PH5.5 W 90/18FR"/>
    <x v="91"/>
    <s v="INCI (SEPA MENSUCAT)"/>
    <x v="0"/>
    <x v="1"/>
    <x v="10"/>
    <n v="0"/>
    <n v="0.25659999999999999"/>
    <n v="0"/>
    <n v="0"/>
    <n v="13.196899999999999"/>
    <n v="0"/>
    <n v="0"/>
    <n v="1.9443960324015488E-2"/>
    <n v="0"/>
    <n v="0.25659999999999999"/>
    <n v="13.196899999999999"/>
    <n v="6.4813201080051626E-3"/>
  </r>
  <r>
    <s v="SEPTONA CALM NCARE CHAMOM BABY 12 W BAG"/>
    <x v="92"/>
    <s v="SEPTONA (SEPTONA SA)"/>
    <x v="0"/>
    <x v="2"/>
    <x v="26"/>
    <n v="0"/>
    <n v="0.5504"/>
    <n v="0.74670000000000003"/>
    <n v="0"/>
    <n v="6.7556000000000003"/>
    <n v="9.0073000000000008"/>
    <n v="0"/>
    <n v="8.1473148202972343E-2"/>
    <n v="8.2899426021116204E-2"/>
    <n v="1.2970999999999999"/>
    <n v="15.762900000000002"/>
    <n v="5.4790858074696185E-2"/>
  </r>
  <r>
    <s v="SEPTONA ALOE VERA BABY ALC.FREE 20 BAG"/>
    <x v="92"/>
    <s v="SEPTONA (SEPTONA SA)"/>
    <x v="0"/>
    <x v="2"/>
    <x v="0"/>
    <n v="4.7511999999999999"/>
    <n v="3.7549000000000001"/>
    <n v="1.1405000000000001"/>
    <n v="70.328999999999994"/>
    <n v="55.465600000000002"/>
    <n v="16.475899999999999"/>
    <n v="6.755676890045359E-2"/>
    <n v="6.7697816304159691E-2"/>
    <n v="6.9222318659375212E-2"/>
    <n v="9.6465999999999994"/>
    <n v="142.2705"/>
    <n v="6.8158967954662822E-2"/>
  </r>
  <r>
    <s v="SEPTONA CHAMOMILE BABY 20 W BAG"/>
    <x v="92"/>
    <s v="SEPTONA (SEPTONA SA)"/>
    <x v="0"/>
    <x v="0"/>
    <x v="0"/>
    <n v="1.23E-2"/>
    <n v="2.7799999999999998E-2"/>
    <n v="0"/>
    <n v="0.18"/>
    <n v="0.46179999999999999"/>
    <n v="0"/>
    <n v="6.8333333333333343E-2"/>
    <n v="6.0199220441749676E-2"/>
    <n v="0"/>
    <n v="4.0099999999999997E-2"/>
    <n v="0.64179999999999993"/>
    <n v="4.284418459169434E-2"/>
  </r>
  <r>
    <s v="SEPTONA SENSITIVE ALMOND&amp;MILK W 20 BAG"/>
    <x v="92"/>
    <s v="SEPTONA (SEPTONA SA)"/>
    <x v="0"/>
    <x v="3"/>
    <x v="0"/>
    <n v="11.1968"/>
    <n v="6.3734000000000002"/>
    <n v="1.3038000000000001"/>
    <n v="170.3914"/>
    <n v="94.576999999999998"/>
    <n v="19.252400000000002"/>
    <n v="6.5712236650441277E-2"/>
    <n v="6.7388477113886042E-2"/>
    <n v="6.7721426938979035E-2"/>
    <n v="18.873999999999999"/>
    <n v="284.2208"/>
    <n v="6.6940713567768775E-2"/>
  </r>
  <r>
    <s v="SEPTONA SENSITIVE CALMN CARE W 54 BAG"/>
    <x v="92"/>
    <s v="SEPTONA (SEPTONA SA)"/>
    <x v="0"/>
    <x v="3"/>
    <x v="27"/>
    <n v="0"/>
    <n v="0.89970000000000006"/>
    <n v="2.4813999999999998"/>
    <n v="0"/>
    <n v="21.057300000000001"/>
    <n v="55.505499999999998"/>
    <n v="0"/>
    <n v="4.272627544841931E-2"/>
    <n v="4.4705479637153073E-2"/>
    <n v="3.3811"/>
    <n v="76.562799999999996"/>
    <n v="2.9143918361857462E-2"/>
  </r>
  <r>
    <s v="SEPTONA CALM NCARE PANTENOL W 57 BAG"/>
    <x v="92"/>
    <s v="SEPTONA (SEPTONA SA)"/>
    <x v="0"/>
    <x v="2"/>
    <x v="33"/>
    <n v="2.3999999999999998E-3"/>
    <n v="0"/>
    <n v="0"/>
    <n v="5.7000000000000002E-2"/>
    <n v="0"/>
    <n v="0"/>
    <n v="4.2105263157894729E-2"/>
    <n v="0"/>
    <n v="0"/>
    <n v="2.3999999999999998E-3"/>
    <n v="5.7000000000000002E-2"/>
    <n v="1.4035087719298242E-2"/>
  </r>
  <r>
    <s v="SEPTONA ALOE VERA BABY 64 BAG"/>
    <x v="92"/>
    <s v="SEPTONA (SEPTONA SA)"/>
    <x v="0"/>
    <x v="0"/>
    <x v="9"/>
    <n v="0.22650000000000001"/>
    <n v="0"/>
    <n v="0"/>
    <n v="7.2465999999999999"/>
    <n v="0"/>
    <n v="0"/>
    <n v="3.125603731405073E-2"/>
    <n v="0"/>
    <n v="0"/>
    <n v="0.22650000000000001"/>
    <n v="7.2465999999999999"/>
    <n v="1.0418679104683576E-2"/>
  </r>
  <r>
    <s v="SEPTONA CHAMOMILE BABY 3X64/1GR W BAG"/>
    <x v="92"/>
    <s v="SEPTONA (SEPTONA SA)"/>
    <x v="0"/>
    <x v="1"/>
    <x v="9"/>
    <n v="0.74809999999999999"/>
    <n v="0"/>
    <n v="0"/>
    <n v="25.650500000000001"/>
    <n v="0"/>
    <n v="0"/>
    <n v="2.91651234868716E-2"/>
    <n v="0"/>
    <n v="0"/>
    <n v="0.74809999999999999"/>
    <n v="25.650500000000001"/>
    <n v="9.7217078289571993E-3"/>
  </r>
  <r>
    <s v="SEPTONA CHAMOMILE BABY 64 W BAG"/>
    <x v="92"/>
    <s v="SEPTONA (SEPTONA SA)"/>
    <x v="0"/>
    <x v="1"/>
    <x v="9"/>
    <n v="7.1352000000000002"/>
    <n v="0.98229999999999995"/>
    <n v="0.17499999999999999"/>
    <n v="199.79089999999999"/>
    <n v="31.398199999999999"/>
    <n v="5.5553999999999997"/>
    <n v="3.5713338295187622E-2"/>
    <n v="3.128523291144078E-2"/>
    <n v="3.150088202469669E-2"/>
    <n v="8.2925000000000004"/>
    <n v="236.74449999999999"/>
    <n v="3.2833151077108359E-2"/>
  </r>
  <r>
    <s v="SEPTONA CHAMOMILE BABY 64 W BAG KAPAK"/>
    <x v="92"/>
    <s v="SEPTONA (SEPTONA SA)"/>
    <x v="0"/>
    <x v="1"/>
    <x v="9"/>
    <n v="38.636499999999998"/>
    <n v="25.403500000000001"/>
    <n v="9.4920000000000009"/>
    <n v="1064.7156"/>
    <n v="712.85350000000005"/>
    <n v="244.268"/>
    <n v="3.6288094210322454E-2"/>
    <n v="3.563635445431635E-2"/>
    <n v="3.8858958193459643E-2"/>
    <n v="73.531999999999996"/>
    <n v="2021.8371000000002"/>
    <n v="3.6927802286032818E-2"/>
  </r>
  <r>
    <s v="SEPTONA SENSITIVE ALMOND&amp;MILK W 3X64/1FR"/>
    <x v="92"/>
    <s v="SEPTONA (SEPTONA SA)"/>
    <x v="0"/>
    <x v="3"/>
    <x v="9"/>
    <n v="0"/>
    <n v="0"/>
    <n v="0"/>
    <n v="0"/>
    <n v="0"/>
    <n v="0"/>
    <n v="0"/>
    <n v="0"/>
    <n v="0"/>
    <n v="0"/>
    <n v="0"/>
    <n v="0"/>
  </r>
  <r>
    <s v="SEPTONA SENSITIVE ALMOND&amp;MILK W 64 BAG"/>
    <x v="92"/>
    <s v="SEPTONA (SEPTONA SA)"/>
    <x v="0"/>
    <x v="3"/>
    <x v="9"/>
    <n v="3.0739999999999998"/>
    <n v="0.314"/>
    <n v="6.4199999999999993E-2"/>
    <n v="79.571700000000007"/>
    <n v="7.3994999999999997"/>
    <n v="1.5809"/>
    <n v="3.8631825133810131E-2"/>
    <n v="4.2435299682410978E-2"/>
    <n v="4.0609779239673599E-2"/>
    <n v="3.4521999999999999"/>
    <n v="88.55210000000001"/>
    <n v="4.0558968018631569E-2"/>
  </r>
  <r>
    <s v="SEPTONA SENSITIVE CALMN CARE W 64 BAG"/>
    <x v="92"/>
    <s v="SEPTONA (SEPTONA SA)"/>
    <x v="0"/>
    <x v="3"/>
    <x v="9"/>
    <n v="57.373899999999999"/>
    <n v="28.978999999999999"/>
    <n v="4.5244999999999997"/>
    <n v="1605.2121"/>
    <n v="798.29169999999999"/>
    <n v="128.11799999999999"/>
    <n v="3.574225487086722E-2"/>
    <n v="3.6301266817630698E-2"/>
    <n v="3.5315100142056542E-2"/>
    <n v="90.877400000000009"/>
    <n v="2531.6217999999999"/>
    <n v="3.5786207276851494E-2"/>
  </r>
  <r>
    <s v="SEPTONA MILD FRAGANCE ALC.FREE W 72 BAG"/>
    <x v="92"/>
    <s v="SEPTONA (SEPTONA SA)"/>
    <x v="0"/>
    <x v="2"/>
    <x v="10"/>
    <n v="0.84319999999999995"/>
    <n v="0"/>
    <n v="0"/>
    <n v="38.896500000000003"/>
    <n v="0"/>
    <n v="0"/>
    <n v="2.1678043011582018E-2"/>
    <n v="0"/>
    <n v="0"/>
    <n v="0.84319999999999995"/>
    <n v="38.896500000000003"/>
    <n v="7.2260143371940056E-3"/>
  </r>
  <r>
    <s v="SEPTONA CALM NCARE PANTENOL W 75 BAG"/>
    <x v="92"/>
    <s v="SEPTONA (SEPTONA SA)"/>
    <x v="0"/>
    <x v="2"/>
    <x v="34"/>
    <n v="0.32700000000000001"/>
    <n v="7.9399999999999998E-2"/>
    <n v="0"/>
    <n v="8.1380999999999997"/>
    <n v="2.0009000000000001"/>
    <n v="0"/>
    <n v="4.0181369115641248E-2"/>
    <n v="3.9682143035633964E-2"/>
    <n v="0"/>
    <n v="0.40639999999999998"/>
    <n v="10.138999999999999"/>
    <n v="2.6621170717091736E-2"/>
  </r>
  <r>
    <s v="SEPTONA CALMN CARE ALOE VERA W 80 BAG"/>
    <x v="92"/>
    <s v="SEPTONA (SEPTONA SA)"/>
    <x v="0"/>
    <x v="2"/>
    <x v="3"/>
    <n v="30.607399999999998"/>
    <n v="87.617999999999995"/>
    <n v="25.586099999999998"/>
    <n v="1468.2443000000001"/>
    <n v="4062.0709999999999"/>
    <n v="1119.9051999999999"/>
    <n v="2.0846258350875259E-2"/>
    <n v="2.1569785461652443E-2"/>
    <n v="2.2846665949939334E-2"/>
    <n v="143.8115"/>
    <n v="6650.2205000000004"/>
    <n v="2.1754236587489012E-2"/>
  </r>
  <r>
    <s v="IASSMIN BABY CREAM PH5.5 W 72 BAG"/>
    <x v="93"/>
    <s v="IASSMIN (SEVIMLER)"/>
    <x v="0"/>
    <x v="1"/>
    <x v="10"/>
    <n v="0.26200000000000001"/>
    <n v="0.1656"/>
    <n v="0"/>
    <n v="18.860299999999999"/>
    <n v="11.920500000000001"/>
    <n v="0"/>
    <n v="1.3891613601056188E-2"/>
    <n v="1.3892034730086824E-2"/>
    <n v="0"/>
    <n v="0.42759999999999998"/>
    <n v="30.780799999999999"/>
    <n v="9.2612161103810039E-3"/>
  </r>
  <r>
    <s v="JUNIOR&amp;TOMMY SENSITIVE W 120 BAG KAPAK"/>
    <x v="93"/>
    <s v="JUNIOR &amp; TOMMY (SEVIMLER)"/>
    <x v="0"/>
    <x v="3"/>
    <x v="5"/>
    <n v="8.2482000000000006"/>
    <n v="0.97330000000000005"/>
    <n v="0"/>
    <n v="505.78250000000003"/>
    <n v="58.400799999999997"/>
    <n v="0"/>
    <n v="1.6307800289650197E-2"/>
    <n v="1.6665867590854921E-2"/>
    <n v="0"/>
    <n v="9.2215000000000007"/>
    <n v="564.18330000000003"/>
    <n v="1.0991222626835039E-2"/>
  </r>
  <r>
    <s v="JUNIOR&amp;TOMMY SENSITIVE W 72 BAG"/>
    <x v="93"/>
    <s v="JUNIOR &amp; TOMMY (SEVIMLER)"/>
    <x v="0"/>
    <x v="3"/>
    <x v="10"/>
    <n v="0"/>
    <n v="0"/>
    <n v="0"/>
    <n v="0"/>
    <n v="0"/>
    <n v="0"/>
    <n v="0"/>
    <n v="0"/>
    <n v="0"/>
    <n v="0"/>
    <n v="0"/>
    <n v="0"/>
  </r>
  <r>
    <s v="JUNIOR&amp;TOMMY SENSITIVE W 72 BAG KAPAK"/>
    <x v="93"/>
    <s v="JUNIOR &amp; TOMMY (SEVIMLER)"/>
    <x v="0"/>
    <x v="3"/>
    <x v="10"/>
    <n v="0"/>
    <n v="0"/>
    <n v="0"/>
    <n v="0"/>
    <n v="0"/>
    <n v="0"/>
    <n v="0"/>
    <n v="0"/>
    <n v="0"/>
    <n v="0"/>
    <n v="0"/>
    <n v="0"/>
  </r>
  <r>
    <s v="LADY FRESH BABY ALC.FREE W 105/5FREE"/>
    <x v="93"/>
    <s v="LADY FRESH (SEVIMLER)"/>
    <x v="0"/>
    <x v="2"/>
    <x v="4"/>
    <n v="0"/>
    <n v="0"/>
    <n v="0"/>
    <n v="0"/>
    <n v="0"/>
    <n v="0"/>
    <n v="0"/>
    <n v="0"/>
    <n v="0"/>
    <n v="0"/>
    <n v="0"/>
    <n v="0"/>
  </r>
  <r>
    <s v="NIK&amp;SI BABY PH5.5 W 72 BAG KAPAK"/>
    <x v="93"/>
    <s v="NIK &amp; SI (SEVIMLER)"/>
    <x v="0"/>
    <x v="1"/>
    <x v="10"/>
    <n v="0"/>
    <n v="0"/>
    <n v="0"/>
    <n v="0"/>
    <n v="0"/>
    <n v="0"/>
    <n v="0"/>
    <n v="0"/>
    <n v="0"/>
    <n v="0"/>
    <n v="0"/>
    <n v="0"/>
  </r>
  <r>
    <s v="NIKI BABY ALC.FREE W 130/10FR BAG KAPAK"/>
    <x v="93"/>
    <s v="NIKI (SEVIMLER )"/>
    <x v="0"/>
    <x v="2"/>
    <x v="5"/>
    <n v="5.7763"/>
    <n v="9.2917000000000005"/>
    <n v="0.95250000000000001"/>
    <n v="311.05720000000002"/>
    <n v="539.97619999999995"/>
    <n v="61.781700000000001"/>
    <n v="1.8569896469202447E-2"/>
    <n v="1.7207610261341152E-2"/>
    <n v="1.5417186642646609E-2"/>
    <n v="16.020500000000002"/>
    <n v="912.81510000000003"/>
    <n v="1.7064897791063401E-2"/>
  </r>
  <r>
    <s v="PEPINO BABY P H5.5 W 120/20FREE BAG"/>
    <x v="93"/>
    <s v="PEPINO (SEVIMLER)"/>
    <x v="0"/>
    <x v="1"/>
    <x v="4"/>
    <n v="55.7286"/>
    <n v="53.311300000000003"/>
    <n v="19.850100000000001"/>
    <n v="3644.6801999999998"/>
    <n v="3675.9913999999999"/>
    <n v="1253.7541000000001"/>
    <n v="1.5290395025604716E-2"/>
    <n v="1.4502563852570495E-2"/>
    <n v="1.5832530477866431E-2"/>
    <n v="128.89000000000001"/>
    <n v="8574.4256999999998"/>
    <n v="1.5208496452013881E-2"/>
  </r>
  <r>
    <s v="PEPINO BABY P H5.5 W 130/10FREE BAG"/>
    <x v="93"/>
    <s v="PEPINO (SEVIMLER)"/>
    <x v="0"/>
    <x v="2"/>
    <x v="5"/>
    <n v="0"/>
    <n v="4.4955999999999996"/>
    <n v="0"/>
    <n v="0"/>
    <n v="365.2654"/>
    <n v="0"/>
    <n v="0"/>
    <n v="1.2307763067621515E-2"/>
    <n v="0"/>
    <n v="4.4955999999999996"/>
    <n v="365.2654"/>
    <n v="4.1025876892071718E-3"/>
  </r>
  <r>
    <s v="PEPINO BABY SOFT&amp;LUX P H5.5 W 70 BAG"/>
    <x v="93"/>
    <s v="PEPINO (SEVIMLER)"/>
    <x v="0"/>
    <x v="1"/>
    <x v="20"/>
    <n v="5.5199999999999999E-2"/>
    <n v="0"/>
    <n v="0"/>
    <n v="3.36"/>
    <n v="0"/>
    <n v="0"/>
    <n v="1.6428571428571428E-2"/>
    <n v="0"/>
    <n v="0"/>
    <n v="5.5199999999999999E-2"/>
    <n v="3.36"/>
    <n v="5.4761904761904756E-3"/>
  </r>
  <r>
    <s v="RENKLI MAGIC P H5.5 W 120 BAG KAPAK"/>
    <x v="93"/>
    <s v="RENKLI (SEVIMLER)"/>
    <x v="0"/>
    <x v="1"/>
    <x v="5"/>
    <n v="5.3959999999999999"/>
    <n v="7.0095999999999998"/>
    <n v="3.0608"/>
    <n v="290.08819999999997"/>
    <n v="393.84969999999998"/>
    <n v="158.0343"/>
    <n v="1.8601239209316341E-2"/>
    <n v="1.7797652251607655E-2"/>
    <n v="1.9367947338014595E-2"/>
    <n v="15.4664"/>
    <n v="841.97219999999993"/>
    <n v="1.8588946266312866E-2"/>
  </r>
  <r>
    <s v="RENKLI PREMIUM BABY ALC.FREE W 130 BAG"/>
    <x v="93"/>
    <s v="RENKLI (SEVIMLER)"/>
    <x v="0"/>
    <x v="2"/>
    <x v="35"/>
    <n v="39.775100000000002"/>
    <n v="29.160399999999999"/>
    <n v="6.0876999999999999"/>
    <n v="2342.4566"/>
    <n v="1534.7882999999999"/>
    <n v="287.5865"/>
    <n v="1.6980079801691951E-2"/>
    <n v="1.8999623596296637E-2"/>
    <n v="2.1168239816542152E-2"/>
    <n v="75.023200000000003"/>
    <n v="4164.8314"/>
    <n v="1.904931440484358E-2"/>
  </r>
  <r>
    <s v="RENKLI BABY KIDS P H5.5 W 72 BAG"/>
    <x v="93"/>
    <s v="RENKLI (SEVIMLER)"/>
    <x v="0"/>
    <x v="1"/>
    <x v="10"/>
    <n v="73.361099999999993"/>
    <n v="57.603700000000003"/>
    <n v="12.2355"/>
    <n v="4307.2969000000003"/>
    <n v="3235.6705999999999"/>
    <n v="650.06870000000004"/>
    <n v="1.7031818726032093E-2"/>
    <n v="1.7802708347382457E-2"/>
    <n v="1.8821856828362907E-2"/>
    <n v="143.2003"/>
    <n v="8193.0362000000005"/>
    <n v="1.7885461300592487E-2"/>
  </r>
  <r>
    <s v="RENKLI BABY KIDS P H5.5 W 72 BAG KAPAK"/>
    <x v="93"/>
    <s v="RENKLI (SEVIMLER)"/>
    <x v="0"/>
    <x v="1"/>
    <x v="10"/>
    <n v="7.6637000000000004"/>
    <n v="5.7187999999999999"/>
    <n v="3.4293999999999998"/>
    <n v="412.75630000000001"/>
    <n v="314.68810000000002"/>
    <n v="185.42320000000001"/>
    <n v="1.8567130289713324E-2"/>
    <n v="1.8172914705068287E-2"/>
    <n v="1.849498876084546E-2"/>
    <n v="16.811900000000001"/>
    <n v="912.86760000000004"/>
    <n v="1.8411677918542358E-2"/>
  </r>
  <r>
    <s v="RENKLI ZOO ANTIBACTERIAL W 72 BAG KAPAK"/>
    <x v="93"/>
    <s v="RENKLI (SEVIMLER)"/>
    <x v="0"/>
    <x v="1"/>
    <x v="10"/>
    <n v="97.800700000000006"/>
    <n v="61.680799999999998"/>
    <n v="23.825800000000001"/>
    <n v="4426.3535000000002"/>
    <n v="2861.6763999999998"/>
    <n v="975.65369999999996"/>
    <n v="2.2095094754632678E-2"/>
    <n v="2.1554079280242867E-2"/>
    <n v="2.4420345046608241E-2"/>
    <n v="183.3073"/>
    <n v="8263.6836000000003"/>
    <n v="2.2689839693827929E-2"/>
  </r>
  <r>
    <s v="RENKLI BABY LUX PH5.5 W 2X80 BAG"/>
    <x v="93"/>
    <s v="RENKLI (SEVIMLER)"/>
    <x v="0"/>
    <x v="1"/>
    <x v="3"/>
    <n v="137.74010000000001"/>
    <n v="71.2029"/>
    <n v="36.735799999999998"/>
    <n v="9592.0316999999995"/>
    <n v="4713.7775000000001"/>
    <n v="2155.8667"/>
    <n v="1.4359846204428204E-2"/>
    <n v="1.5105273848839916E-2"/>
    <n v="1.703992180963693E-2"/>
    <n v="245.67880000000002"/>
    <n v="16461.675899999998"/>
    <n v="1.550168062096835E-2"/>
  </r>
  <r>
    <s v="RENKLI BABY LUX W 80 BAG KAPACHE"/>
    <x v="93"/>
    <s v="RENKLI (SEVIMLER)"/>
    <x v="0"/>
    <x v="2"/>
    <x v="3"/>
    <n v="34.508099999999999"/>
    <n v="21.348800000000001"/>
    <n v="13.753299999999999"/>
    <n v="2073.3334"/>
    <n v="1342.2397000000001"/>
    <n v="736.28099999999995"/>
    <n v="1.6643777599878534E-2"/>
    <n v="1.5905355801948042E-2"/>
    <n v="1.8679417233366066E-2"/>
    <n v="69.610199999999992"/>
    <n v="4151.8541000000005"/>
    <n v="1.7076183545064214E-2"/>
  </r>
  <r>
    <s v="SEMI LOVESOFT BABY P.H5.5 W 72 KAPAK BAG"/>
    <x v="93"/>
    <s v="SEMI (SEVIMLER)"/>
    <x v="0"/>
    <x v="1"/>
    <x v="10"/>
    <n v="0"/>
    <n v="0"/>
    <n v="0"/>
    <n v="0"/>
    <n v="0"/>
    <n v="0"/>
    <n v="0"/>
    <n v="0"/>
    <n v="0"/>
    <n v="0"/>
    <n v="0"/>
    <n v="0"/>
  </r>
  <r>
    <s v="SWEET BABY ALOEVERA PH5.5 W 72 BAG KAPAK"/>
    <x v="93"/>
    <s v="SWEET (SEVIMLER)"/>
    <x v="0"/>
    <x v="1"/>
    <x v="10"/>
    <n v="0"/>
    <n v="3.1300000000000001E-2"/>
    <n v="0"/>
    <n v="0"/>
    <n v="1.2579"/>
    <n v="0"/>
    <n v="0"/>
    <n v="2.488274107639717E-2"/>
    <n v="0"/>
    <n v="3.1300000000000001E-2"/>
    <n v="1.2579"/>
    <n v="8.2942470254657227E-3"/>
  </r>
  <r>
    <s v="FARMACOTONE BEBE CALENDULA SENS. 60 BAG"/>
    <x v="94"/>
    <s v="FARMACOTONE (SISMA S.P.A.)"/>
    <x v="0"/>
    <x v="3"/>
    <x v="13"/>
    <n v="7.7399999999999997E-2"/>
    <n v="0.20100000000000001"/>
    <n v="1.1599999999999999E-2"/>
    <n v="1.2943"/>
    <n v="3.8485999999999998"/>
    <n v="0.1971"/>
    <n v="5.9800664451827239E-2"/>
    <n v="5.2226783765525135E-2"/>
    <n v="5.8853373921867069E-2"/>
    <n v="0.28999999999999998"/>
    <n v="5.34"/>
    <n v="5.6960274046406488E-2"/>
  </r>
  <r>
    <s v="FARMACOTONE BIO ALOE&amp;ALMOND PH5.5 72 BAG"/>
    <x v="94"/>
    <s v="FARMACOTONE (SISMA S.P.A.)"/>
    <x v="0"/>
    <x v="1"/>
    <x v="10"/>
    <n v="6.8400000000000002E-2"/>
    <n v="9.8500000000000004E-2"/>
    <n v="3.8800000000000001E-2"/>
    <n v="1.5943000000000001"/>
    <n v="2.7256999999999998"/>
    <n v="0.93600000000000005"/>
    <n v="4.2902841372389137E-2"/>
    <n v="3.6137505961771295E-2"/>
    <n v="4.1452991452991451E-2"/>
    <n v="0.20569999999999999"/>
    <n v="5.2560000000000002"/>
    <n v="4.0164446262383961E-2"/>
  </r>
  <r>
    <s v="VOI MULTI VITAMINS PH5.5 W 100 BAG SINI"/>
    <x v="95"/>
    <s v="VOI (SMILE COSMETICS)"/>
    <x v="0"/>
    <x v="1"/>
    <x v="4"/>
    <n v="1.2095"/>
    <n v="0"/>
    <n v="0"/>
    <n v="58.601599999999998"/>
    <n v="0"/>
    <n v="0"/>
    <n v="2.0639368208376564E-2"/>
    <n v="0"/>
    <n v="0"/>
    <n v="1.2095"/>
    <n v="58.601599999999998"/>
    <n v="6.8797894027921884E-3"/>
  </r>
  <r>
    <s v="VOI MULTIVITAMINS PH5.5 W 100 BAG PURPLE"/>
    <x v="95"/>
    <s v="VOI (SMILE COSMETICS)"/>
    <x v="0"/>
    <x v="1"/>
    <x v="4"/>
    <n v="0"/>
    <n v="0"/>
    <n v="0"/>
    <n v="0"/>
    <n v="0"/>
    <n v="0"/>
    <n v="0"/>
    <n v="0"/>
    <n v="0"/>
    <n v="0"/>
    <n v="0"/>
    <n v="0"/>
  </r>
  <r>
    <s v="VOI CREAM LOTION PH5.5 W 120 BAG KAPAK"/>
    <x v="95"/>
    <s v="VOI (SMILE COSMETICS)"/>
    <x v="0"/>
    <x v="1"/>
    <x v="5"/>
    <n v="3.4049"/>
    <n v="0"/>
    <n v="0"/>
    <n v="181.5942"/>
    <n v="0"/>
    <n v="0"/>
    <n v="1.8750048184358312E-2"/>
    <n v="0"/>
    <n v="0"/>
    <n v="3.4049"/>
    <n v="181.5942"/>
    <n v="6.2500160614527706E-3"/>
  </r>
  <r>
    <s v="VOI CHAMOMILE PH5.5 W 72 BAG KAPAK"/>
    <x v="95"/>
    <s v="VOI (SMILE COSMETICS)"/>
    <x v="0"/>
    <x v="1"/>
    <x v="10"/>
    <n v="0.27539999999999998"/>
    <n v="0"/>
    <n v="0"/>
    <n v="11.6632"/>
    <n v="0"/>
    <n v="0"/>
    <n v="2.3612730639961586E-2"/>
    <n v="0"/>
    <n v="0"/>
    <n v="0.27539999999999998"/>
    <n v="11.6632"/>
    <n v="7.870910213320528E-3"/>
  </r>
  <r>
    <s v="VOI CREAM LOTION PH5.5 W 72 BAG KAPAK"/>
    <x v="95"/>
    <s v="VOI (SMILE COSMETICS)"/>
    <x v="0"/>
    <x v="1"/>
    <x v="10"/>
    <n v="0.36249999999999999"/>
    <n v="0"/>
    <n v="0"/>
    <n v="17.400500000000001"/>
    <n v="0"/>
    <n v="0"/>
    <n v="2.0832734691531851E-2"/>
    <n v="0"/>
    <n v="0"/>
    <n v="0.36249999999999999"/>
    <n v="17.400500000000001"/>
    <n v="6.9442448971772834E-3"/>
  </r>
  <r>
    <s v="NATURAVERDE BIO AVENACAMMOMILA W 20 BAG"/>
    <x v="96"/>
    <s v="NATURAVERDE (SO.DI.CO - SOCIETA DISTRIBU"/>
    <x v="0"/>
    <x v="0"/>
    <x v="0"/>
    <n v="0"/>
    <n v="0"/>
    <n v="0"/>
    <n v="0"/>
    <n v="0"/>
    <n v="0"/>
    <n v="0"/>
    <n v="0"/>
    <n v="0"/>
    <n v="0"/>
    <n v="0"/>
    <n v="0"/>
  </r>
  <r>
    <s v="NATURAVERDE BIO AVENACAMMOMILA W 72 BAG"/>
    <x v="96"/>
    <s v="NATURAVERDE (SO.DI.CO - SOCIETA DISTRIBU"/>
    <x v="0"/>
    <x v="0"/>
    <x v="10"/>
    <n v="0"/>
    <n v="0"/>
    <n v="0"/>
    <n v="0"/>
    <n v="0"/>
    <n v="0"/>
    <n v="0"/>
    <n v="0"/>
    <n v="0"/>
    <n v="0"/>
    <n v="0"/>
    <n v="0"/>
  </r>
  <r>
    <s v="TOVA  FreshClean PH5.5 W 120 BAG"/>
    <x v="97"/>
    <s v="TOVA (STANQUEEN INVESTMENT)"/>
    <x v="0"/>
    <x v="1"/>
    <x v="5"/>
    <n v="0"/>
    <n v="0"/>
    <n v="3.1633"/>
    <n v="0"/>
    <n v="0"/>
    <n v="171.71680000000001"/>
    <n v="0"/>
    <n v="0"/>
    <n v="1.8421610465603831E-2"/>
    <n v="3.1633"/>
    <n v="171.71680000000001"/>
    <n v="6.1405368218679438E-3"/>
  </r>
  <r>
    <s v="ALVESTA BABY PH5.5 W 120 BAG KAPAK"/>
    <x v="98"/>
    <s v="ALVESTA (SWORDSON LTD)"/>
    <x v="0"/>
    <x v="1"/>
    <x v="5"/>
    <n v="0"/>
    <n v="10.313499999999999"/>
    <n v="10.635400000000001"/>
    <n v="0"/>
    <n v="475.9119"/>
    <n v="461.80500000000001"/>
    <n v="0"/>
    <n v="2.1671027767954529E-2"/>
    <n v="2.3030066803087883E-2"/>
    <n v="20.948900000000002"/>
    <n v="937.71690000000001"/>
    <n v="1.4900364857014138E-2"/>
  </r>
  <r>
    <s v="ALVESTA BABY PH5.5 W 72 BAG KAPAK"/>
    <x v="98"/>
    <s v="ALVESTA (SWORDSON LTD)"/>
    <x v="0"/>
    <x v="1"/>
    <x v="10"/>
    <n v="54.988799999999998"/>
    <n v="32.909799999999997"/>
    <n v="13.822900000000001"/>
    <n v="1994.8981000000001"/>
    <n v="1164.6792"/>
    <n v="463.84859999999998"/>
    <n v="2.7564716212823099E-2"/>
    <n v="2.8256536220445935E-2"/>
    <n v="2.980045644203734E-2"/>
    <n v="101.72149999999999"/>
    <n v="3623.4258999999997"/>
    <n v="2.8540569625102125E-2"/>
  </r>
  <r>
    <s v="MIS MAK CLEANSE&amp;REFRESH PH5.5 W 72 BAG"/>
    <x v="98"/>
    <s v="MIS MAK (SWORDSON LTD)"/>
    <x v="0"/>
    <x v="1"/>
    <x v="10"/>
    <n v="0.1076"/>
    <n v="0.1249"/>
    <n v="7.1900000000000006E-2"/>
    <n v="5.5374999999999996"/>
    <n v="6.4203000000000001"/>
    <n v="3.698"/>
    <n v="1.9431151241534991E-2"/>
    <n v="1.9453919598772643E-2"/>
    <n v="1.944294213088156E-2"/>
    <n v="0.3044"/>
    <n v="15.655799999999999"/>
    <n v="1.9442670990396399E-2"/>
  </r>
  <r>
    <s v="BIVY BABY NEWBORN W 60 BAG KAPAK"/>
    <x v="99"/>
    <s v="BIVY (TAHA KIMYA KOZMETIK)"/>
    <x v="0"/>
    <x v="2"/>
    <x v="13"/>
    <n v="0.30349999999999999"/>
    <n v="7.7100000000000002E-2"/>
    <n v="0"/>
    <n v="10.7111"/>
    <n v="2.9864999999999999"/>
    <n v="0"/>
    <n v="2.8335091633912481E-2"/>
    <n v="2.5816172777498744E-2"/>
    <n v="0"/>
    <n v="0.38059999999999999"/>
    <n v="13.6976"/>
    <n v="1.805042147047041E-2"/>
  </r>
  <r>
    <s v="BIVY SOFT&amp;FRESH PROVITB5&amp;VITE W 72 BAG"/>
    <x v="99"/>
    <s v="BIVY (TAHA KIMYA KOZMETIK)"/>
    <x v="0"/>
    <x v="2"/>
    <x v="10"/>
    <n v="34.620800000000003"/>
    <n v="13.6218"/>
    <n v="2.1793999999999998"/>
    <n v="2351.0409"/>
    <n v="917.37919999999997"/>
    <n v="151.65029999999999"/>
    <n v="1.4725732759476879E-2"/>
    <n v="1.4848603500057556E-2"/>
    <n v="1.4371221158151351E-2"/>
    <n v="50.422000000000004"/>
    <n v="3420.0703999999996"/>
    <n v="1.4648519139228594E-2"/>
  </r>
  <r>
    <s v="DAISY BABY WET WIPES W 120 BAG"/>
    <x v="100"/>
    <s v="DAISY (TEKSAN)"/>
    <x v="0"/>
    <x v="0"/>
    <x v="5"/>
    <n v="0"/>
    <n v="0"/>
    <n v="1.9407000000000001"/>
    <n v="0"/>
    <n v="0"/>
    <n v="110.1146"/>
    <n v="0"/>
    <n v="0"/>
    <n v="1.7624365887902241E-2"/>
    <n v="1.9407000000000001"/>
    <n v="110.1146"/>
    <n v="5.8747886293007466E-3"/>
  </r>
  <r>
    <s v="BEBECAN PH5.5 W 72 BAG TNCR GIDA KAPAK"/>
    <x v="101"/>
    <s v="BEBECAN (TNCR GIDA)"/>
    <x v="0"/>
    <x v="1"/>
    <x v="10"/>
    <n v="2.0785999999999998"/>
    <n v="7.1199999999999999E-2"/>
    <n v="0"/>
    <n v="104.04649999999999"/>
    <n v="3.8216000000000001"/>
    <n v="0"/>
    <n v="1.9977606166473642E-2"/>
    <n v="1.8630939920452165E-2"/>
    <n v="0"/>
    <n v="2.1497999999999999"/>
    <n v="107.8681"/>
    <n v="1.2869515362308603E-2"/>
  </r>
  <r>
    <s v="HUGO BABY ALC.FREE W 120 BAG"/>
    <x v="102"/>
    <s v="HUGO BABY (TRUVA KOZMETIK)"/>
    <x v="0"/>
    <x v="2"/>
    <x v="5"/>
    <n v="0"/>
    <n v="0"/>
    <n v="0.1532"/>
    <n v="0"/>
    <n v="0"/>
    <n v="9.1946999999999992"/>
    <n v="0"/>
    <n v="0"/>
    <n v="1.6661772542877963E-2"/>
    <n v="0.1532"/>
    <n v="9.1946999999999992"/>
    <n v="5.5539241809593213E-3"/>
  </r>
  <r>
    <s v="PROSOFT VITE&amp;PROVITB5 W 72 BAG CHERVENI"/>
    <x v="102"/>
    <s v="PROSOFT (TRUVA KOZMETIK TIC)"/>
    <x v="0"/>
    <x v="2"/>
    <x v="10"/>
    <n v="0"/>
    <n v="2.8000000000000001E-2"/>
    <n v="14.061199999999999"/>
    <n v="0"/>
    <n v="1.8513999999999999"/>
    <n v="850.57989999999995"/>
    <n v="0"/>
    <n v="1.512369018040402E-2"/>
    <n v="1.6531309992159467E-2"/>
    <n v="14.0892"/>
    <n v="852.43129999999996"/>
    <n v="1.0551666724187829E-2"/>
  </r>
  <r>
    <s v="PROSOFT VITE&amp;PROVITB5 W 72 BAG ZELENI"/>
    <x v="102"/>
    <s v="PROSOFT (TRUVA KOZMETIK TIC)"/>
    <x v="0"/>
    <x v="2"/>
    <x v="10"/>
    <n v="0"/>
    <n v="3.1899999999999998E-2"/>
    <n v="8.1054999999999993"/>
    <n v="0"/>
    <n v="2.1086"/>
    <n v="502.96"/>
    <n v="0"/>
    <n v="1.5128521293749406E-2"/>
    <n v="1.6115595673612215E-2"/>
    <n v="8.1373999999999995"/>
    <n v="505.0686"/>
    <n v="1.0414705655787207E-2"/>
  </r>
  <r>
    <s v="BAMBINO SENS.ALOE&amp;OLIVE ALC.FREE W100BAG"/>
    <x v="103"/>
    <s v="BAMBINO (ULTRA COSMETICS)"/>
    <x v="0"/>
    <x v="3"/>
    <x v="4"/>
    <n v="0"/>
    <n v="0"/>
    <n v="0"/>
    <n v="0"/>
    <n v="0"/>
    <n v="0"/>
    <n v="0"/>
    <n v="0"/>
    <n v="0"/>
    <n v="0"/>
    <n v="0"/>
    <n v="0"/>
  </r>
  <r>
    <s v="UNAC BABY LOTION&amp;VIT.E AL.FREE W 120 BAG"/>
    <x v="104"/>
    <s v="UNAC (UNAC GROUP KOZMETIK SAN.)"/>
    <x v="0"/>
    <x v="2"/>
    <x v="5"/>
    <n v="25.839099999999998"/>
    <n v="9.0121000000000002"/>
    <n v="10.0204"/>
    <n v="1539.4739"/>
    <n v="509.45670000000001"/>
    <n v="585.52229999999997"/>
    <n v="1.6784370296891685E-2"/>
    <n v="1.7689628971412096E-2"/>
    <n v="1.7113609507272396E-2"/>
    <n v="44.871600000000001"/>
    <n v="2634.4529000000002"/>
    <n v="1.7195869591858728E-2"/>
  </r>
  <r>
    <s v="DOVE BABY RICHMOISTURE ALC.FREE W 50 BAG"/>
    <x v="105"/>
    <s v="DOVE (UNILEVER)"/>
    <x v="0"/>
    <x v="5"/>
    <x v="2"/>
    <n v="9.0969999999999995"/>
    <n v="13.0891"/>
    <n v="4.6460999999999997"/>
    <n v="134.3818"/>
    <n v="186.4109"/>
    <n v="56.316099999999999"/>
    <n v="6.76951789602461E-2"/>
    <n v="7.0216387561027813E-2"/>
    <n v="8.2500386212823684E-2"/>
    <n v="26.8322"/>
    <n v="377.10879999999997"/>
    <n v="7.3470650911365856E-2"/>
  </r>
  <r>
    <s v="DOVE BABY SENSITIVE MOISTURE W 50 BAG"/>
    <x v="105"/>
    <s v="DOVE (UNILEVER)"/>
    <x v="0"/>
    <x v="3"/>
    <x v="2"/>
    <n v="10.3986"/>
    <n v="26.6724"/>
    <n v="21.6234"/>
    <n v="151.6679"/>
    <n v="465.6979"/>
    <n v="443.52179999999998"/>
    <n v="6.8561640267980242E-2"/>
    <n v="5.7274039672500131E-2"/>
    <n v="4.8753860576864545E-2"/>
    <n v="58.694400000000002"/>
    <n v="1060.8876"/>
    <n v="5.8196513505781637E-2"/>
  </r>
  <r>
    <s v="BEBECAN BABY PH5.5 W 72 BAG YESIL"/>
    <x v="106"/>
    <s v="BEBECAN (YESIL ILGAZ)"/>
    <x v="0"/>
    <x v="1"/>
    <x v="10"/>
    <n v="1.8396999999999999"/>
    <n v="4.3616000000000001"/>
    <n v="0"/>
    <n v="115.49760000000001"/>
    <n v="300.46589999999998"/>
    <n v="0"/>
    <n v="1.5928469509323136E-2"/>
    <n v="1.4516123127449739E-2"/>
    <n v="0"/>
    <n v="6.2012999999999998"/>
    <n v="415.96349999999995"/>
    <n v="1.014819754559095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740181-C522-472B-82C2-362EC02F1A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11" firstHeaderRow="0" firstDataRow="1" firstDataCol="1"/>
  <pivotFields count="18">
    <pivotField showAll="0"/>
    <pivotField axis="axisRow" showAll="0" sortType="descending">
      <items count="108">
        <item x="15"/>
        <item x="5"/>
        <item x="7"/>
        <item x="6"/>
        <item x="9"/>
        <item x="12"/>
        <item x="35"/>
        <item x="13"/>
        <item x="1"/>
        <item x="16"/>
        <item x="98"/>
        <item x="4"/>
        <item x="48"/>
        <item x="17"/>
        <item x="47"/>
        <item x="42"/>
        <item x="21"/>
        <item x="37"/>
        <item x="19"/>
        <item x="20"/>
        <item x="83"/>
        <item x="52"/>
        <item x="22"/>
        <item x="23"/>
        <item x="10"/>
        <item x="70"/>
        <item x="11"/>
        <item x="72"/>
        <item x="24"/>
        <item x="25"/>
        <item x="26"/>
        <item x="27"/>
        <item x="29"/>
        <item x="87"/>
        <item x="30"/>
        <item x="75"/>
        <item x="31"/>
        <item x="101"/>
        <item x="8"/>
        <item x="32"/>
        <item x="59"/>
        <item x="57"/>
        <item x="33"/>
        <item x="106"/>
        <item x="95"/>
        <item x="73"/>
        <item x="41"/>
        <item x="3"/>
        <item x="43"/>
        <item x="45"/>
        <item x="46"/>
        <item x="50"/>
        <item x="53"/>
        <item x="54"/>
        <item x="55"/>
        <item x="56"/>
        <item x="38"/>
        <item x="93"/>
        <item x="103"/>
        <item x="60"/>
        <item x="61"/>
        <item x="62"/>
        <item x="63"/>
        <item x="39"/>
        <item x="64"/>
        <item x="0"/>
        <item x="66"/>
        <item x="51"/>
        <item x="68"/>
        <item x="67"/>
        <item x="69"/>
        <item x="71"/>
        <item x="74"/>
        <item x="77"/>
        <item x="58"/>
        <item x="79"/>
        <item x="78"/>
        <item x="80"/>
        <item x="14"/>
        <item x="76"/>
        <item x="94"/>
        <item x="97"/>
        <item x="82"/>
        <item x="81"/>
        <item x="36"/>
        <item x="84"/>
        <item x="85"/>
        <item x="28"/>
        <item x="89"/>
        <item x="91"/>
        <item x="92"/>
        <item x="88"/>
        <item x="90"/>
        <item x="49"/>
        <item x="96"/>
        <item x="34"/>
        <item x="40"/>
        <item x="99"/>
        <item x="100"/>
        <item x="44"/>
        <item x="18"/>
        <item x="102"/>
        <item x="104"/>
        <item x="105"/>
        <item x="2"/>
        <item x="65"/>
        <item x="86"/>
        <item t="default"/>
      </items>
      <autoSortScope>
        <pivotArea dataOnly="0" outline="0" fieldPosition="0">
          <references count="1">
            <reference field="4294967294" count="1" selected="0">
              <x v="9"/>
            </reference>
          </references>
        </pivotArea>
      </autoSortScope>
    </pivotField>
    <pivotField showAll="0"/>
    <pivotField showAll="0">
      <items count="3">
        <item x="0"/>
        <item x="1"/>
        <item t="default"/>
      </items>
    </pivotField>
    <pivotField showAll="0">
      <items count="7">
        <item x="2"/>
        <item x="5"/>
        <item x="4"/>
        <item x="1"/>
        <item x="3"/>
        <item x="0"/>
        <item t="default"/>
      </items>
    </pivotField>
    <pivotField showAll="0">
      <items count="37">
        <item x="1"/>
        <item x="4"/>
        <item x="12"/>
        <item x="19"/>
        <item x="26"/>
        <item x="5"/>
        <item x="35"/>
        <item x="14"/>
        <item x="32"/>
        <item x="6"/>
        <item x="0"/>
        <item x="24"/>
        <item x="22"/>
        <item x="15"/>
        <item x="23"/>
        <item x="16"/>
        <item x="29"/>
        <item x="7"/>
        <item x="31"/>
        <item x="30"/>
        <item x="2"/>
        <item x="21"/>
        <item x="27"/>
        <item x="8"/>
        <item x="33"/>
        <item x="13"/>
        <item x="17"/>
        <item x="9"/>
        <item x="18"/>
        <item x="20"/>
        <item x="10"/>
        <item x="34"/>
        <item x="3"/>
        <item x="28"/>
        <item x="11"/>
        <item x="25"/>
        <item t="default"/>
      </items>
    </pivotField>
    <pivotField dataField="1" numFmtId="2" showAll="0"/>
    <pivotField dataField="1" numFmtId="2" showAll="0"/>
    <pivotField dataField="1" numFmtId="2" showAll="0"/>
    <pivotField dataField="1" showAll="0"/>
    <pivotField dataField="1" showAll="0"/>
    <pivotField dataField="1" showAll="0"/>
    <pivotField dataField="1" numFmtId="165" showAll="0"/>
    <pivotField dataField="1" numFmtId="165" showAll="0"/>
    <pivotField dataField="1" numFmtId="165" showAll="0"/>
    <pivotField dataField="1" numFmtId="165" showAll="0"/>
    <pivotField dataField="1" numFmtId="165" showAll="0"/>
    <pivotField dataField="1" numFmtId="165" showAll="0"/>
  </pivotFields>
  <rowFields count="1">
    <field x="1"/>
  </rowFields>
  <rowItems count="108">
    <i>
      <x v="104"/>
    </i>
    <i>
      <x v="75"/>
    </i>
    <i>
      <x v="39"/>
    </i>
    <i>
      <x v="89"/>
    </i>
    <i>
      <x v="47"/>
    </i>
    <i>
      <x v="7"/>
    </i>
    <i>
      <x v="54"/>
    </i>
    <i>
      <x v="56"/>
    </i>
    <i>
      <x v="57"/>
    </i>
    <i>
      <x v="40"/>
    </i>
    <i>
      <x v="17"/>
    </i>
    <i>
      <x v="15"/>
    </i>
    <i>
      <x v="76"/>
    </i>
    <i>
      <x v="51"/>
    </i>
    <i>
      <x v="105"/>
    </i>
    <i>
      <x v="23"/>
    </i>
    <i>
      <x v="90"/>
    </i>
    <i>
      <x v="30"/>
    </i>
    <i>
      <x v="31"/>
    </i>
    <i>
      <x v="3"/>
    </i>
    <i>
      <x/>
    </i>
    <i>
      <x v="82"/>
    </i>
    <i>
      <x v="62"/>
    </i>
    <i>
      <x v="18"/>
    </i>
    <i>
      <x v="96"/>
    </i>
    <i>
      <x v="91"/>
    </i>
    <i>
      <x v="61"/>
    </i>
    <i>
      <x v="84"/>
    </i>
    <i>
      <x v="20"/>
    </i>
    <i>
      <x v="10"/>
    </i>
    <i>
      <x v="33"/>
    </i>
    <i>
      <x v="103"/>
    </i>
    <i>
      <x v="93"/>
    </i>
    <i>
      <x v="34"/>
    </i>
    <i>
      <x v="24"/>
    </i>
    <i>
      <x v="41"/>
    </i>
    <i>
      <x v="16"/>
    </i>
    <i>
      <x v="97"/>
    </i>
    <i>
      <x v="52"/>
    </i>
    <i>
      <x v="79"/>
    </i>
    <i>
      <x v="102"/>
    </i>
    <i>
      <x v="42"/>
    </i>
    <i>
      <x v="4"/>
    </i>
    <i>
      <x v="92"/>
    </i>
    <i>
      <x v="99"/>
    </i>
    <i>
      <x v="21"/>
    </i>
    <i>
      <x v="77"/>
    </i>
    <i>
      <x v="49"/>
    </i>
    <i>
      <x v="101"/>
    </i>
    <i>
      <x v="85"/>
    </i>
    <i>
      <x v="66"/>
    </i>
    <i>
      <x v="63"/>
    </i>
    <i>
      <x v="11"/>
    </i>
    <i>
      <x v="32"/>
    </i>
    <i>
      <x v="36"/>
    </i>
    <i>
      <x v="6"/>
    </i>
    <i>
      <x v="29"/>
    </i>
    <i>
      <x v="95"/>
    </i>
    <i>
      <x v="60"/>
    </i>
    <i>
      <x v="43"/>
    </i>
    <i>
      <x v="67"/>
    </i>
    <i>
      <x v="26"/>
    </i>
    <i>
      <x v="44"/>
    </i>
    <i>
      <x v="2"/>
    </i>
    <i>
      <x v="81"/>
    </i>
    <i>
      <x v="35"/>
    </i>
    <i>
      <x v="88"/>
    </i>
    <i>
      <x v="65"/>
    </i>
    <i>
      <x v="72"/>
    </i>
    <i>
      <x v="78"/>
    </i>
    <i>
      <x v="9"/>
    </i>
    <i>
      <x v="37"/>
    </i>
    <i>
      <x v="98"/>
    </i>
    <i>
      <x v="12"/>
    </i>
    <i>
      <x v="71"/>
    </i>
    <i>
      <x v="55"/>
    </i>
    <i>
      <x v="1"/>
    </i>
    <i>
      <x v="48"/>
    </i>
    <i>
      <x v="73"/>
    </i>
    <i>
      <x v="80"/>
    </i>
    <i>
      <x v="27"/>
    </i>
    <i>
      <x v="68"/>
    </i>
    <i>
      <x v="64"/>
    </i>
    <i>
      <x v="46"/>
    </i>
    <i>
      <x v="87"/>
    </i>
    <i>
      <x v="69"/>
    </i>
    <i>
      <x v="74"/>
    </i>
    <i>
      <x v="22"/>
    </i>
    <i>
      <x v="100"/>
    </i>
    <i>
      <x v="38"/>
    </i>
    <i>
      <x v="25"/>
    </i>
    <i>
      <x v="5"/>
    </i>
    <i>
      <x v="14"/>
    </i>
    <i>
      <x v="8"/>
    </i>
    <i>
      <x v="19"/>
    </i>
    <i>
      <x v="86"/>
    </i>
    <i>
      <x v="53"/>
    </i>
    <i>
      <x v="45"/>
    </i>
    <i>
      <x v="106"/>
    </i>
    <i>
      <x v="28"/>
    </i>
    <i>
      <x v="70"/>
    </i>
    <i>
      <x v="94"/>
    </i>
    <i>
      <x v="58"/>
    </i>
    <i>
      <x v="59"/>
    </i>
    <i>
      <x v="83"/>
    </i>
    <i>
      <x v="50"/>
    </i>
    <i>
      <x v="13"/>
    </i>
    <i t="grand">
      <x/>
    </i>
  </rowItems>
  <colFields count="1">
    <field x="-2"/>
  </colFields>
  <colItems count="12">
    <i>
      <x/>
    </i>
    <i i="1">
      <x v="1"/>
    </i>
    <i i="2">
      <x v="2"/>
    </i>
    <i i="3">
      <x v="3"/>
    </i>
    <i i="4">
      <x v="4"/>
    </i>
    <i i="5">
      <x v="5"/>
    </i>
    <i i="6">
      <x v="6"/>
    </i>
    <i i="7">
      <x v="7"/>
    </i>
    <i i="8">
      <x v="8"/>
    </i>
    <i i="9">
      <x v="9"/>
    </i>
    <i i="10">
      <x v="10"/>
    </i>
    <i i="11">
      <x v="11"/>
    </i>
  </colItems>
  <dataFields count="12">
    <dataField name="Sum of Value(1000$) 2022" fld="6" baseField="0" baseItem="0" numFmtId="2"/>
    <dataField name="Sum of Value(1000$) 2023" fld="7" baseField="0" baseItem="0" numFmtId="2"/>
    <dataField name="Sum of Value(1000$) 2024" fld="8" baseField="0" baseItem="0" numFmtId="2"/>
    <dataField name="Sum of Volume(1000) 2022" fld="9" baseField="0" baseItem="0"/>
    <dataField name="Sum of Volume(1000) 2023" fld="10" baseField="0" baseItem="0"/>
    <dataField name="Sum of Volume(1000) 2024" fld="11" baseField="0" baseItem="0"/>
    <dataField name="Sum of Average Price(2022)" fld="12" baseField="0" baseItem="0" numFmtId="165"/>
    <dataField name="Sum of Average Price(2023)" fld="13" baseField="0" baseItem="0" numFmtId="165"/>
    <dataField name="Sum of Average Price(2024)" fld="14" baseField="0" baseItem="0" numFmtId="165"/>
    <dataField name="Sum of sum of value 22-24" fld="15" baseField="0" baseItem="0" numFmtId="165"/>
    <dataField name="Sum of sum of value 22-242" fld="16" baseField="0" baseItem="0" numFmtId="165"/>
    <dataField name="Sum of sum of value 22-243" fld="17" baseField="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_Type" xr10:uid="{2588CF13-1CEC-41F4-A907-E776FC1BCE5B}" sourceName="Package Type">
  <pivotTables>
    <pivotTable tabId="8" name="PivotTable2"/>
  </pivotTables>
  <data>
    <tabular pivotCacheId="65809147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_Size" xr10:uid="{FE0B5205-3682-448D-8713-733586860982}" sourceName="Package Size">
  <pivotTables>
    <pivotTable tabId="8" name="PivotTable2"/>
  </pivotTables>
  <data>
    <tabular pivotCacheId="658091472">
      <items count="36">
        <i x="1" s="1"/>
        <i x="4" s="1"/>
        <i x="12" s="1"/>
        <i x="19" s="1"/>
        <i x="26" s="1"/>
        <i x="5" s="1"/>
        <i x="35" s="1"/>
        <i x="14" s="1"/>
        <i x="32" s="1"/>
        <i x="6" s="1"/>
        <i x="0" s="1"/>
        <i x="24" s="1"/>
        <i x="22" s="1"/>
        <i x="15" s="1"/>
        <i x="23" s="1"/>
        <i x="16" s="1"/>
        <i x="29" s="1"/>
        <i x="7" s="1"/>
        <i x="31" s="1"/>
        <i x="30" s="1"/>
        <i x="2" s="1"/>
        <i x="21" s="1"/>
        <i x="27" s="1"/>
        <i x="8" s="1"/>
        <i x="33" s="1"/>
        <i x="13" s="1"/>
        <i x="17" s="1"/>
        <i x="9" s="1"/>
        <i x="18" s="1"/>
        <i x="20" s="1"/>
        <i x="10" s="1"/>
        <i x="34" s="1"/>
        <i x="3" s="1"/>
        <i x="28" s="1"/>
        <i x="11" s="1"/>
        <i x="2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tection" xr10:uid="{4A62991E-0D0E-4DC1-B52B-FA7A0273AF66}" sourceName="Protection">
  <pivotTables>
    <pivotTable tabId="8" name="PivotTable2"/>
  </pivotTables>
  <data>
    <tabular pivotCacheId="658091472">
      <items count="6">
        <i x="2" s="1"/>
        <i x="5"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ckage Type" xr10:uid="{1680B672-E110-46CF-B2C8-BA06591DB2CD}" cache="Slicer_Package_Type" caption="Package Type" rowHeight="234950"/>
  <slicer name="Package Size" xr10:uid="{36CE2DFD-8785-4E21-BE68-A57B1D0381D0}" cache="Slicer_Package_Size" caption="Package Size" columnCount="6" rowHeight="234950"/>
  <slicer name="Protection" xr10:uid="{BFDE8579-34AB-4195-94B0-B5C78346CF8B}" cache="Slicer_Protection" caption="Protec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D0A660-9031-4CFE-B6DC-82585787FB9D}" name="Table2" displayName="Table2" ref="A1:R552" totalsRowShown="0">
  <autoFilter ref="A1:R552" xr:uid="{ADD0A660-9031-4CFE-B6DC-82585787FB9D}"/>
  <tableColumns count="18">
    <tableColumn id="1" xr3:uid="{27B2BDF4-1A89-4596-A039-1086CD213761}" name="Product"/>
    <tableColumn id="2" xr3:uid="{EA7F6280-3660-4C38-8350-5362F2AE8C9C}" name="Manufacturer"/>
    <tableColumn id="3" xr3:uid="{C277FDAA-A784-4ADC-AF66-DA3909D9E085}" name="Brand"/>
    <tableColumn id="4" xr3:uid="{F1CE0DEF-243D-4982-8BD8-08680F4893AC}" name="Package Type"/>
    <tableColumn id="5" xr3:uid="{7190A3A3-0571-4BBC-BEE3-D133363E0D2F}" name="Protection"/>
    <tableColumn id="6" xr3:uid="{92E5A6D7-B384-4811-A57D-A35D44F59BF4}" name="Package Size" dataDxfId="9"/>
    <tableColumn id="7" xr3:uid="{B1FEB48E-ABB6-4F3C-A646-7ACF1B1A1DC8}" name="Value(1000$) 2022" dataDxfId="8"/>
    <tableColumn id="8" xr3:uid="{06655ACF-40B1-4F2F-A73A-FC66C3D39522}" name="Value(1000$) 2023" dataDxfId="7"/>
    <tableColumn id="9" xr3:uid="{D9D0190E-D6C0-43A3-B6A4-85A41C0CAFB6}" name="Value(1000$) 2024" dataDxfId="6"/>
    <tableColumn id="10" xr3:uid="{1E13D6B0-4C09-4692-BA8D-A4953762A539}" name="Volume(1000) 2022"/>
    <tableColumn id="11" xr3:uid="{4909361F-FFE9-484D-B4F2-202C4EB65563}" name="Volume(1000) 2023"/>
    <tableColumn id="12" xr3:uid="{B14CA5FC-38ED-4AC4-89EE-05E0CAE49281}" name="Volume(1000) 2024"/>
    <tableColumn id="13" xr3:uid="{DC01F2AE-D6E2-49EF-9C71-318235A748A0}" name="Average Price(2022)" dataDxfId="5">
      <calculatedColumnFormula>IFERROR(Table2[[#This Row],[Value(1000$) 2022]]/Table2[[#This Row],[Volume(1000) 2022]],0)</calculatedColumnFormula>
    </tableColumn>
    <tableColumn id="14" xr3:uid="{9BC9B958-3D14-4627-AAC7-6293EE021D6E}" name="Average Price(2023)" dataDxfId="4">
      <calculatedColumnFormula>IFERROR(Table2[[#This Row],[Value(1000$) 2023]]/Table2[[#This Row],[Volume(1000) 2023]],0)</calculatedColumnFormula>
    </tableColumn>
    <tableColumn id="15" xr3:uid="{7AED530E-B142-4085-A745-E521EE331E5C}" name="Average Price(2024)" dataDxfId="3">
      <calculatedColumnFormula>IFERROR(Table2[[#This Row],[Value(1000$) 2024]]/Table2[[#This Row],[Volume(1000) 2024]],0)</calculatedColumnFormula>
    </tableColumn>
    <tableColumn id="16" xr3:uid="{0DABB68D-8500-40C8-9D26-E8351AB8E4BD}" name="sum of value 22-24" dataDxfId="2">
      <calculatedColumnFormula>SUM(Table2[[#This Row],[Value(1000$) 2022]:[Value(1000$) 2024]])</calculatedColumnFormula>
    </tableColumn>
    <tableColumn id="17" xr3:uid="{2D28487A-914C-4412-B2FA-839B3AF98A21}" name="sum of value 22-242" dataDxfId="1">
      <calculatedColumnFormula>SUM(Table2[[#This Row],[Volume(1000) 2022]:[Volume(1000) 2024]])</calculatedColumnFormula>
    </tableColumn>
    <tableColumn id="18" xr3:uid="{0B2491B2-23D8-4A3E-A931-21C5E3F8A06B}" name="sum of value 22-243" dataDxfId="0">
      <calculatedColumnFormula>AVERAGE(Table2[[#This Row],[Average Price(2022)]:[Average Price(2024)]])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21BFB-2110-492A-ABCB-8948E05CEBA6}">
  <dimension ref="A1:AC992"/>
  <sheetViews>
    <sheetView zoomScale="70" zoomScaleNormal="70" workbookViewId="0">
      <selection activeCell="A12" sqref="A12:XFD12"/>
    </sheetView>
  </sheetViews>
  <sheetFormatPr defaultRowHeight="14.4" x14ac:dyDescent="0.3"/>
  <cols>
    <col min="1" max="1" width="55.33203125" bestFit="1" customWidth="1"/>
    <col min="2" max="2" width="18.44140625" customWidth="1"/>
    <col min="3" max="3" width="14.77734375" customWidth="1"/>
    <col min="4" max="4" width="59.77734375" customWidth="1"/>
    <col min="5" max="5" width="15.21875" customWidth="1"/>
    <col min="6" max="11" width="12.6640625" customWidth="1"/>
    <col min="13" max="13" width="47.109375" bestFit="1" customWidth="1"/>
    <col min="14" max="14" width="37.88671875" style="29" bestFit="1" customWidth="1"/>
    <col min="15" max="15" width="41.6640625" bestFit="1" customWidth="1"/>
    <col min="16" max="16" width="37.88671875" bestFit="1" customWidth="1"/>
    <col min="18" max="18" width="27.5546875" bestFit="1" customWidth="1"/>
    <col min="19" max="19" width="27.5546875" customWidth="1"/>
    <col min="20" max="20" width="47.109375" bestFit="1" customWidth="1"/>
    <col min="22" max="22" width="39.33203125" bestFit="1" customWidth="1"/>
    <col min="24" max="26" width="8.88671875" style="27"/>
    <col min="27" max="27" width="13.5546875" style="27" customWidth="1"/>
    <col min="28" max="28" width="15.6640625" style="27" customWidth="1"/>
    <col min="29" max="29" width="20.44140625" style="27" customWidth="1"/>
  </cols>
  <sheetData>
    <row r="1" spans="1:29" s="1" customFormat="1" ht="20.100000000000001" customHeight="1" thickBot="1" x14ac:dyDescent="0.35">
      <c r="A1" s="52"/>
      <c r="B1" s="53"/>
      <c r="C1" s="53"/>
      <c r="D1" s="53"/>
      <c r="E1" s="53"/>
      <c r="F1" s="56" t="s">
        <v>0</v>
      </c>
      <c r="G1" s="57"/>
      <c r="H1" s="58"/>
      <c r="I1" s="59" t="s">
        <v>1</v>
      </c>
      <c r="J1" s="60"/>
      <c r="K1" s="61"/>
      <c r="N1" s="28"/>
      <c r="X1" s="26"/>
      <c r="Y1" s="26"/>
      <c r="Z1" s="26"/>
      <c r="AA1" s="26"/>
      <c r="AB1" s="26"/>
      <c r="AC1" s="26"/>
    </row>
    <row r="2" spans="1:29" s="1" customFormat="1" ht="33" customHeight="1" thickBot="1" x14ac:dyDescent="0.35">
      <c r="A2" s="54"/>
      <c r="B2" s="55"/>
      <c r="C2" s="55"/>
      <c r="D2" s="55"/>
      <c r="E2" s="55"/>
      <c r="F2" s="2">
        <v>2022</v>
      </c>
      <c r="G2" s="3">
        <v>2023</v>
      </c>
      <c r="H2" s="3" t="s">
        <v>710</v>
      </c>
      <c r="I2" s="3">
        <v>2022</v>
      </c>
      <c r="J2" s="3">
        <v>2023</v>
      </c>
      <c r="K2" s="3" t="s">
        <v>710</v>
      </c>
      <c r="N2" s="28"/>
      <c r="X2" s="26"/>
      <c r="Y2" s="26"/>
      <c r="Z2" s="26"/>
      <c r="AA2" s="26"/>
      <c r="AB2" s="26"/>
      <c r="AC2" s="26"/>
    </row>
    <row r="3" spans="1:29" ht="15" customHeight="1" x14ac:dyDescent="0.3">
      <c r="A3" s="4" t="s">
        <v>711</v>
      </c>
      <c r="B3" s="4" t="s">
        <v>6</v>
      </c>
      <c r="C3" s="4" t="s">
        <v>2</v>
      </c>
      <c r="D3" s="5" t="s">
        <v>3</v>
      </c>
      <c r="E3" s="5" t="s">
        <v>4</v>
      </c>
      <c r="F3" s="6">
        <v>31416.343000000001</v>
      </c>
      <c r="G3" s="7">
        <v>32432.398499999999</v>
      </c>
      <c r="H3" s="8">
        <v>17382.009999999998</v>
      </c>
      <c r="I3" s="9">
        <v>1194607.8559999999</v>
      </c>
      <c r="J3" s="8">
        <v>1188013.216</v>
      </c>
      <c r="K3" s="8">
        <v>600950.97600000002</v>
      </c>
    </row>
    <row r="4" spans="1:29" ht="14.25" customHeight="1" x14ac:dyDescent="0.3">
      <c r="A4" s="25" t="s">
        <v>712</v>
      </c>
      <c r="B4" s="4" t="s">
        <v>5</v>
      </c>
      <c r="C4" s="4"/>
      <c r="D4" s="5"/>
      <c r="E4" s="5"/>
      <c r="F4" s="10">
        <v>1.9350000000000001</v>
      </c>
      <c r="G4" s="11">
        <v>0.624</v>
      </c>
      <c r="H4" s="12"/>
      <c r="I4" s="13">
        <v>24.822900000000001</v>
      </c>
      <c r="J4" s="12">
        <v>9.4085999999999999</v>
      </c>
      <c r="K4" s="12"/>
      <c r="M4" t="str">
        <f>IF(B3="ITEM",A3,"")</f>
        <v/>
      </c>
    </row>
    <row r="5" spans="1:29" ht="15" customHeight="1" x14ac:dyDescent="0.3">
      <c r="A5" s="14" t="s">
        <v>828</v>
      </c>
      <c r="B5" s="15" t="s">
        <v>6</v>
      </c>
      <c r="C5" s="16"/>
      <c r="D5" s="17"/>
      <c r="E5" s="17"/>
      <c r="F5" s="18">
        <v>1.9350000000000001</v>
      </c>
      <c r="G5" s="19">
        <v>0.624</v>
      </c>
      <c r="H5" s="20"/>
      <c r="I5" s="21">
        <v>24.822900000000001</v>
      </c>
      <c r="J5" s="20">
        <v>9.4085999999999999</v>
      </c>
      <c r="K5" s="20"/>
      <c r="M5" t="str">
        <f t="shared" ref="M5:M68" si="0">IF(B4="ITEM",A4,"")</f>
        <v/>
      </c>
    </row>
    <row r="6" spans="1:29" ht="15" customHeight="1" x14ac:dyDescent="0.3">
      <c r="A6" s="22" t="s">
        <v>7</v>
      </c>
      <c r="B6" s="23" t="s">
        <v>8</v>
      </c>
      <c r="C6" s="23" t="s">
        <v>9</v>
      </c>
      <c r="D6" s="24" t="s">
        <v>10</v>
      </c>
      <c r="E6" s="24" t="s">
        <v>11</v>
      </c>
      <c r="F6" s="18">
        <v>1.9350000000000001</v>
      </c>
      <c r="G6" s="19">
        <v>0.624</v>
      </c>
      <c r="H6" s="20"/>
      <c r="I6" s="21">
        <v>24.822900000000001</v>
      </c>
      <c r="J6" s="20">
        <v>9.4085999999999999</v>
      </c>
      <c r="K6" s="20"/>
      <c r="M6" t="str">
        <f t="shared" si="0"/>
        <v/>
      </c>
    </row>
    <row r="7" spans="1:29" ht="14.25" customHeight="1" x14ac:dyDescent="0.3">
      <c r="A7" s="25" t="s">
        <v>713</v>
      </c>
      <c r="B7" s="4" t="s">
        <v>5</v>
      </c>
      <c r="C7" s="4"/>
      <c r="D7" s="5"/>
      <c r="E7" s="5"/>
      <c r="F7" s="10">
        <v>1.09E-2</v>
      </c>
      <c r="G7" s="11"/>
      <c r="H7" s="12"/>
      <c r="I7" s="13">
        <v>0.16</v>
      </c>
      <c r="J7" s="12"/>
      <c r="K7" s="12"/>
      <c r="M7" t="str">
        <f t="shared" si="0"/>
        <v>BABY2000 CAMOMILLA W 20 BAG ABA SRL</v>
      </c>
      <c r="N7" s="29" t="str">
        <f t="shared" ref="N7:N70" si="1">IF(B4="MANUFACTURER",A4,N6)</f>
        <v xml:space="preserve"> Nova Garbagnate</v>
      </c>
      <c r="O7" t="str">
        <f t="shared" ref="O7:O70" si="2">IF(B5="BRAND",A5,O6)</f>
        <v>BABY 2000 (Nova Garbagnate)</v>
      </c>
      <c r="P7" t="str">
        <f>IF(B6="ITEM",N7,"")</f>
        <v xml:space="preserve"> Nova Garbagnate</v>
      </c>
      <c r="R7" t="str">
        <f t="shared" ref="R7:R70" si="3">IF(B6="ITEM",O7,"")</f>
        <v>BABY 2000 (Nova Garbagnate)</v>
      </c>
      <c r="T7" t="s">
        <v>7</v>
      </c>
      <c r="U7" t="str">
        <f>IF(B6="ITEM",C6,"")</f>
        <v>BAGS</v>
      </c>
      <c r="V7" t="str">
        <f>IF(B6="ITEM",D6,"")</f>
        <v>WITHOUT EXTRA PROTECTCARE INDICATION</v>
      </c>
      <c r="W7" t="str">
        <f>IF(B6="ITEM",E6,"")</f>
        <v>20</v>
      </c>
      <c r="X7" s="27">
        <f>IF(B6 = "ITEM",F6,"")</f>
        <v>1.9350000000000001</v>
      </c>
      <c r="Y7" s="27">
        <f>IF(B6="ITEM",G6,"")</f>
        <v>0.624</v>
      </c>
      <c r="Z7" s="27">
        <f>IF(B6="ITEM",H6,"")</f>
        <v>0</v>
      </c>
      <c r="AA7" s="27">
        <f>IF(B6="ITEM",I6,"")</f>
        <v>24.822900000000001</v>
      </c>
      <c r="AB7" s="27">
        <f>IF(B6="ITEM",J6,"")</f>
        <v>9.4085999999999999</v>
      </c>
      <c r="AC7" s="27">
        <f>IF(B6="ITEM",K6,"")</f>
        <v>0</v>
      </c>
    </row>
    <row r="8" spans="1:29" ht="15" customHeight="1" x14ac:dyDescent="0.3">
      <c r="A8" s="14" t="s">
        <v>829</v>
      </c>
      <c r="B8" s="15" t="s">
        <v>6</v>
      </c>
      <c r="C8" s="16"/>
      <c r="D8" s="17"/>
      <c r="E8" s="17"/>
      <c r="F8" s="18">
        <v>1.09E-2</v>
      </c>
      <c r="G8" s="19"/>
      <c r="H8" s="20"/>
      <c r="I8" s="21">
        <v>0.16</v>
      </c>
      <c r="J8" s="20"/>
      <c r="K8" s="20"/>
      <c r="M8" t="str">
        <f t="shared" si="0"/>
        <v/>
      </c>
      <c r="N8" s="29" t="str">
        <f t="shared" si="1"/>
        <v xml:space="preserve"> Nova Garbagnate</v>
      </c>
      <c r="O8" t="str">
        <f t="shared" si="2"/>
        <v>BABY 2000 (Nova Garbagnate)</v>
      </c>
      <c r="P8" t="str">
        <f t="shared" ref="P8:P71" si="4">IF(B7="ITEM",N8,"")</f>
        <v/>
      </c>
      <c r="R8" t="str">
        <f t="shared" si="3"/>
        <v/>
      </c>
      <c r="T8" t="s">
        <v>871</v>
      </c>
      <c r="U8" t="str">
        <f t="shared" ref="U8:U71" si="5">IF(B7="ITEM",C7,"")</f>
        <v/>
      </c>
      <c r="V8" t="str">
        <f t="shared" ref="V8:V71" si="6">IF(B7="ITEM",D7,"")</f>
        <v/>
      </c>
      <c r="W8" t="str">
        <f t="shared" ref="W8:W71" si="7">IF(B7="ITEM",E7,"")</f>
        <v/>
      </c>
      <c r="X8" s="27" t="str">
        <f t="shared" ref="X8:X71" si="8">IF(B7 = "ITEM",F7,"")</f>
        <v/>
      </c>
      <c r="Y8" s="27" t="str">
        <f t="shared" ref="Y8:Y71" si="9">IF(B7="ITEM",G7,"")</f>
        <v/>
      </c>
      <c r="Z8" s="27" t="str">
        <f t="shared" ref="Z8:Z71" si="10">IF(B7="ITEM",H7,"")</f>
        <v/>
      </c>
      <c r="AA8" s="27" t="str">
        <f t="shared" ref="AA8:AA71" si="11">IF(B7="ITEM",I7,"")</f>
        <v/>
      </c>
      <c r="AB8" s="27" t="str">
        <f t="shared" ref="AB8:AB71" si="12">IF(B7="ITEM",J7,"")</f>
        <v/>
      </c>
      <c r="AC8" s="27" t="str">
        <f t="shared" ref="AC8:AC71" si="13">IF(B7="ITEM",K7,"")</f>
        <v/>
      </c>
    </row>
    <row r="9" spans="1:29" ht="15" customHeight="1" x14ac:dyDescent="0.3">
      <c r="A9" s="22" t="s">
        <v>12</v>
      </c>
      <c r="B9" s="23" t="s">
        <v>8</v>
      </c>
      <c r="C9" s="23" t="s">
        <v>9</v>
      </c>
      <c r="D9" s="24" t="s">
        <v>10</v>
      </c>
      <c r="E9" s="24" t="s">
        <v>13</v>
      </c>
      <c r="F9" s="18"/>
      <c r="G9" s="19"/>
      <c r="H9" s="20"/>
      <c r="I9" s="21"/>
      <c r="J9" s="20"/>
      <c r="K9" s="20"/>
      <c r="M9" t="str">
        <f t="shared" si="0"/>
        <v/>
      </c>
      <c r="N9" s="29" t="str">
        <f t="shared" si="1"/>
        <v xml:space="preserve"> Nova Garbagnate</v>
      </c>
      <c r="O9" t="str">
        <f t="shared" si="2"/>
        <v>BABY 2000 (Nova Garbagnate)</v>
      </c>
      <c r="P9" t="str">
        <f t="shared" si="4"/>
        <v/>
      </c>
      <c r="R9" t="str">
        <f t="shared" si="3"/>
        <v/>
      </c>
      <c r="T9" t="s">
        <v>871</v>
      </c>
      <c r="U9" t="str">
        <f t="shared" si="5"/>
        <v/>
      </c>
      <c r="V9" t="str">
        <f t="shared" si="6"/>
        <v/>
      </c>
      <c r="W9" t="str">
        <f t="shared" si="7"/>
        <v/>
      </c>
      <c r="X9" s="27" t="str">
        <f t="shared" si="8"/>
        <v/>
      </c>
      <c r="Y9" s="27" t="str">
        <f t="shared" si="9"/>
        <v/>
      </c>
      <c r="Z9" s="27" t="str">
        <f t="shared" si="10"/>
        <v/>
      </c>
      <c r="AA9" s="27" t="str">
        <f t="shared" si="11"/>
        <v/>
      </c>
      <c r="AB9" s="27" t="str">
        <f t="shared" si="12"/>
        <v/>
      </c>
      <c r="AC9" s="27" t="str">
        <f t="shared" si="13"/>
        <v/>
      </c>
    </row>
    <row r="10" spans="1:29" ht="15" customHeight="1" x14ac:dyDescent="0.3">
      <c r="A10" s="22" t="s">
        <v>14</v>
      </c>
      <c r="B10" s="23" t="s">
        <v>8</v>
      </c>
      <c r="C10" s="23" t="s">
        <v>9</v>
      </c>
      <c r="D10" s="24" t="s">
        <v>10</v>
      </c>
      <c r="E10" s="24" t="s">
        <v>15</v>
      </c>
      <c r="F10" s="18"/>
      <c r="G10" s="19"/>
      <c r="H10" s="20"/>
      <c r="I10" s="21"/>
      <c r="J10" s="20"/>
      <c r="K10" s="20"/>
      <c r="M10" t="str">
        <f t="shared" si="0"/>
        <v>BAMBO NATURE W 10 BAG</v>
      </c>
      <c r="N10" s="29" t="str">
        <f t="shared" si="1"/>
        <v xml:space="preserve"> BeneCare</v>
      </c>
      <c r="O10" t="str">
        <f t="shared" si="2"/>
        <v>BAMBO (BeneCare)</v>
      </c>
      <c r="P10" t="str">
        <f t="shared" si="4"/>
        <v xml:space="preserve"> BeneCare</v>
      </c>
      <c r="R10" t="str">
        <f t="shared" si="3"/>
        <v>BAMBO (BeneCare)</v>
      </c>
      <c r="T10" t="s">
        <v>12</v>
      </c>
      <c r="U10" t="str">
        <f t="shared" si="5"/>
        <v>BAGS</v>
      </c>
      <c r="V10" t="str">
        <f t="shared" si="6"/>
        <v>WITHOUT EXTRA PROTECTCARE INDICATION</v>
      </c>
      <c r="W10" t="str">
        <f t="shared" si="7"/>
        <v>10</v>
      </c>
      <c r="X10" s="27">
        <f t="shared" si="8"/>
        <v>0</v>
      </c>
      <c r="Y10" s="27">
        <f t="shared" si="9"/>
        <v>0</v>
      </c>
      <c r="Z10" s="27">
        <f t="shared" si="10"/>
        <v>0</v>
      </c>
      <c r="AA10" s="27">
        <f t="shared" si="11"/>
        <v>0</v>
      </c>
      <c r="AB10" s="27">
        <f t="shared" si="12"/>
        <v>0</v>
      </c>
      <c r="AC10" s="27">
        <f t="shared" si="13"/>
        <v>0</v>
      </c>
    </row>
    <row r="11" spans="1:29" ht="15" customHeight="1" x14ac:dyDescent="0.3">
      <c r="A11" s="22" t="s">
        <v>16</v>
      </c>
      <c r="B11" s="23" t="s">
        <v>8</v>
      </c>
      <c r="C11" s="23" t="s">
        <v>9</v>
      </c>
      <c r="D11" s="24" t="s">
        <v>10</v>
      </c>
      <c r="E11" s="24" t="s">
        <v>17</v>
      </c>
      <c r="F11" s="18"/>
      <c r="G11" s="19"/>
      <c r="H11" s="20"/>
      <c r="I11" s="21"/>
      <c r="J11" s="20"/>
      <c r="K11" s="20"/>
      <c r="M11" t="str">
        <f t="shared" si="0"/>
        <v>BAMBO NATURE W 50 BAG</v>
      </c>
      <c r="N11" s="29" t="str">
        <f t="shared" si="1"/>
        <v xml:space="preserve"> BeneCare</v>
      </c>
      <c r="O11" t="str">
        <f t="shared" si="2"/>
        <v>BAMBO (BeneCare)</v>
      </c>
      <c r="P11" t="str">
        <f t="shared" si="4"/>
        <v xml:space="preserve"> BeneCare</v>
      </c>
      <c r="R11" t="str">
        <f t="shared" si="3"/>
        <v>BAMBO (BeneCare)</v>
      </c>
      <c r="T11" t="s">
        <v>14</v>
      </c>
      <c r="U11" t="str">
        <f t="shared" si="5"/>
        <v>BAGS</v>
      </c>
      <c r="V11" t="str">
        <f t="shared" si="6"/>
        <v>WITHOUT EXTRA PROTECTCARE INDICATION</v>
      </c>
      <c r="W11" t="str">
        <f t="shared" si="7"/>
        <v>50</v>
      </c>
      <c r="X11" s="27">
        <f t="shared" si="8"/>
        <v>0</v>
      </c>
      <c r="Y11" s="27">
        <f t="shared" si="9"/>
        <v>0</v>
      </c>
      <c r="Z11" s="27">
        <f t="shared" si="10"/>
        <v>0</v>
      </c>
      <c r="AA11" s="27">
        <f t="shared" si="11"/>
        <v>0</v>
      </c>
      <c r="AB11" s="27">
        <f t="shared" si="12"/>
        <v>0</v>
      </c>
      <c r="AC11" s="27">
        <f t="shared" si="13"/>
        <v>0</v>
      </c>
    </row>
    <row r="12" spans="1:29" ht="15" customHeight="1" x14ac:dyDescent="0.3">
      <c r="A12" s="22" t="s">
        <v>18</v>
      </c>
      <c r="B12" s="23" t="s">
        <v>8</v>
      </c>
      <c r="C12" s="23" t="s">
        <v>9</v>
      </c>
      <c r="D12" s="24" t="s">
        <v>10</v>
      </c>
      <c r="E12" s="24" t="s">
        <v>17</v>
      </c>
      <c r="F12" s="18">
        <v>1.09E-2</v>
      </c>
      <c r="G12" s="19"/>
      <c r="H12" s="20"/>
      <c r="I12" s="21">
        <v>0.16</v>
      </c>
      <c r="J12" s="20"/>
      <c r="K12" s="20"/>
      <c r="M12" t="str">
        <f t="shared" si="0"/>
        <v>BAMBO NATURE 0%PERFUME W 80 BAG</v>
      </c>
      <c r="N12" s="29" t="str">
        <f t="shared" si="1"/>
        <v xml:space="preserve"> BeneCare</v>
      </c>
      <c r="O12" t="str">
        <f t="shared" si="2"/>
        <v>BAMBO (BeneCare)</v>
      </c>
      <c r="P12" t="str">
        <f t="shared" si="4"/>
        <v xml:space="preserve"> BeneCare</v>
      </c>
      <c r="R12" t="str">
        <f t="shared" si="3"/>
        <v>BAMBO (BeneCare)</v>
      </c>
      <c r="T12" t="s">
        <v>16</v>
      </c>
      <c r="U12" t="str">
        <f t="shared" si="5"/>
        <v>BAGS</v>
      </c>
      <c r="V12" t="str">
        <f t="shared" si="6"/>
        <v>WITHOUT EXTRA PROTECTCARE INDICATION</v>
      </c>
      <c r="W12" t="str">
        <f t="shared" si="7"/>
        <v>80</v>
      </c>
      <c r="X12" s="27">
        <f t="shared" si="8"/>
        <v>0</v>
      </c>
      <c r="Y12" s="27">
        <f t="shared" si="9"/>
        <v>0</v>
      </c>
      <c r="Z12" s="27">
        <f t="shared" si="10"/>
        <v>0</v>
      </c>
      <c r="AA12" s="27">
        <f t="shared" si="11"/>
        <v>0</v>
      </c>
      <c r="AB12" s="27">
        <f t="shared" si="12"/>
        <v>0</v>
      </c>
      <c r="AC12" s="27">
        <f t="shared" si="13"/>
        <v>0</v>
      </c>
    </row>
    <row r="13" spans="1:29" ht="14.25" customHeight="1" x14ac:dyDescent="0.3">
      <c r="A13" s="25" t="s">
        <v>714</v>
      </c>
      <c r="B13" s="4" t="s">
        <v>5</v>
      </c>
      <c r="C13" s="4"/>
      <c r="D13" s="5"/>
      <c r="E13" s="5"/>
      <c r="F13" s="10">
        <v>3341.5012999999999</v>
      </c>
      <c r="G13" s="11">
        <v>3428.0437000000002</v>
      </c>
      <c r="H13" s="12">
        <v>1852.1968999999999</v>
      </c>
      <c r="I13" s="13">
        <v>125970.25199999999</v>
      </c>
      <c r="J13" s="12">
        <v>127615.61199999999</v>
      </c>
      <c r="K13" s="12">
        <v>64977.618000000002</v>
      </c>
      <c r="M13" t="str">
        <f t="shared" si="0"/>
        <v>BAMBO NATURE W 80 BAG KAPAK</v>
      </c>
      <c r="N13" s="29" t="str">
        <f t="shared" si="1"/>
        <v xml:space="preserve"> BeneCare</v>
      </c>
      <c r="O13" t="str">
        <f t="shared" si="2"/>
        <v>BAMBO (BeneCare)</v>
      </c>
      <c r="P13" t="str">
        <f t="shared" si="4"/>
        <v xml:space="preserve"> BeneCare</v>
      </c>
      <c r="R13" t="str">
        <f t="shared" si="3"/>
        <v>BAMBO (BeneCare)</v>
      </c>
      <c r="T13" t="s">
        <v>18</v>
      </c>
      <c r="U13" t="str">
        <f t="shared" si="5"/>
        <v>BAGS</v>
      </c>
      <c r="V13" t="str">
        <f t="shared" si="6"/>
        <v>WITHOUT EXTRA PROTECTCARE INDICATION</v>
      </c>
      <c r="W13" t="str">
        <f t="shared" si="7"/>
        <v>80</v>
      </c>
      <c r="X13" s="27">
        <f t="shared" si="8"/>
        <v>1.09E-2</v>
      </c>
      <c r="Y13" s="27">
        <f t="shared" si="9"/>
        <v>0</v>
      </c>
      <c r="Z13" s="27">
        <f t="shared" si="10"/>
        <v>0</v>
      </c>
      <c r="AA13" s="27">
        <f t="shared" si="11"/>
        <v>0.16</v>
      </c>
      <c r="AB13" s="27">
        <f t="shared" si="12"/>
        <v>0</v>
      </c>
      <c r="AC13" s="27">
        <f t="shared" si="13"/>
        <v>0</v>
      </c>
    </row>
    <row r="14" spans="1:29" ht="15" customHeight="1" x14ac:dyDescent="0.3">
      <c r="A14" s="14" t="s">
        <v>830</v>
      </c>
      <c r="B14" s="15" t="s">
        <v>6</v>
      </c>
      <c r="C14" s="16"/>
      <c r="D14" s="17"/>
      <c r="E14" s="17"/>
      <c r="F14" s="18">
        <v>3341.5012999999999</v>
      </c>
      <c r="G14" s="19">
        <v>3428.0437000000002</v>
      </c>
      <c r="H14" s="20">
        <v>1852.1968999999999</v>
      </c>
      <c r="I14" s="21">
        <v>125970.25199999999</v>
      </c>
      <c r="J14" s="20">
        <v>127615.61199999999</v>
      </c>
      <c r="K14" s="20">
        <v>64977.618000000002</v>
      </c>
      <c r="M14" t="str">
        <f t="shared" si="0"/>
        <v/>
      </c>
      <c r="N14" s="29" t="str">
        <f t="shared" si="1"/>
        <v xml:space="preserve"> BeneCare</v>
      </c>
      <c r="O14" t="str">
        <f t="shared" si="2"/>
        <v>BAMBO (BeneCare)</v>
      </c>
      <c r="P14" t="str">
        <f t="shared" si="4"/>
        <v/>
      </c>
      <c r="R14" t="str">
        <f t="shared" si="3"/>
        <v/>
      </c>
      <c r="T14" t="s">
        <v>871</v>
      </c>
      <c r="U14" t="str">
        <f t="shared" si="5"/>
        <v/>
      </c>
      <c r="V14" t="str">
        <f t="shared" si="6"/>
        <v/>
      </c>
      <c r="W14" t="str">
        <f t="shared" si="7"/>
        <v/>
      </c>
      <c r="X14" s="27" t="str">
        <f t="shared" si="8"/>
        <v/>
      </c>
      <c r="Y14" s="27" t="str">
        <f t="shared" si="9"/>
        <v/>
      </c>
      <c r="Z14" s="27" t="str">
        <f t="shared" si="10"/>
        <v/>
      </c>
      <c r="AA14" s="27" t="str">
        <f t="shared" si="11"/>
        <v/>
      </c>
      <c r="AB14" s="27" t="str">
        <f t="shared" si="12"/>
        <v/>
      </c>
      <c r="AC14" s="27" t="str">
        <f t="shared" si="13"/>
        <v/>
      </c>
    </row>
    <row r="15" spans="1:29" ht="15" customHeight="1" x14ac:dyDescent="0.3">
      <c r="A15" s="22" t="s">
        <v>19</v>
      </c>
      <c r="B15" s="23" t="s">
        <v>8</v>
      </c>
      <c r="C15" s="23" t="s">
        <v>9</v>
      </c>
      <c r="D15" s="24" t="s">
        <v>20</v>
      </c>
      <c r="E15" s="24" t="s">
        <v>21</v>
      </c>
      <c r="F15" s="18">
        <v>81.467399999999998</v>
      </c>
      <c r="G15" s="19">
        <v>92.903000000000006</v>
      </c>
      <c r="H15" s="20">
        <v>52.511899999999997</v>
      </c>
      <c r="I15" s="21">
        <v>2980.7042999999999</v>
      </c>
      <c r="J15" s="20">
        <v>3415.3553999999999</v>
      </c>
      <c r="K15" s="20">
        <v>1823.0734</v>
      </c>
      <c r="M15" t="str">
        <f t="shared" si="0"/>
        <v/>
      </c>
      <c r="N15" s="29" t="str">
        <f t="shared" si="1"/>
        <v xml:space="preserve"> BeneCare</v>
      </c>
      <c r="O15" t="str">
        <f t="shared" si="2"/>
        <v>BAMBO (BeneCare)</v>
      </c>
      <c r="P15" t="str">
        <f t="shared" si="4"/>
        <v/>
      </c>
      <c r="R15" t="str">
        <f t="shared" si="3"/>
        <v/>
      </c>
      <c r="T15" t="s">
        <v>871</v>
      </c>
      <c r="U15" t="str">
        <f t="shared" si="5"/>
        <v/>
      </c>
      <c r="V15" t="str">
        <f t="shared" si="6"/>
        <v/>
      </c>
      <c r="W15" t="str">
        <f t="shared" si="7"/>
        <v/>
      </c>
      <c r="X15" s="27" t="str">
        <f t="shared" si="8"/>
        <v/>
      </c>
      <c r="Y15" s="27" t="str">
        <f t="shared" si="9"/>
        <v/>
      </c>
      <c r="Z15" s="27" t="str">
        <f t="shared" si="10"/>
        <v/>
      </c>
      <c r="AA15" s="27" t="str">
        <f t="shared" si="11"/>
        <v/>
      </c>
      <c r="AB15" s="27" t="str">
        <f t="shared" si="12"/>
        <v/>
      </c>
      <c r="AC15" s="27" t="str">
        <f t="shared" si="13"/>
        <v/>
      </c>
    </row>
    <row r="16" spans="1:29" ht="15" customHeight="1" x14ac:dyDescent="0.3">
      <c r="A16" s="22" t="s">
        <v>22</v>
      </c>
      <c r="B16" s="23" t="s">
        <v>8</v>
      </c>
      <c r="C16" s="23" t="s">
        <v>9</v>
      </c>
      <c r="D16" s="24" t="s">
        <v>20</v>
      </c>
      <c r="E16" s="24" t="s">
        <v>21</v>
      </c>
      <c r="F16" s="18">
        <v>165.22800000000001</v>
      </c>
      <c r="G16" s="19">
        <v>172.68430000000001</v>
      </c>
      <c r="H16" s="20">
        <v>91.1357</v>
      </c>
      <c r="I16" s="21">
        <v>5930.9056</v>
      </c>
      <c r="J16" s="20">
        <v>6183.6273000000001</v>
      </c>
      <c r="K16" s="20">
        <v>3125.7986999999998</v>
      </c>
      <c r="M16" t="str">
        <f t="shared" si="0"/>
        <v>BABY CREMA PLAY TIME CAMOMILE W 100 PINK</v>
      </c>
      <c r="N16" s="29" t="str">
        <f t="shared" si="1"/>
        <v xml:space="preserve"> VigaLife</v>
      </c>
      <c r="O16" t="str">
        <f t="shared" si="2"/>
        <v>BABY CREMA (VigaLife)</v>
      </c>
      <c r="P16" t="str">
        <f t="shared" si="4"/>
        <v xml:space="preserve"> VigaLife</v>
      </c>
      <c r="R16" t="str">
        <f t="shared" si="3"/>
        <v>BABY CREMA (VigaLife)</v>
      </c>
      <c r="T16" t="s">
        <v>19</v>
      </c>
      <c r="U16" t="str">
        <f t="shared" si="5"/>
        <v>BAGS</v>
      </c>
      <c r="V16" t="str">
        <f t="shared" si="6"/>
        <v>PH BALANCED</v>
      </c>
      <c r="W16" t="str">
        <f t="shared" si="7"/>
        <v>100</v>
      </c>
      <c r="X16" s="27">
        <f t="shared" si="8"/>
        <v>81.467399999999998</v>
      </c>
      <c r="Y16" s="27">
        <f t="shared" si="9"/>
        <v>92.903000000000006</v>
      </c>
      <c r="Z16" s="27">
        <f t="shared" si="10"/>
        <v>52.511899999999997</v>
      </c>
      <c r="AA16" s="27">
        <f t="shared" si="11"/>
        <v>2980.7042999999999</v>
      </c>
      <c r="AB16" s="27">
        <f t="shared" si="12"/>
        <v>3415.3553999999999</v>
      </c>
      <c r="AC16" s="27">
        <f t="shared" si="13"/>
        <v>1823.0734</v>
      </c>
    </row>
    <row r="17" spans="1:29" ht="15" customHeight="1" x14ac:dyDescent="0.3">
      <c r="A17" s="22" t="s">
        <v>23</v>
      </c>
      <c r="B17" s="23" t="s">
        <v>8</v>
      </c>
      <c r="C17" s="23" t="s">
        <v>9</v>
      </c>
      <c r="D17" s="24" t="s">
        <v>20</v>
      </c>
      <c r="E17" s="24" t="s">
        <v>24</v>
      </c>
      <c r="F17" s="18">
        <v>842.87239999999997</v>
      </c>
      <c r="G17" s="19">
        <v>745.33579999999995</v>
      </c>
      <c r="H17" s="20">
        <v>366.95890000000003</v>
      </c>
      <c r="I17" s="21">
        <v>38888.539799999999</v>
      </c>
      <c r="J17" s="20">
        <v>31985.000499999998</v>
      </c>
      <c r="K17" s="20">
        <v>14135.173000000001</v>
      </c>
      <c r="M17" t="str">
        <f t="shared" si="0"/>
        <v>BABYCREMA PLAYTIME CAMOMILE W 100 ORANGE</v>
      </c>
      <c r="N17" s="29" t="str">
        <f t="shared" si="1"/>
        <v xml:space="preserve"> VigaLife</v>
      </c>
      <c r="O17" t="str">
        <f t="shared" si="2"/>
        <v>BABY CREMA (VigaLife)</v>
      </c>
      <c r="P17" t="str">
        <f t="shared" si="4"/>
        <v xml:space="preserve"> VigaLife</v>
      </c>
      <c r="R17" t="str">
        <f t="shared" si="3"/>
        <v>BABY CREMA (VigaLife)</v>
      </c>
      <c r="T17" t="s">
        <v>22</v>
      </c>
      <c r="U17" t="str">
        <f t="shared" si="5"/>
        <v>BAGS</v>
      </c>
      <c r="V17" t="str">
        <f t="shared" si="6"/>
        <v>PH BALANCED</v>
      </c>
      <c r="W17" t="str">
        <f t="shared" si="7"/>
        <v>100</v>
      </c>
      <c r="X17" s="27">
        <f t="shared" si="8"/>
        <v>165.22800000000001</v>
      </c>
      <c r="Y17" s="27">
        <f t="shared" si="9"/>
        <v>172.68430000000001</v>
      </c>
      <c r="Z17" s="27">
        <f t="shared" si="10"/>
        <v>91.1357</v>
      </c>
      <c r="AA17" s="27">
        <f t="shared" si="11"/>
        <v>5930.9056</v>
      </c>
      <c r="AB17" s="27">
        <f t="shared" si="12"/>
        <v>6183.6273000000001</v>
      </c>
      <c r="AC17" s="27">
        <f t="shared" si="13"/>
        <v>3125.7986999999998</v>
      </c>
    </row>
    <row r="18" spans="1:29" ht="15" customHeight="1" x14ac:dyDescent="0.3">
      <c r="A18" s="22" t="s">
        <v>25</v>
      </c>
      <c r="B18" s="23" t="s">
        <v>8</v>
      </c>
      <c r="C18" s="23" t="s">
        <v>9</v>
      </c>
      <c r="D18" s="24" t="s">
        <v>10</v>
      </c>
      <c r="E18" s="24" t="s">
        <v>26</v>
      </c>
      <c r="F18" s="18">
        <v>12.774800000000001</v>
      </c>
      <c r="G18" s="19">
        <v>10.866</v>
      </c>
      <c r="H18" s="20">
        <v>6.7743000000000002</v>
      </c>
      <c r="I18" s="21">
        <v>151.26679999999999</v>
      </c>
      <c r="J18" s="20">
        <v>127.18680000000001</v>
      </c>
      <c r="K18" s="20">
        <v>77.459400000000002</v>
      </c>
      <c r="M18" t="str">
        <f t="shared" si="0"/>
        <v>BABY CREMA CAMOMIL W 120 BAG KAPAK</v>
      </c>
      <c r="N18" s="29" t="str">
        <f t="shared" si="1"/>
        <v xml:space="preserve"> VigaLife</v>
      </c>
      <c r="O18" t="str">
        <f t="shared" si="2"/>
        <v>BABY CREMA (VigaLife)</v>
      </c>
      <c r="P18" t="str">
        <f t="shared" si="4"/>
        <v xml:space="preserve"> VigaLife</v>
      </c>
      <c r="R18" t="str">
        <f t="shared" si="3"/>
        <v>BABY CREMA (VigaLife)</v>
      </c>
      <c r="T18" t="s">
        <v>23</v>
      </c>
      <c r="U18" t="str">
        <f t="shared" si="5"/>
        <v>BAGS</v>
      </c>
      <c r="V18" t="str">
        <f t="shared" si="6"/>
        <v>PH BALANCED</v>
      </c>
      <c r="W18" t="str">
        <f t="shared" si="7"/>
        <v>120</v>
      </c>
      <c r="X18" s="27">
        <f t="shared" si="8"/>
        <v>842.87239999999997</v>
      </c>
      <c r="Y18" s="27">
        <f t="shared" si="9"/>
        <v>745.33579999999995</v>
      </c>
      <c r="Z18" s="27">
        <f t="shared" si="10"/>
        <v>366.95890000000003</v>
      </c>
      <c r="AA18" s="27">
        <f t="shared" si="11"/>
        <v>38888.539799999999</v>
      </c>
      <c r="AB18" s="27">
        <f t="shared" si="12"/>
        <v>31985.000499999998</v>
      </c>
      <c r="AC18" s="27">
        <f t="shared" si="13"/>
        <v>14135.173000000001</v>
      </c>
    </row>
    <row r="19" spans="1:29" ht="15" customHeight="1" x14ac:dyDescent="0.3">
      <c r="A19" s="22" t="s">
        <v>27</v>
      </c>
      <c r="B19" s="23" t="s">
        <v>8</v>
      </c>
      <c r="C19" s="23" t="s">
        <v>9</v>
      </c>
      <c r="D19" s="24" t="s">
        <v>10</v>
      </c>
      <c r="E19" s="24" t="s">
        <v>26</v>
      </c>
      <c r="F19" s="18">
        <v>20.055299999999999</v>
      </c>
      <c r="G19" s="19">
        <v>17.836099999999998</v>
      </c>
      <c r="H19" s="20">
        <v>11.187099999999999</v>
      </c>
      <c r="I19" s="21">
        <v>231.08779999999999</v>
      </c>
      <c r="J19" s="20">
        <v>217.71180000000001</v>
      </c>
      <c r="K19" s="20">
        <v>141.00800000000001</v>
      </c>
      <c r="M19" t="str">
        <f t="shared" si="0"/>
        <v>BABY CREMA ALOE 15 BAG</v>
      </c>
      <c r="N19" s="29" t="str">
        <f t="shared" si="1"/>
        <v xml:space="preserve"> VigaLife</v>
      </c>
      <c r="O19" t="str">
        <f t="shared" si="2"/>
        <v>BABY CREMA (VigaLife)</v>
      </c>
      <c r="P19" t="str">
        <f t="shared" si="4"/>
        <v xml:space="preserve"> VigaLife</v>
      </c>
      <c r="R19" t="str">
        <f t="shared" si="3"/>
        <v>BABY CREMA (VigaLife)</v>
      </c>
      <c r="T19" t="s">
        <v>25</v>
      </c>
      <c r="U19" t="str">
        <f t="shared" si="5"/>
        <v>BAGS</v>
      </c>
      <c r="V19" t="str">
        <f t="shared" si="6"/>
        <v>WITHOUT EXTRA PROTECTCARE INDICATION</v>
      </c>
      <c r="W19" t="str">
        <f t="shared" si="7"/>
        <v>15</v>
      </c>
      <c r="X19" s="27">
        <f t="shared" si="8"/>
        <v>12.774800000000001</v>
      </c>
      <c r="Y19" s="27">
        <f t="shared" si="9"/>
        <v>10.866</v>
      </c>
      <c r="Z19" s="27">
        <f t="shared" si="10"/>
        <v>6.7743000000000002</v>
      </c>
      <c r="AA19" s="27">
        <f t="shared" si="11"/>
        <v>151.26679999999999</v>
      </c>
      <c r="AB19" s="27">
        <f t="shared" si="12"/>
        <v>127.18680000000001</v>
      </c>
      <c r="AC19" s="27">
        <f t="shared" si="13"/>
        <v>77.459400000000002</v>
      </c>
    </row>
    <row r="20" spans="1:29" ht="15" customHeight="1" x14ac:dyDescent="0.3">
      <c r="A20" s="22" t="s">
        <v>28</v>
      </c>
      <c r="B20" s="23" t="s">
        <v>8</v>
      </c>
      <c r="C20" s="23" t="s">
        <v>9</v>
      </c>
      <c r="D20" s="24" t="s">
        <v>20</v>
      </c>
      <c r="E20" s="24" t="s">
        <v>26</v>
      </c>
      <c r="F20" s="18">
        <v>1.2461</v>
      </c>
      <c r="G20" s="19">
        <v>7.7651000000000003</v>
      </c>
      <c r="H20" s="20">
        <v>2.2378</v>
      </c>
      <c r="I20" s="21">
        <v>20.960899999999999</v>
      </c>
      <c r="J20" s="20">
        <v>127.6666</v>
      </c>
      <c r="K20" s="20">
        <v>33.570999999999998</v>
      </c>
      <c r="M20" t="str">
        <f t="shared" si="0"/>
        <v>BABY CREMA CAMOMIL W 15 BAG</v>
      </c>
      <c r="N20" s="29" t="str">
        <f t="shared" si="1"/>
        <v xml:space="preserve"> VigaLife</v>
      </c>
      <c r="O20" t="str">
        <f t="shared" si="2"/>
        <v>BABY CREMA (VigaLife)</v>
      </c>
      <c r="P20" t="str">
        <f t="shared" si="4"/>
        <v xml:space="preserve"> VigaLife</v>
      </c>
      <c r="R20" t="str">
        <f t="shared" si="3"/>
        <v>BABY CREMA (VigaLife)</v>
      </c>
      <c r="T20" t="s">
        <v>27</v>
      </c>
      <c r="U20" t="str">
        <f t="shared" si="5"/>
        <v>BAGS</v>
      </c>
      <c r="V20" t="str">
        <f t="shared" si="6"/>
        <v>WITHOUT EXTRA PROTECTCARE INDICATION</v>
      </c>
      <c r="W20" t="str">
        <f t="shared" si="7"/>
        <v>15</v>
      </c>
      <c r="X20" s="27">
        <f t="shared" si="8"/>
        <v>20.055299999999999</v>
      </c>
      <c r="Y20" s="27">
        <f t="shared" si="9"/>
        <v>17.836099999999998</v>
      </c>
      <c r="Z20" s="27">
        <f t="shared" si="10"/>
        <v>11.187099999999999</v>
      </c>
      <c r="AA20" s="27">
        <f t="shared" si="11"/>
        <v>231.08779999999999</v>
      </c>
      <c r="AB20" s="27">
        <f t="shared" si="12"/>
        <v>217.71180000000001</v>
      </c>
      <c r="AC20" s="27">
        <f t="shared" si="13"/>
        <v>141.00800000000001</v>
      </c>
    </row>
    <row r="21" spans="1:29" ht="15" customHeight="1" x14ac:dyDescent="0.3">
      <c r="A21" s="22" t="s">
        <v>29</v>
      </c>
      <c r="B21" s="23" t="s">
        <v>8</v>
      </c>
      <c r="C21" s="23" t="s">
        <v>9</v>
      </c>
      <c r="D21" s="24" t="s">
        <v>30</v>
      </c>
      <c r="E21" s="24" t="s">
        <v>26</v>
      </c>
      <c r="F21" s="18">
        <v>9.6471999999999998</v>
      </c>
      <c r="G21" s="19">
        <v>10.7577</v>
      </c>
      <c r="H21" s="20">
        <v>7.0723000000000003</v>
      </c>
      <c r="I21" s="21">
        <v>112.20610000000001</v>
      </c>
      <c r="J21" s="20">
        <v>131.05279999999999</v>
      </c>
      <c r="K21" s="20">
        <v>85.719800000000006</v>
      </c>
      <c r="M21" t="str">
        <f t="shared" si="0"/>
        <v>BABY CREMA PH5.5 W 3X15/1FR BAG &amp;&amp;&amp;</v>
      </c>
      <c r="N21" s="29" t="str">
        <f t="shared" si="1"/>
        <v xml:space="preserve"> VigaLife</v>
      </c>
      <c r="O21" t="str">
        <f t="shared" si="2"/>
        <v>BABY CREMA (VigaLife)</v>
      </c>
      <c r="P21" t="str">
        <f t="shared" si="4"/>
        <v xml:space="preserve"> VigaLife</v>
      </c>
      <c r="R21" t="str">
        <f t="shared" si="3"/>
        <v>BABY CREMA (VigaLife)</v>
      </c>
      <c r="T21" t="s">
        <v>28</v>
      </c>
      <c r="U21" t="str">
        <f t="shared" si="5"/>
        <v>BAGS</v>
      </c>
      <c r="V21" t="str">
        <f t="shared" si="6"/>
        <v>PH BALANCED</v>
      </c>
      <c r="W21" t="str">
        <f t="shared" si="7"/>
        <v>15</v>
      </c>
      <c r="X21" s="27">
        <f t="shared" si="8"/>
        <v>1.2461</v>
      </c>
      <c r="Y21" s="27">
        <f t="shared" si="9"/>
        <v>7.7651000000000003</v>
      </c>
      <c r="Z21" s="27">
        <f t="shared" si="10"/>
        <v>2.2378</v>
      </c>
      <c r="AA21" s="27">
        <f t="shared" si="11"/>
        <v>20.960899999999999</v>
      </c>
      <c r="AB21" s="27">
        <f t="shared" si="12"/>
        <v>127.6666</v>
      </c>
      <c r="AC21" s="27">
        <f t="shared" si="13"/>
        <v>33.570999999999998</v>
      </c>
    </row>
    <row r="22" spans="1:29" ht="15" customHeight="1" x14ac:dyDescent="0.3">
      <c r="A22" s="22" t="s">
        <v>31</v>
      </c>
      <c r="B22" s="23" t="s">
        <v>8</v>
      </c>
      <c r="C22" s="23" t="s">
        <v>9</v>
      </c>
      <c r="D22" s="24" t="s">
        <v>10</v>
      </c>
      <c r="E22" s="24" t="s">
        <v>32</v>
      </c>
      <c r="F22" s="18">
        <v>0.1235</v>
      </c>
      <c r="G22" s="19"/>
      <c r="H22" s="20"/>
      <c r="I22" s="21">
        <v>2.2799999999999998</v>
      </c>
      <c r="J22" s="20"/>
      <c r="K22" s="20"/>
      <c r="M22" t="str">
        <f t="shared" si="0"/>
        <v>BABY CREMA WATER 99% W 15 BAG</v>
      </c>
      <c r="N22" s="29" t="str">
        <f t="shared" si="1"/>
        <v xml:space="preserve"> VigaLife</v>
      </c>
      <c r="O22" t="str">
        <f t="shared" si="2"/>
        <v>BABY CREMA (VigaLife)</v>
      </c>
      <c r="P22" t="str">
        <f t="shared" si="4"/>
        <v xml:space="preserve"> VigaLife</v>
      </c>
      <c r="R22" t="str">
        <f t="shared" si="3"/>
        <v>BABY CREMA (VigaLife)</v>
      </c>
      <c r="T22" t="s">
        <v>29</v>
      </c>
      <c r="U22" t="str">
        <f t="shared" si="5"/>
        <v>BAGS</v>
      </c>
      <c r="V22" t="str">
        <f t="shared" si="6"/>
        <v>ALCOHOL FREE</v>
      </c>
      <c r="W22" t="str">
        <f t="shared" si="7"/>
        <v>15</v>
      </c>
      <c r="X22" s="27">
        <f t="shared" si="8"/>
        <v>9.6471999999999998</v>
      </c>
      <c r="Y22" s="27">
        <f t="shared" si="9"/>
        <v>10.7577</v>
      </c>
      <c r="Z22" s="27">
        <f t="shared" si="10"/>
        <v>7.0723000000000003</v>
      </c>
      <c r="AA22" s="27">
        <f t="shared" si="11"/>
        <v>112.20610000000001</v>
      </c>
      <c r="AB22" s="27">
        <f t="shared" si="12"/>
        <v>131.05279999999999</v>
      </c>
      <c r="AC22" s="27">
        <f t="shared" si="13"/>
        <v>85.719800000000006</v>
      </c>
    </row>
    <row r="23" spans="1:29" ht="15" customHeight="1" x14ac:dyDescent="0.3">
      <c r="A23" s="22" t="s">
        <v>33</v>
      </c>
      <c r="B23" s="23" t="s">
        <v>8</v>
      </c>
      <c r="C23" s="23" t="s">
        <v>9</v>
      </c>
      <c r="D23" s="24" t="s">
        <v>20</v>
      </c>
      <c r="E23" s="24" t="s">
        <v>34</v>
      </c>
      <c r="F23" s="18"/>
      <c r="G23" s="19"/>
      <c r="H23" s="20">
        <v>7.1128</v>
      </c>
      <c r="I23" s="21"/>
      <c r="J23" s="20"/>
      <c r="K23" s="20">
        <v>247.09899999999999</v>
      </c>
      <c r="M23" t="str">
        <f t="shared" si="0"/>
        <v>BABY CREMA CAMOMIL W 40 BAG</v>
      </c>
      <c r="N23" s="29" t="str">
        <f t="shared" si="1"/>
        <v xml:space="preserve"> VigaLife</v>
      </c>
      <c r="O23" t="str">
        <f t="shared" si="2"/>
        <v>BABY CREMA (VigaLife)</v>
      </c>
      <c r="P23" t="str">
        <f t="shared" si="4"/>
        <v xml:space="preserve"> VigaLife</v>
      </c>
      <c r="R23" t="str">
        <f t="shared" si="3"/>
        <v>BABY CREMA (VigaLife)</v>
      </c>
      <c r="T23" t="s">
        <v>31</v>
      </c>
      <c r="U23" t="str">
        <f t="shared" si="5"/>
        <v>BAGS</v>
      </c>
      <c r="V23" t="str">
        <f t="shared" si="6"/>
        <v>WITHOUT EXTRA PROTECTCARE INDICATION</v>
      </c>
      <c r="W23" t="str">
        <f t="shared" si="7"/>
        <v>40</v>
      </c>
      <c r="X23" s="27">
        <f t="shared" si="8"/>
        <v>0.1235</v>
      </c>
      <c r="Y23" s="27">
        <f t="shared" si="9"/>
        <v>0</v>
      </c>
      <c r="Z23" s="27">
        <f t="shared" si="10"/>
        <v>0</v>
      </c>
      <c r="AA23" s="27">
        <f t="shared" si="11"/>
        <v>2.2799999999999998</v>
      </c>
      <c r="AB23" s="27">
        <f t="shared" si="12"/>
        <v>0</v>
      </c>
      <c r="AC23" s="27">
        <f t="shared" si="13"/>
        <v>0</v>
      </c>
    </row>
    <row r="24" spans="1:29" ht="15" customHeight="1" x14ac:dyDescent="0.3">
      <c r="A24" s="22" t="s">
        <v>35</v>
      </c>
      <c r="B24" s="23" t="s">
        <v>8</v>
      </c>
      <c r="C24" s="23" t="s">
        <v>9</v>
      </c>
      <c r="D24" s="24" t="s">
        <v>20</v>
      </c>
      <c r="E24" s="24" t="s">
        <v>34</v>
      </c>
      <c r="F24" s="18">
        <v>0.18310000000000001</v>
      </c>
      <c r="G24" s="19">
        <v>0.1116</v>
      </c>
      <c r="H24" s="20">
        <v>0.38700000000000001</v>
      </c>
      <c r="I24" s="21">
        <v>5.8884999999999996</v>
      </c>
      <c r="J24" s="20">
        <v>3.7909999999999999</v>
      </c>
      <c r="K24" s="20">
        <v>14.3827</v>
      </c>
      <c r="M24" t="str">
        <f t="shared" si="0"/>
        <v>BABY CREMA COTTON&amp;PANTENOL W 4X56 BAG</v>
      </c>
      <c r="N24" s="29" t="str">
        <f t="shared" si="1"/>
        <v xml:space="preserve"> VigaLife</v>
      </c>
      <c r="O24" t="str">
        <f t="shared" si="2"/>
        <v>BABY CREMA (VigaLife)</v>
      </c>
      <c r="P24" t="str">
        <f t="shared" si="4"/>
        <v xml:space="preserve"> VigaLife</v>
      </c>
      <c r="R24" t="str">
        <f t="shared" si="3"/>
        <v>BABY CREMA (VigaLife)</v>
      </c>
      <c r="T24" t="s">
        <v>33</v>
      </c>
      <c r="U24" t="str">
        <f t="shared" si="5"/>
        <v>BAGS</v>
      </c>
      <c r="V24" t="str">
        <f t="shared" si="6"/>
        <v>PH BALANCED</v>
      </c>
      <c r="W24" t="str">
        <f t="shared" si="7"/>
        <v>56</v>
      </c>
      <c r="X24" s="27">
        <f t="shared" si="8"/>
        <v>0</v>
      </c>
      <c r="Y24" s="27">
        <f t="shared" si="9"/>
        <v>0</v>
      </c>
      <c r="Z24" s="27">
        <f t="shared" si="10"/>
        <v>7.1128</v>
      </c>
      <c r="AA24" s="27">
        <f t="shared" si="11"/>
        <v>0</v>
      </c>
      <c r="AB24" s="27">
        <f t="shared" si="12"/>
        <v>0</v>
      </c>
      <c r="AC24" s="27">
        <f t="shared" si="13"/>
        <v>247.09899999999999</v>
      </c>
    </row>
    <row r="25" spans="1:29" ht="15" customHeight="1" x14ac:dyDescent="0.3">
      <c r="A25" s="22" t="s">
        <v>36</v>
      </c>
      <c r="B25" s="23" t="s">
        <v>8</v>
      </c>
      <c r="C25" s="23" t="s">
        <v>9</v>
      </c>
      <c r="D25" s="24" t="s">
        <v>10</v>
      </c>
      <c r="E25" s="24" t="s">
        <v>37</v>
      </c>
      <c r="F25" s="18">
        <v>1.8938999999999999</v>
      </c>
      <c r="G25" s="19"/>
      <c r="H25" s="20">
        <v>0.22520000000000001</v>
      </c>
      <c r="I25" s="21">
        <v>49.9726</v>
      </c>
      <c r="J25" s="20"/>
      <c r="K25" s="20">
        <v>6.9500999999999999</v>
      </c>
      <c r="M25" t="str">
        <f t="shared" si="0"/>
        <v>BABY CREMA COTTON&amp;PANTENOL W 56 BAG</v>
      </c>
      <c r="N25" s="29" t="str">
        <f t="shared" si="1"/>
        <v xml:space="preserve"> VigaLife</v>
      </c>
      <c r="O25" t="str">
        <f t="shared" si="2"/>
        <v>BABY CREMA (VigaLife)</v>
      </c>
      <c r="P25" t="str">
        <f t="shared" si="4"/>
        <v xml:space="preserve"> VigaLife</v>
      </c>
      <c r="R25" t="str">
        <f t="shared" si="3"/>
        <v>BABY CREMA (VigaLife)</v>
      </c>
      <c r="T25" t="s">
        <v>35</v>
      </c>
      <c r="U25" t="str">
        <f t="shared" si="5"/>
        <v>BAGS</v>
      </c>
      <c r="V25" t="str">
        <f t="shared" si="6"/>
        <v>PH BALANCED</v>
      </c>
      <c r="W25" t="str">
        <f t="shared" si="7"/>
        <v>56</v>
      </c>
      <c r="X25" s="27">
        <f t="shared" si="8"/>
        <v>0.18310000000000001</v>
      </c>
      <c r="Y25" s="27">
        <f t="shared" si="9"/>
        <v>0.1116</v>
      </c>
      <c r="Z25" s="27">
        <f t="shared" si="10"/>
        <v>0.38700000000000001</v>
      </c>
      <c r="AA25" s="27">
        <f t="shared" si="11"/>
        <v>5.8884999999999996</v>
      </c>
      <c r="AB25" s="27">
        <f t="shared" si="12"/>
        <v>3.7909999999999999</v>
      </c>
      <c r="AC25" s="27">
        <f t="shared" si="13"/>
        <v>14.3827</v>
      </c>
    </row>
    <row r="26" spans="1:29" ht="15" customHeight="1" x14ac:dyDescent="0.3">
      <c r="A26" s="22" t="s">
        <v>38</v>
      </c>
      <c r="B26" s="23" t="s">
        <v>8</v>
      </c>
      <c r="C26" s="23" t="s">
        <v>9</v>
      </c>
      <c r="D26" s="24" t="s">
        <v>10</v>
      </c>
      <c r="E26" s="24" t="s">
        <v>37</v>
      </c>
      <c r="F26" s="18">
        <v>1.3514999999999999</v>
      </c>
      <c r="G26" s="19">
        <v>1.6999999999999999E-3</v>
      </c>
      <c r="H26" s="20"/>
      <c r="I26" s="21">
        <v>37.322600000000001</v>
      </c>
      <c r="J26" s="20">
        <v>6.4000000000000001E-2</v>
      </c>
      <c r="K26" s="20"/>
      <c r="M26" t="str">
        <f t="shared" si="0"/>
        <v>BABY CREMA ALOE 64 BAG</v>
      </c>
      <c r="N26" s="29" t="str">
        <f t="shared" si="1"/>
        <v xml:space="preserve"> VigaLife</v>
      </c>
      <c r="O26" t="str">
        <f t="shared" si="2"/>
        <v>BABY CREMA (VigaLife)</v>
      </c>
      <c r="P26" t="str">
        <f t="shared" si="4"/>
        <v xml:space="preserve"> VigaLife</v>
      </c>
      <c r="R26" t="str">
        <f t="shared" si="3"/>
        <v>BABY CREMA (VigaLife)</v>
      </c>
      <c r="T26" t="s">
        <v>36</v>
      </c>
      <c r="U26" t="str">
        <f t="shared" si="5"/>
        <v>BAGS</v>
      </c>
      <c r="V26" t="str">
        <f t="shared" si="6"/>
        <v>WITHOUT EXTRA PROTECTCARE INDICATION</v>
      </c>
      <c r="W26" t="str">
        <f t="shared" si="7"/>
        <v>64</v>
      </c>
      <c r="X26" s="27">
        <f t="shared" si="8"/>
        <v>1.8938999999999999</v>
      </c>
      <c r="Y26" s="27">
        <f t="shared" si="9"/>
        <v>0</v>
      </c>
      <c r="Z26" s="27">
        <f t="shared" si="10"/>
        <v>0.22520000000000001</v>
      </c>
      <c r="AA26" s="27">
        <f t="shared" si="11"/>
        <v>49.9726</v>
      </c>
      <c r="AB26" s="27">
        <f t="shared" si="12"/>
        <v>0</v>
      </c>
      <c r="AC26" s="27">
        <f t="shared" si="13"/>
        <v>6.9500999999999999</v>
      </c>
    </row>
    <row r="27" spans="1:29" ht="15" customHeight="1" x14ac:dyDescent="0.3">
      <c r="A27" s="22" t="s">
        <v>39</v>
      </c>
      <c r="B27" s="23" t="s">
        <v>8</v>
      </c>
      <c r="C27" s="23" t="s">
        <v>9</v>
      </c>
      <c r="D27" s="24" t="s">
        <v>20</v>
      </c>
      <c r="E27" s="24" t="s">
        <v>37</v>
      </c>
      <c r="F27" s="18">
        <v>5.8978000000000002</v>
      </c>
      <c r="G27" s="19">
        <v>0.1087</v>
      </c>
      <c r="H27" s="20"/>
      <c r="I27" s="21">
        <v>169.58080000000001</v>
      </c>
      <c r="J27" s="20">
        <v>3.3822999999999999</v>
      </c>
      <c r="K27" s="20"/>
      <c r="M27" t="str">
        <f t="shared" si="0"/>
        <v>BABY CREMA CAMOMIL W 64 BAG</v>
      </c>
      <c r="N27" s="29" t="str">
        <f t="shared" si="1"/>
        <v xml:space="preserve"> VigaLife</v>
      </c>
      <c r="O27" t="str">
        <f t="shared" si="2"/>
        <v>BABY CREMA (VigaLife)</v>
      </c>
      <c r="P27" t="str">
        <f t="shared" si="4"/>
        <v xml:space="preserve"> VigaLife</v>
      </c>
      <c r="R27" t="str">
        <f t="shared" si="3"/>
        <v>BABY CREMA (VigaLife)</v>
      </c>
      <c r="T27" t="s">
        <v>38</v>
      </c>
      <c r="U27" t="str">
        <f t="shared" si="5"/>
        <v>BAGS</v>
      </c>
      <c r="V27" t="str">
        <f t="shared" si="6"/>
        <v>WITHOUT EXTRA PROTECTCARE INDICATION</v>
      </c>
      <c r="W27" t="str">
        <f t="shared" si="7"/>
        <v>64</v>
      </c>
      <c r="X27" s="27">
        <f t="shared" si="8"/>
        <v>1.3514999999999999</v>
      </c>
      <c r="Y27" s="27">
        <f t="shared" si="9"/>
        <v>1.6999999999999999E-3</v>
      </c>
      <c r="Z27" s="27">
        <f t="shared" si="10"/>
        <v>0</v>
      </c>
      <c r="AA27" s="27">
        <f t="shared" si="11"/>
        <v>37.322600000000001</v>
      </c>
      <c r="AB27" s="27">
        <f t="shared" si="12"/>
        <v>6.4000000000000001E-2</v>
      </c>
      <c r="AC27" s="27">
        <f t="shared" si="13"/>
        <v>0</v>
      </c>
    </row>
    <row r="28" spans="1:29" ht="15" customHeight="1" x14ac:dyDescent="0.3">
      <c r="A28" s="22" t="s">
        <v>40</v>
      </c>
      <c r="B28" s="23" t="s">
        <v>8</v>
      </c>
      <c r="C28" s="23" t="s">
        <v>9</v>
      </c>
      <c r="D28" s="24" t="s">
        <v>30</v>
      </c>
      <c r="E28" s="24" t="s">
        <v>37</v>
      </c>
      <c r="F28" s="18">
        <v>0.69669999999999999</v>
      </c>
      <c r="G28" s="19">
        <v>28.392900000000001</v>
      </c>
      <c r="H28" s="20">
        <v>2.1978</v>
      </c>
      <c r="I28" s="21">
        <v>25.606300000000001</v>
      </c>
      <c r="J28" s="20">
        <v>1226.3661999999999</v>
      </c>
      <c r="K28" s="20">
        <v>96.438800000000001</v>
      </c>
      <c r="M28" t="str">
        <f t="shared" si="0"/>
        <v>BABY CREMA PLAY TIME CAMOMIL W 64 BAG</v>
      </c>
      <c r="N28" s="29" t="str">
        <f t="shared" si="1"/>
        <v xml:space="preserve"> VigaLife</v>
      </c>
      <c r="O28" t="str">
        <f t="shared" si="2"/>
        <v>BABY CREMA (VigaLife)</v>
      </c>
      <c r="P28" t="str">
        <f t="shared" si="4"/>
        <v xml:space="preserve"> VigaLife</v>
      </c>
      <c r="R28" t="str">
        <f t="shared" si="3"/>
        <v>BABY CREMA (VigaLife)</v>
      </c>
      <c r="T28" t="s">
        <v>39</v>
      </c>
      <c r="U28" t="str">
        <f t="shared" si="5"/>
        <v>BAGS</v>
      </c>
      <c r="V28" t="str">
        <f t="shared" si="6"/>
        <v>PH BALANCED</v>
      </c>
      <c r="W28" t="str">
        <f t="shared" si="7"/>
        <v>64</v>
      </c>
      <c r="X28" s="27">
        <f t="shared" si="8"/>
        <v>5.8978000000000002</v>
      </c>
      <c r="Y28" s="27">
        <f t="shared" si="9"/>
        <v>0.1087</v>
      </c>
      <c r="Z28" s="27">
        <f t="shared" si="10"/>
        <v>0</v>
      </c>
      <c r="AA28" s="27">
        <f t="shared" si="11"/>
        <v>169.58080000000001</v>
      </c>
      <c r="AB28" s="27">
        <f t="shared" si="12"/>
        <v>3.3822999999999999</v>
      </c>
      <c r="AC28" s="27">
        <f t="shared" si="13"/>
        <v>0</v>
      </c>
    </row>
    <row r="29" spans="1:29" ht="15" customHeight="1" x14ac:dyDescent="0.3">
      <c r="A29" s="22" t="s">
        <v>41</v>
      </c>
      <c r="B29" s="23" t="s">
        <v>8</v>
      </c>
      <c r="C29" s="23" t="s">
        <v>9</v>
      </c>
      <c r="D29" s="24" t="s">
        <v>10</v>
      </c>
      <c r="E29" s="24" t="s">
        <v>42</v>
      </c>
      <c r="F29" s="18">
        <v>117.6534</v>
      </c>
      <c r="G29" s="19">
        <v>68.117699999999999</v>
      </c>
      <c r="H29" s="20">
        <v>28.349900000000002</v>
      </c>
      <c r="I29" s="21">
        <v>3055.9405999999999</v>
      </c>
      <c r="J29" s="20">
        <v>1781.8513</v>
      </c>
      <c r="K29" s="20">
        <v>711.07719999999995</v>
      </c>
      <c r="M29" t="str">
        <f t="shared" si="0"/>
        <v>BABYCREMA CAMOMIL W 4X64 BAG SUPERTSENA</v>
      </c>
      <c r="N29" s="29" t="str">
        <f t="shared" si="1"/>
        <v xml:space="preserve"> VigaLife</v>
      </c>
      <c r="O29" t="str">
        <f t="shared" si="2"/>
        <v>BABY CREMA (VigaLife)</v>
      </c>
      <c r="P29" t="str">
        <f t="shared" si="4"/>
        <v xml:space="preserve"> VigaLife</v>
      </c>
      <c r="R29" t="str">
        <f t="shared" si="3"/>
        <v>BABY CREMA (VigaLife)</v>
      </c>
      <c r="T29" t="s">
        <v>40</v>
      </c>
      <c r="U29" t="str">
        <f t="shared" si="5"/>
        <v>BAGS</v>
      </c>
      <c r="V29" t="str">
        <f t="shared" si="6"/>
        <v>ALCOHOL FREE</v>
      </c>
      <c r="W29" t="str">
        <f t="shared" si="7"/>
        <v>64</v>
      </c>
      <c r="X29" s="27">
        <f t="shared" si="8"/>
        <v>0.69669999999999999</v>
      </c>
      <c r="Y29" s="27">
        <f t="shared" si="9"/>
        <v>28.392900000000001</v>
      </c>
      <c r="Z29" s="27">
        <f t="shared" si="10"/>
        <v>2.1978</v>
      </c>
      <c r="AA29" s="27">
        <f t="shared" si="11"/>
        <v>25.606300000000001</v>
      </c>
      <c r="AB29" s="27">
        <f t="shared" si="12"/>
        <v>1226.3661999999999</v>
      </c>
      <c r="AC29" s="27">
        <f t="shared" si="13"/>
        <v>96.438800000000001</v>
      </c>
    </row>
    <row r="30" spans="1:29" ht="15" customHeight="1" x14ac:dyDescent="0.3">
      <c r="A30" s="22" t="s">
        <v>43</v>
      </c>
      <c r="B30" s="23" t="s">
        <v>8</v>
      </c>
      <c r="C30" s="23" t="s">
        <v>9</v>
      </c>
      <c r="D30" s="24" t="s">
        <v>10</v>
      </c>
      <c r="E30" s="24" t="s">
        <v>42</v>
      </c>
      <c r="F30" s="18">
        <v>38.677799999999998</v>
      </c>
      <c r="G30" s="19">
        <v>31.4983</v>
      </c>
      <c r="H30" s="20">
        <v>9.7551000000000005</v>
      </c>
      <c r="I30" s="21">
        <v>954.11220000000003</v>
      </c>
      <c r="J30" s="20">
        <v>803.28520000000003</v>
      </c>
      <c r="K30" s="20">
        <v>236.19829999999999</v>
      </c>
      <c r="M30" t="str">
        <f t="shared" si="0"/>
        <v>BABY CREMA ALOE&amp;ALMOND OIL W 72 BAG</v>
      </c>
      <c r="N30" s="29" t="str">
        <f t="shared" si="1"/>
        <v xml:space="preserve"> VigaLife</v>
      </c>
      <c r="O30" t="str">
        <f t="shared" si="2"/>
        <v>BABY CREMA (VigaLife)</v>
      </c>
      <c r="P30" t="str">
        <f t="shared" si="4"/>
        <v xml:space="preserve"> VigaLife</v>
      </c>
      <c r="R30" t="str">
        <f t="shared" si="3"/>
        <v>BABY CREMA (VigaLife)</v>
      </c>
      <c r="T30" t="s">
        <v>41</v>
      </c>
      <c r="U30" t="str">
        <f t="shared" si="5"/>
        <v>BAGS</v>
      </c>
      <c r="V30" t="str">
        <f t="shared" si="6"/>
        <v>WITHOUT EXTRA PROTECTCARE INDICATION</v>
      </c>
      <c r="W30" t="str">
        <f t="shared" si="7"/>
        <v>72</v>
      </c>
      <c r="X30" s="27">
        <f t="shared" si="8"/>
        <v>117.6534</v>
      </c>
      <c r="Y30" s="27">
        <f t="shared" si="9"/>
        <v>68.117699999999999</v>
      </c>
      <c r="Z30" s="27">
        <f t="shared" si="10"/>
        <v>28.349900000000002</v>
      </c>
      <c r="AA30" s="27">
        <f t="shared" si="11"/>
        <v>3055.9405999999999</v>
      </c>
      <c r="AB30" s="27">
        <f t="shared" si="12"/>
        <v>1781.8513</v>
      </c>
      <c r="AC30" s="27">
        <f t="shared" si="13"/>
        <v>711.07719999999995</v>
      </c>
    </row>
    <row r="31" spans="1:29" ht="15" customHeight="1" x14ac:dyDescent="0.3">
      <c r="A31" s="22" t="s">
        <v>44</v>
      </c>
      <c r="B31" s="23" t="s">
        <v>8</v>
      </c>
      <c r="C31" s="23" t="s">
        <v>9</v>
      </c>
      <c r="D31" s="24" t="s">
        <v>20</v>
      </c>
      <c r="E31" s="24" t="s">
        <v>42</v>
      </c>
      <c r="F31" s="18">
        <v>6.1199999999999997E-2</v>
      </c>
      <c r="G31" s="19"/>
      <c r="H31" s="20"/>
      <c r="I31" s="21">
        <v>1.6046</v>
      </c>
      <c r="J31" s="20"/>
      <c r="K31" s="20"/>
      <c r="M31" t="str">
        <f t="shared" si="0"/>
        <v>BABY CREMA CAMOMIL&amp;ALMOND W 72 BAG</v>
      </c>
      <c r="N31" s="29" t="str">
        <f t="shared" si="1"/>
        <v xml:space="preserve"> VigaLife</v>
      </c>
      <c r="O31" t="str">
        <f t="shared" si="2"/>
        <v>BABY CREMA (VigaLife)</v>
      </c>
      <c r="P31" t="str">
        <f t="shared" si="4"/>
        <v xml:space="preserve"> VigaLife</v>
      </c>
      <c r="R31" t="str">
        <f t="shared" si="3"/>
        <v>BABY CREMA (VigaLife)</v>
      </c>
      <c r="T31" t="s">
        <v>43</v>
      </c>
      <c r="U31" t="str">
        <f t="shared" si="5"/>
        <v>BAGS</v>
      </c>
      <c r="V31" t="str">
        <f t="shared" si="6"/>
        <v>WITHOUT EXTRA PROTECTCARE INDICATION</v>
      </c>
      <c r="W31" t="str">
        <f t="shared" si="7"/>
        <v>72</v>
      </c>
      <c r="X31" s="27">
        <f t="shared" si="8"/>
        <v>38.677799999999998</v>
      </c>
      <c r="Y31" s="27">
        <f t="shared" si="9"/>
        <v>31.4983</v>
      </c>
      <c r="Z31" s="27">
        <f t="shared" si="10"/>
        <v>9.7551000000000005</v>
      </c>
      <c r="AA31" s="27">
        <f t="shared" si="11"/>
        <v>954.11220000000003</v>
      </c>
      <c r="AB31" s="27">
        <f t="shared" si="12"/>
        <v>803.28520000000003</v>
      </c>
      <c r="AC31" s="27">
        <f t="shared" si="13"/>
        <v>236.19829999999999</v>
      </c>
    </row>
    <row r="32" spans="1:29" ht="15" customHeight="1" x14ac:dyDescent="0.3">
      <c r="A32" s="22" t="s">
        <v>45</v>
      </c>
      <c r="B32" s="23" t="s">
        <v>8</v>
      </c>
      <c r="C32" s="23" t="s">
        <v>9</v>
      </c>
      <c r="D32" s="24" t="s">
        <v>20</v>
      </c>
      <c r="E32" s="24" t="s">
        <v>42</v>
      </c>
      <c r="F32" s="18">
        <v>36.521799999999999</v>
      </c>
      <c r="G32" s="19">
        <v>5.1192000000000002</v>
      </c>
      <c r="H32" s="20">
        <v>1.1213</v>
      </c>
      <c r="I32" s="21">
        <v>1199.5277000000001</v>
      </c>
      <c r="J32" s="20">
        <v>135.36869999999999</v>
      </c>
      <c r="K32" s="20">
        <v>30.554400000000001</v>
      </c>
      <c r="M32" t="str">
        <f t="shared" si="0"/>
        <v>BABY CREMA COTTON W 2X72BAG50%OT TS.VTOR</v>
      </c>
      <c r="N32" s="29" t="str">
        <f t="shared" si="1"/>
        <v xml:space="preserve"> VigaLife</v>
      </c>
      <c r="O32" t="str">
        <f t="shared" si="2"/>
        <v>BABY CREMA (VigaLife)</v>
      </c>
      <c r="P32" t="str">
        <f t="shared" si="4"/>
        <v xml:space="preserve"> VigaLife</v>
      </c>
      <c r="R32" t="str">
        <f t="shared" si="3"/>
        <v>BABY CREMA (VigaLife)</v>
      </c>
      <c r="T32" t="s">
        <v>44</v>
      </c>
      <c r="U32" t="str">
        <f t="shared" si="5"/>
        <v>BAGS</v>
      </c>
      <c r="V32" t="str">
        <f t="shared" si="6"/>
        <v>PH BALANCED</v>
      </c>
      <c r="W32" t="str">
        <f t="shared" si="7"/>
        <v>72</v>
      </c>
      <c r="X32" s="27">
        <f t="shared" si="8"/>
        <v>6.1199999999999997E-2</v>
      </c>
      <c r="Y32" s="27">
        <f t="shared" si="9"/>
        <v>0</v>
      </c>
      <c r="Z32" s="27">
        <f t="shared" si="10"/>
        <v>0</v>
      </c>
      <c r="AA32" s="27">
        <f t="shared" si="11"/>
        <v>1.6046</v>
      </c>
      <c r="AB32" s="27">
        <f t="shared" si="12"/>
        <v>0</v>
      </c>
      <c r="AC32" s="27">
        <f t="shared" si="13"/>
        <v>0</v>
      </c>
    </row>
    <row r="33" spans="1:29" ht="15" customHeight="1" x14ac:dyDescent="0.3">
      <c r="A33" s="22" t="s">
        <v>46</v>
      </c>
      <c r="B33" s="23" t="s">
        <v>8</v>
      </c>
      <c r="C33" s="23" t="s">
        <v>9</v>
      </c>
      <c r="D33" s="24" t="s">
        <v>20</v>
      </c>
      <c r="E33" s="24" t="s">
        <v>42</v>
      </c>
      <c r="F33" s="18">
        <v>21.958300000000001</v>
      </c>
      <c r="G33" s="19">
        <v>39.467100000000002</v>
      </c>
      <c r="H33" s="20">
        <v>10.7844</v>
      </c>
      <c r="I33" s="21">
        <v>726.31399999999996</v>
      </c>
      <c r="J33" s="20">
        <v>1508.4713999999999</v>
      </c>
      <c r="K33" s="20">
        <v>314.52640000000002</v>
      </c>
      <c r="M33" t="str">
        <f t="shared" si="0"/>
        <v>BABY CREMA COTTON&amp;PANTENOL W 72 BAG</v>
      </c>
      <c r="N33" s="29" t="str">
        <f t="shared" si="1"/>
        <v xml:space="preserve"> VigaLife</v>
      </c>
      <c r="O33" t="str">
        <f t="shared" si="2"/>
        <v>BABY CREMA (VigaLife)</v>
      </c>
      <c r="P33" t="str">
        <f t="shared" si="4"/>
        <v xml:space="preserve"> VigaLife</v>
      </c>
      <c r="R33" t="str">
        <f t="shared" si="3"/>
        <v>BABY CREMA (VigaLife)</v>
      </c>
      <c r="T33" t="s">
        <v>45</v>
      </c>
      <c r="U33" t="str">
        <f t="shared" si="5"/>
        <v>BAGS</v>
      </c>
      <c r="V33" t="str">
        <f t="shared" si="6"/>
        <v>PH BALANCED</v>
      </c>
      <c r="W33" t="str">
        <f t="shared" si="7"/>
        <v>72</v>
      </c>
      <c r="X33" s="27">
        <f t="shared" si="8"/>
        <v>36.521799999999999</v>
      </c>
      <c r="Y33" s="27">
        <f t="shared" si="9"/>
        <v>5.1192000000000002</v>
      </c>
      <c r="Z33" s="27">
        <f t="shared" si="10"/>
        <v>1.1213</v>
      </c>
      <c r="AA33" s="27">
        <f t="shared" si="11"/>
        <v>1199.5277000000001</v>
      </c>
      <c r="AB33" s="27">
        <f t="shared" si="12"/>
        <v>135.36869999999999</v>
      </c>
      <c r="AC33" s="27">
        <f t="shared" si="13"/>
        <v>30.554400000000001</v>
      </c>
    </row>
    <row r="34" spans="1:29" ht="15" customHeight="1" x14ac:dyDescent="0.3">
      <c r="A34" s="22" t="s">
        <v>47</v>
      </c>
      <c r="B34" s="23" t="s">
        <v>8</v>
      </c>
      <c r="C34" s="23" t="s">
        <v>9</v>
      </c>
      <c r="D34" s="24" t="s">
        <v>20</v>
      </c>
      <c r="E34" s="24" t="s">
        <v>42</v>
      </c>
      <c r="F34" s="18">
        <v>27.983599999999999</v>
      </c>
      <c r="G34" s="19">
        <v>162.41050000000001</v>
      </c>
      <c r="H34" s="20">
        <v>103.16800000000001</v>
      </c>
      <c r="I34" s="21">
        <v>928.81529999999998</v>
      </c>
      <c r="J34" s="20">
        <v>5484.9444999999996</v>
      </c>
      <c r="K34" s="20">
        <v>3446.0194999999999</v>
      </c>
      <c r="M34" t="str">
        <f t="shared" si="0"/>
        <v>BABY CREMA NEVEN PH5.5 W 72 BAG</v>
      </c>
      <c r="N34" s="29" t="str">
        <f t="shared" si="1"/>
        <v xml:space="preserve"> VigaLife</v>
      </c>
      <c r="O34" t="str">
        <f t="shared" si="2"/>
        <v>BABY CREMA (VigaLife)</v>
      </c>
      <c r="P34" t="str">
        <f t="shared" si="4"/>
        <v xml:space="preserve"> VigaLife</v>
      </c>
      <c r="R34" t="str">
        <f t="shared" si="3"/>
        <v>BABY CREMA (VigaLife)</v>
      </c>
      <c r="T34" t="s">
        <v>46</v>
      </c>
      <c r="U34" t="str">
        <f t="shared" si="5"/>
        <v>BAGS</v>
      </c>
      <c r="V34" t="str">
        <f t="shared" si="6"/>
        <v>PH BALANCED</v>
      </c>
      <c r="W34" t="str">
        <f t="shared" si="7"/>
        <v>72</v>
      </c>
      <c r="X34" s="27">
        <f t="shared" si="8"/>
        <v>21.958300000000001</v>
      </c>
      <c r="Y34" s="27">
        <f t="shared" si="9"/>
        <v>39.467100000000002</v>
      </c>
      <c r="Z34" s="27">
        <f t="shared" si="10"/>
        <v>10.7844</v>
      </c>
      <c r="AA34" s="27">
        <f t="shared" si="11"/>
        <v>726.31399999999996</v>
      </c>
      <c r="AB34" s="27">
        <f t="shared" si="12"/>
        <v>1508.4713999999999</v>
      </c>
      <c r="AC34" s="27">
        <f t="shared" si="13"/>
        <v>314.52640000000002</v>
      </c>
    </row>
    <row r="35" spans="1:29" ht="15" customHeight="1" x14ac:dyDescent="0.3">
      <c r="A35" s="22" t="s">
        <v>48</v>
      </c>
      <c r="B35" s="23" t="s">
        <v>8</v>
      </c>
      <c r="C35" s="23" t="s">
        <v>9</v>
      </c>
      <c r="D35" s="24" t="s">
        <v>10</v>
      </c>
      <c r="E35" s="24" t="s">
        <v>42</v>
      </c>
      <c r="F35" s="18">
        <v>221.17019999999999</v>
      </c>
      <c r="G35" s="19">
        <v>159.9896</v>
      </c>
      <c r="H35" s="20">
        <v>77.865600000000001</v>
      </c>
      <c r="I35" s="21">
        <v>6715.8593000000001</v>
      </c>
      <c r="J35" s="20">
        <v>4333.2687999999998</v>
      </c>
      <c r="K35" s="20">
        <v>2035.5381</v>
      </c>
      <c r="M35" t="str">
        <f t="shared" si="0"/>
        <v>BABY CREMA SMRADLIKA PH5.5 W 72 BAG</v>
      </c>
      <c r="N35" s="29" t="str">
        <f t="shared" si="1"/>
        <v xml:space="preserve"> VigaLife</v>
      </c>
      <c r="O35" t="str">
        <f t="shared" si="2"/>
        <v>BABY CREMA (VigaLife)</v>
      </c>
      <c r="P35" t="str">
        <f t="shared" si="4"/>
        <v xml:space="preserve"> VigaLife</v>
      </c>
      <c r="R35" t="str">
        <f t="shared" si="3"/>
        <v>BABY CREMA (VigaLife)</v>
      </c>
      <c r="T35" t="s">
        <v>47</v>
      </c>
      <c r="U35" t="str">
        <f t="shared" si="5"/>
        <v>BAGS</v>
      </c>
      <c r="V35" t="str">
        <f t="shared" si="6"/>
        <v>PH BALANCED</v>
      </c>
      <c r="W35" t="str">
        <f t="shared" si="7"/>
        <v>72</v>
      </c>
      <c r="X35" s="27">
        <f t="shared" si="8"/>
        <v>27.983599999999999</v>
      </c>
      <c r="Y35" s="27">
        <f t="shared" si="9"/>
        <v>162.41050000000001</v>
      </c>
      <c r="Z35" s="27">
        <f t="shared" si="10"/>
        <v>103.16800000000001</v>
      </c>
      <c r="AA35" s="27">
        <f t="shared" si="11"/>
        <v>928.81529999999998</v>
      </c>
      <c r="AB35" s="27">
        <f t="shared" si="12"/>
        <v>5484.9444999999996</v>
      </c>
      <c r="AC35" s="27">
        <f t="shared" si="13"/>
        <v>3446.0194999999999</v>
      </c>
    </row>
    <row r="36" spans="1:29" ht="15" customHeight="1" x14ac:dyDescent="0.3">
      <c r="A36" s="22" t="s">
        <v>49</v>
      </c>
      <c r="B36" s="23" t="s">
        <v>8</v>
      </c>
      <c r="C36" s="23" t="s">
        <v>9</v>
      </c>
      <c r="D36" s="24" t="s">
        <v>20</v>
      </c>
      <c r="E36" s="24" t="s">
        <v>42</v>
      </c>
      <c r="F36" s="18">
        <v>6.4486999999999997</v>
      </c>
      <c r="G36" s="19">
        <v>1.6863999999999999</v>
      </c>
      <c r="H36" s="20"/>
      <c r="I36" s="21">
        <v>194.65190000000001</v>
      </c>
      <c r="J36" s="20">
        <v>50.700299999999999</v>
      </c>
      <c r="K36" s="20"/>
      <c r="M36" t="str">
        <f t="shared" si="0"/>
        <v>BABY CREMA WATER 99% W 72 BAG</v>
      </c>
      <c r="N36" s="29" t="str">
        <f t="shared" si="1"/>
        <v xml:space="preserve"> VigaLife</v>
      </c>
      <c r="O36" t="str">
        <f t="shared" si="2"/>
        <v>BABY CREMA (VigaLife)</v>
      </c>
      <c r="P36" t="str">
        <f t="shared" si="4"/>
        <v xml:space="preserve"> VigaLife</v>
      </c>
      <c r="R36" t="str">
        <f t="shared" si="3"/>
        <v>BABY CREMA (VigaLife)</v>
      </c>
      <c r="T36" t="s">
        <v>48</v>
      </c>
      <c r="U36" t="str">
        <f t="shared" si="5"/>
        <v>BAGS</v>
      </c>
      <c r="V36" t="str">
        <f t="shared" si="6"/>
        <v>WITHOUT EXTRA PROTECTCARE INDICATION</v>
      </c>
      <c r="W36" t="str">
        <f t="shared" si="7"/>
        <v>72</v>
      </c>
      <c r="X36" s="27">
        <f t="shared" si="8"/>
        <v>221.17019999999999</v>
      </c>
      <c r="Y36" s="27">
        <f t="shared" si="9"/>
        <v>159.9896</v>
      </c>
      <c r="Z36" s="27">
        <f t="shared" si="10"/>
        <v>77.865600000000001</v>
      </c>
      <c r="AA36" s="27">
        <f t="shared" si="11"/>
        <v>6715.8593000000001</v>
      </c>
      <c r="AB36" s="27">
        <f t="shared" si="12"/>
        <v>4333.2687999999998</v>
      </c>
      <c r="AC36" s="27">
        <f t="shared" si="13"/>
        <v>2035.5381</v>
      </c>
    </row>
    <row r="37" spans="1:29" ht="15" customHeight="1" x14ac:dyDescent="0.3">
      <c r="A37" s="22" t="s">
        <v>50</v>
      </c>
      <c r="B37" s="23" t="s">
        <v>8</v>
      </c>
      <c r="C37" s="23" t="s">
        <v>9</v>
      </c>
      <c r="D37" s="24" t="s">
        <v>20</v>
      </c>
      <c r="E37" s="24" t="s">
        <v>42</v>
      </c>
      <c r="F37" s="18"/>
      <c r="G37" s="19"/>
      <c r="H37" s="20"/>
      <c r="I37" s="21"/>
      <c r="J37" s="20"/>
      <c r="K37" s="20"/>
      <c r="M37" t="str">
        <f t="shared" si="0"/>
        <v>BABYCREMA CAMOMILE W 2X72BAG50%OTTS.VTOR</v>
      </c>
      <c r="N37" s="29" t="str">
        <f t="shared" si="1"/>
        <v xml:space="preserve"> VigaLife</v>
      </c>
      <c r="O37" t="str">
        <f t="shared" si="2"/>
        <v>BABY CREMA (VigaLife)</v>
      </c>
      <c r="P37" t="str">
        <f t="shared" si="4"/>
        <v xml:space="preserve"> VigaLife</v>
      </c>
      <c r="R37" t="str">
        <f t="shared" si="3"/>
        <v>BABY CREMA (VigaLife)</v>
      </c>
      <c r="T37" t="s">
        <v>49</v>
      </c>
      <c r="U37" t="str">
        <f t="shared" si="5"/>
        <v>BAGS</v>
      </c>
      <c r="V37" t="str">
        <f t="shared" si="6"/>
        <v>PH BALANCED</v>
      </c>
      <c r="W37" t="str">
        <f t="shared" si="7"/>
        <v>72</v>
      </c>
      <c r="X37" s="27">
        <f t="shared" si="8"/>
        <v>6.4486999999999997</v>
      </c>
      <c r="Y37" s="27">
        <f t="shared" si="9"/>
        <v>1.6863999999999999</v>
      </c>
      <c r="Z37" s="27">
        <f t="shared" si="10"/>
        <v>0</v>
      </c>
      <c r="AA37" s="27">
        <f t="shared" si="11"/>
        <v>194.65190000000001</v>
      </c>
      <c r="AB37" s="27">
        <f t="shared" si="12"/>
        <v>50.700299999999999</v>
      </c>
      <c r="AC37" s="27">
        <f t="shared" si="13"/>
        <v>0</v>
      </c>
    </row>
    <row r="38" spans="1:29" ht="15" customHeight="1" x14ac:dyDescent="0.3">
      <c r="A38" s="22" t="s">
        <v>51</v>
      </c>
      <c r="B38" s="23" t="s">
        <v>8</v>
      </c>
      <c r="C38" s="23" t="s">
        <v>9</v>
      </c>
      <c r="D38" s="24" t="s">
        <v>20</v>
      </c>
      <c r="E38" s="24" t="s">
        <v>42</v>
      </c>
      <c r="F38" s="18">
        <v>1663.8369</v>
      </c>
      <c r="G38" s="19">
        <v>1815.6596999999999</v>
      </c>
      <c r="H38" s="20">
        <v>1049.2485999999999</v>
      </c>
      <c r="I38" s="21">
        <v>62012.672500000001</v>
      </c>
      <c r="J38" s="20">
        <v>68679.966</v>
      </c>
      <c r="K38" s="20">
        <v>37856.881999999998</v>
      </c>
      <c r="M38" t="str">
        <f t="shared" si="0"/>
        <v>BABYCREMA COTTON&amp;PANTENOL W 3X72/1FR BAG</v>
      </c>
      <c r="N38" s="29" t="str">
        <f t="shared" si="1"/>
        <v xml:space="preserve"> VigaLife</v>
      </c>
      <c r="O38" t="str">
        <f t="shared" si="2"/>
        <v>BABY CREMA (VigaLife)</v>
      </c>
      <c r="P38" t="str">
        <f t="shared" si="4"/>
        <v xml:space="preserve"> VigaLife</v>
      </c>
      <c r="R38" t="str">
        <f t="shared" si="3"/>
        <v>BABY CREMA (VigaLife)</v>
      </c>
      <c r="T38" t="s">
        <v>50</v>
      </c>
      <c r="U38" t="str">
        <f t="shared" si="5"/>
        <v>BAGS</v>
      </c>
      <c r="V38" t="str">
        <f t="shared" si="6"/>
        <v>PH BALANCED</v>
      </c>
      <c r="W38" t="str">
        <f t="shared" si="7"/>
        <v>72</v>
      </c>
      <c r="X38" s="27">
        <f t="shared" si="8"/>
        <v>0</v>
      </c>
      <c r="Y38" s="27">
        <f t="shared" si="9"/>
        <v>0</v>
      </c>
      <c r="Z38" s="27">
        <f t="shared" si="10"/>
        <v>0</v>
      </c>
      <c r="AA38" s="27">
        <f t="shared" si="11"/>
        <v>0</v>
      </c>
      <c r="AB38" s="27">
        <f t="shared" si="12"/>
        <v>0</v>
      </c>
      <c r="AC38" s="27">
        <f t="shared" si="13"/>
        <v>0</v>
      </c>
    </row>
    <row r="39" spans="1:29" ht="15" customHeight="1" x14ac:dyDescent="0.3">
      <c r="A39" s="22" t="s">
        <v>52</v>
      </c>
      <c r="B39" s="23" t="s">
        <v>8</v>
      </c>
      <c r="C39" s="23" t="s">
        <v>9</v>
      </c>
      <c r="D39" s="24" t="s">
        <v>10</v>
      </c>
      <c r="E39" s="24" t="s">
        <v>17</v>
      </c>
      <c r="F39" s="18">
        <v>1.7698</v>
      </c>
      <c r="G39" s="19">
        <v>0.36170000000000002</v>
      </c>
      <c r="H39" s="20">
        <v>0.20810000000000001</v>
      </c>
      <c r="I39" s="21">
        <v>50.220500000000001</v>
      </c>
      <c r="J39" s="20">
        <v>12.068099999999999</v>
      </c>
      <c r="K39" s="20">
        <v>5.4642999999999997</v>
      </c>
      <c r="M39" t="str">
        <f t="shared" si="0"/>
        <v>BABYCREMA PLAYTIME CAMOMIL W 72 BAG KAPA</v>
      </c>
      <c r="N39" s="29" t="str">
        <f t="shared" si="1"/>
        <v xml:space="preserve"> VigaLife</v>
      </c>
      <c r="O39" t="str">
        <f t="shared" si="2"/>
        <v>BABY CREMA (VigaLife)</v>
      </c>
      <c r="P39" t="str">
        <f t="shared" si="4"/>
        <v xml:space="preserve"> VigaLife</v>
      </c>
      <c r="R39" t="str">
        <f t="shared" si="3"/>
        <v>BABY CREMA (VigaLife)</v>
      </c>
      <c r="T39" t="s">
        <v>51</v>
      </c>
      <c r="U39" t="str">
        <f t="shared" si="5"/>
        <v>BAGS</v>
      </c>
      <c r="V39" t="str">
        <f t="shared" si="6"/>
        <v>PH BALANCED</v>
      </c>
      <c r="W39" t="str">
        <f t="shared" si="7"/>
        <v>72</v>
      </c>
      <c r="X39" s="27">
        <f t="shared" si="8"/>
        <v>1663.8369</v>
      </c>
      <c r="Y39" s="27">
        <f t="shared" si="9"/>
        <v>1815.6596999999999</v>
      </c>
      <c r="Z39" s="27">
        <f t="shared" si="10"/>
        <v>1049.2485999999999</v>
      </c>
      <c r="AA39" s="27">
        <f t="shared" si="11"/>
        <v>62012.672500000001</v>
      </c>
      <c r="AB39" s="27">
        <f t="shared" si="12"/>
        <v>68679.966</v>
      </c>
      <c r="AC39" s="27">
        <f t="shared" si="13"/>
        <v>37856.881999999998</v>
      </c>
    </row>
    <row r="40" spans="1:29" ht="15" customHeight="1" x14ac:dyDescent="0.3">
      <c r="A40" s="22" t="s">
        <v>53</v>
      </c>
      <c r="B40" s="23" t="s">
        <v>8</v>
      </c>
      <c r="C40" s="23" t="s">
        <v>9</v>
      </c>
      <c r="D40" s="24" t="s">
        <v>10</v>
      </c>
      <c r="E40" s="24" t="s">
        <v>17</v>
      </c>
      <c r="F40" s="18">
        <v>61.981900000000003</v>
      </c>
      <c r="G40" s="19">
        <v>56.970199999999998</v>
      </c>
      <c r="H40" s="20">
        <v>23.8948</v>
      </c>
      <c r="I40" s="21">
        <v>1524.2099000000001</v>
      </c>
      <c r="J40" s="20">
        <v>1404.4858999999999</v>
      </c>
      <c r="K40" s="20">
        <v>554.68420000000003</v>
      </c>
      <c r="M40" t="str">
        <f t="shared" si="0"/>
        <v>BABY CREMA ALOE W 80 BAG</v>
      </c>
      <c r="N40" s="29" t="str">
        <f t="shared" si="1"/>
        <v xml:space="preserve"> VigaLife</v>
      </c>
      <c r="O40" t="str">
        <f t="shared" si="2"/>
        <v>BABY CREMA (VigaLife)</v>
      </c>
      <c r="P40" t="str">
        <f t="shared" si="4"/>
        <v xml:space="preserve"> VigaLife</v>
      </c>
      <c r="R40" t="str">
        <f t="shared" si="3"/>
        <v>BABY CREMA (VigaLife)</v>
      </c>
      <c r="T40" t="s">
        <v>52</v>
      </c>
      <c r="U40" t="str">
        <f t="shared" si="5"/>
        <v>BAGS</v>
      </c>
      <c r="V40" t="str">
        <f t="shared" si="6"/>
        <v>WITHOUT EXTRA PROTECTCARE INDICATION</v>
      </c>
      <c r="W40" t="str">
        <f t="shared" si="7"/>
        <v>80</v>
      </c>
      <c r="X40" s="27">
        <f t="shared" si="8"/>
        <v>1.7698</v>
      </c>
      <c r="Y40" s="27">
        <f t="shared" si="9"/>
        <v>0.36170000000000002</v>
      </c>
      <c r="Z40" s="27">
        <f t="shared" si="10"/>
        <v>0.20810000000000001</v>
      </c>
      <c r="AA40" s="27">
        <f t="shared" si="11"/>
        <v>50.220500000000001</v>
      </c>
      <c r="AB40" s="27">
        <f t="shared" si="12"/>
        <v>12.068099999999999</v>
      </c>
      <c r="AC40" s="27">
        <f t="shared" si="13"/>
        <v>5.4642999999999997</v>
      </c>
    </row>
    <row r="41" spans="1:29" ht="14.25" customHeight="1" x14ac:dyDescent="0.3">
      <c r="A41" s="25" t="s">
        <v>715</v>
      </c>
      <c r="B41" s="4" t="s">
        <v>5</v>
      </c>
      <c r="C41" s="4"/>
      <c r="D41" s="5"/>
      <c r="E41" s="5"/>
      <c r="F41" s="10">
        <v>511.78089999999997</v>
      </c>
      <c r="G41" s="11">
        <v>507.3048</v>
      </c>
      <c r="H41" s="12">
        <v>295.71379999999999</v>
      </c>
      <c r="I41" s="13">
        <v>23199.701799999999</v>
      </c>
      <c r="J41" s="12">
        <v>21680.539100000002</v>
      </c>
      <c r="K41" s="12">
        <v>11434.4841</v>
      </c>
      <c r="M41" t="str">
        <f t="shared" si="0"/>
        <v>BABY CREMA CAMOMIL W 80 BAG</v>
      </c>
      <c r="N41" s="29" t="str">
        <f t="shared" si="1"/>
        <v xml:space="preserve"> VigaLife</v>
      </c>
      <c r="O41" t="str">
        <f t="shared" si="2"/>
        <v>BABY CREMA (VigaLife)</v>
      </c>
      <c r="P41" t="str">
        <f t="shared" si="4"/>
        <v xml:space="preserve"> VigaLife</v>
      </c>
      <c r="R41" t="str">
        <f t="shared" si="3"/>
        <v>BABY CREMA (VigaLife)</v>
      </c>
      <c r="T41" t="s">
        <v>53</v>
      </c>
      <c r="U41" t="str">
        <f t="shared" si="5"/>
        <v>BAGS</v>
      </c>
      <c r="V41" t="str">
        <f t="shared" si="6"/>
        <v>WITHOUT EXTRA PROTECTCARE INDICATION</v>
      </c>
      <c r="W41" t="str">
        <f t="shared" si="7"/>
        <v>80</v>
      </c>
      <c r="X41" s="27">
        <f t="shared" si="8"/>
        <v>61.981900000000003</v>
      </c>
      <c r="Y41" s="27">
        <f t="shared" si="9"/>
        <v>56.970199999999998</v>
      </c>
      <c r="Z41" s="27">
        <f t="shared" si="10"/>
        <v>23.8948</v>
      </c>
      <c r="AA41" s="27">
        <f t="shared" si="11"/>
        <v>1524.2099000000001</v>
      </c>
      <c r="AB41" s="27">
        <f t="shared" si="12"/>
        <v>1404.4858999999999</v>
      </c>
      <c r="AC41" s="27">
        <f t="shared" si="13"/>
        <v>554.68420000000003</v>
      </c>
    </row>
    <row r="42" spans="1:29" ht="15" customHeight="1" x14ac:dyDescent="0.3">
      <c r="A42" s="14" t="s">
        <v>831</v>
      </c>
      <c r="B42" s="15" t="s">
        <v>6</v>
      </c>
      <c r="C42" s="16"/>
      <c r="D42" s="17"/>
      <c r="E42" s="17"/>
      <c r="F42" s="18">
        <v>511.78089999999997</v>
      </c>
      <c r="G42" s="19">
        <v>507.3048</v>
      </c>
      <c r="H42" s="20">
        <v>295.71379999999999</v>
      </c>
      <c r="I42" s="21">
        <v>23199.701799999999</v>
      </c>
      <c r="J42" s="20">
        <v>21680.539100000002</v>
      </c>
      <c r="K42" s="20">
        <v>11434.4841</v>
      </c>
      <c r="M42" t="str">
        <f t="shared" si="0"/>
        <v/>
      </c>
      <c r="N42" s="29" t="str">
        <f t="shared" si="1"/>
        <v xml:space="preserve"> VigaLife</v>
      </c>
      <c r="O42" t="str">
        <f t="shared" si="2"/>
        <v>BABY CREMA (VigaLife)</v>
      </c>
      <c r="P42" t="str">
        <f t="shared" si="4"/>
        <v/>
      </c>
      <c r="R42" t="str">
        <f t="shared" si="3"/>
        <v/>
      </c>
      <c r="T42" t="s">
        <v>871</v>
      </c>
      <c r="U42" t="str">
        <f t="shared" si="5"/>
        <v/>
      </c>
      <c r="V42" t="str">
        <f t="shared" si="6"/>
        <v/>
      </c>
      <c r="W42" t="str">
        <f t="shared" si="7"/>
        <v/>
      </c>
      <c r="X42" s="27" t="str">
        <f t="shared" si="8"/>
        <v/>
      </c>
      <c r="Y42" s="27" t="str">
        <f t="shared" si="9"/>
        <v/>
      </c>
      <c r="Z42" s="27" t="str">
        <f t="shared" si="10"/>
        <v/>
      </c>
      <c r="AA42" s="27" t="str">
        <f t="shared" si="11"/>
        <v/>
      </c>
      <c r="AB42" s="27" t="str">
        <f t="shared" si="12"/>
        <v/>
      </c>
      <c r="AC42" s="27" t="str">
        <f t="shared" si="13"/>
        <v/>
      </c>
    </row>
    <row r="43" spans="1:29" ht="15" customHeight="1" x14ac:dyDescent="0.3">
      <c r="A43" s="22" t="s">
        <v>54</v>
      </c>
      <c r="B43" s="23" t="s">
        <v>8</v>
      </c>
      <c r="C43" s="23" t="s">
        <v>9</v>
      </c>
      <c r="D43" s="24" t="s">
        <v>20</v>
      </c>
      <c r="E43" s="24" t="s">
        <v>24</v>
      </c>
      <c r="F43" s="18">
        <v>78.227999999999994</v>
      </c>
      <c r="G43" s="19">
        <v>99.030500000000004</v>
      </c>
      <c r="H43" s="20">
        <v>56.674100000000003</v>
      </c>
      <c r="I43" s="21">
        <v>4816.5708000000004</v>
      </c>
      <c r="J43" s="20">
        <v>5822.6243999999997</v>
      </c>
      <c r="K43" s="20">
        <v>2923.4182999999998</v>
      </c>
      <c r="M43" t="str">
        <f t="shared" si="0"/>
        <v/>
      </c>
      <c r="N43" s="29" t="str">
        <f t="shared" si="1"/>
        <v xml:space="preserve"> VigaLife</v>
      </c>
      <c r="O43" t="str">
        <f t="shared" si="2"/>
        <v>BABY CREMA (VigaLife)</v>
      </c>
      <c r="P43" t="str">
        <f t="shared" si="4"/>
        <v/>
      </c>
      <c r="R43" t="str">
        <f t="shared" si="3"/>
        <v/>
      </c>
      <c r="T43" t="s">
        <v>871</v>
      </c>
      <c r="U43" t="str">
        <f t="shared" si="5"/>
        <v/>
      </c>
      <c r="V43" t="str">
        <f t="shared" si="6"/>
        <v/>
      </c>
      <c r="W43" t="str">
        <f t="shared" si="7"/>
        <v/>
      </c>
      <c r="X43" s="27" t="str">
        <f t="shared" si="8"/>
        <v/>
      </c>
      <c r="Y43" s="27" t="str">
        <f t="shared" si="9"/>
        <v/>
      </c>
      <c r="Z43" s="27" t="str">
        <f t="shared" si="10"/>
        <v/>
      </c>
      <c r="AA43" s="27" t="str">
        <f t="shared" si="11"/>
        <v/>
      </c>
      <c r="AB43" s="27" t="str">
        <f t="shared" si="12"/>
        <v/>
      </c>
      <c r="AC43" s="27" t="str">
        <f t="shared" si="13"/>
        <v/>
      </c>
    </row>
    <row r="44" spans="1:29" ht="15" customHeight="1" x14ac:dyDescent="0.3">
      <c r="A44" s="22" t="s">
        <v>55</v>
      </c>
      <c r="B44" s="23" t="s">
        <v>8</v>
      </c>
      <c r="C44" s="23" t="s">
        <v>9</v>
      </c>
      <c r="D44" s="24" t="s">
        <v>10</v>
      </c>
      <c r="E44" s="24" t="s">
        <v>37</v>
      </c>
      <c r="F44" s="18">
        <v>11.11</v>
      </c>
      <c r="G44" s="19">
        <v>8.9543999999999997</v>
      </c>
      <c r="H44" s="20">
        <v>2.2328999999999999</v>
      </c>
      <c r="I44" s="21">
        <v>523.16819999999996</v>
      </c>
      <c r="J44" s="20">
        <v>387.32229999999998</v>
      </c>
      <c r="K44" s="20">
        <v>84.428399999999996</v>
      </c>
      <c r="M44" t="str">
        <f t="shared" si="0"/>
        <v>LINDY VITAMIN E PH5.5 W 120 BAG</v>
      </c>
      <c r="N44" s="29" t="str">
        <f t="shared" si="1"/>
        <v xml:space="preserve"> Intelligent Initiative</v>
      </c>
      <c r="O44" t="str">
        <f t="shared" si="2"/>
        <v>LINDY (Intelligent Initiative)</v>
      </c>
      <c r="P44" t="str">
        <f t="shared" si="4"/>
        <v xml:space="preserve"> Intelligent Initiative</v>
      </c>
      <c r="R44" t="str">
        <f t="shared" si="3"/>
        <v>LINDY (Intelligent Initiative)</v>
      </c>
      <c r="T44" t="s">
        <v>54</v>
      </c>
      <c r="U44" t="str">
        <f t="shared" si="5"/>
        <v>BAGS</v>
      </c>
      <c r="V44" t="str">
        <f t="shared" si="6"/>
        <v>PH BALANCED</v>
      </c>
      <c r="W44" t="str">
        <f t="shared" si="7"/>
        <v>120</v>
      </c>
      <c r="X44" s="27">
        <f t="shared" si="8"/>
        <v>78.227999999999994</v>
      </c>
      <c r="Y44" s="27">
        <f t="shared" si="9"/>
        <v>99.030500000000004</v>
      </c>
      <c r="Z44" s="27">
        <f t="shared" si="10"/>
        <v>56.674100000000003</v>
      </c>
      <c r="AA44" s="27">
        <f t="shared" si="11"/>
        <v>4816.5708000000004</v>
      </c>
      <c r="AB44" s="27">
        <f t="shared" si="12"/>
        <v>5822.6243999999997</v>
      </c>
      <c r="AC44" s="27">
        <f t="shared" si="13"/>
        <v>2923.4182999999998</v>
      </c>
    </row>
    <row r="45" spans="1:29" ht="15" customHeight="1" x14ac:dyDescent="0.3">
      <c r="A45" s="22" t="s">
        <v>56</v>
      </c>
      <c r="B45" s="23" t="s">
        <v>8</v>
      </c>
      <c r="C45" s="23" t="s">
        <v>9</v>
      </c>
      <c r="D45" s="24" t="s">
        <v>10</v>
      </c>
      <c r="E45" s="24" t="s">
        <v>37</v>
      </c>
      <c r="F45" s="18">
        <v>79.953000000000003</v>
      </c>
      <c r="G45" s="19">
        <v>73.757099999999994</v>
      </c>
      <c r="H45" s="20">
        <v>40.362299999999998</v>
      </c>
      <c r="I45" s="21">
        <v>3388.3481999999999</v>
      </c>
      <c r="J45" s="20">
        <v>2840.8843000000002</v>
      </c>
      <c r="K45" s="20">
        <v>1387.0689</v>
      </c>
      <c r="M45" t="str">
        <f t="shared" si="0"/>
        <v>LINDY ALOE VERA&amp;VIT E W 64 BAG</v>
      </c>
      <c r="N45" s="29" t="str">
        <f t="shared" si="1"/>
        <v xml:space="preserve"> Intelligent Initiative</v>
      </c>
      <c r="O45" t="str">
        <f t="shared" si="2"/>
        <v>LINDY (Intelligent Initiative)</v>
      </c>
      <c r="P45" t="str">
        <f t="shared" si="4"/>
        <v xml:space="preserve"> Intelligent Initiative</v>
      </c>
      <c r="R45" t="str">
        <f t="shared" si="3"/>
        <v>LINDY (Intelligent Initiative)</v>
      </c>
      <c r="T45" t="s">
        <v>55</v>
      </c>
      <c r="U45" t="str">
        <f t="shared" si="5"/>
        <v>BAGS</v>
      </c>
      <c r="V45" t="str">
        <f t="shared" si="6"/>
        <v>WITHOUT EXTRA PROTECTCARE INDICATION</v>
      </c>
      <c r="W45" t="str">
        <f t="shared" si="7"/>
        <v>64</v>
      </c>
      <c r="X45" s="27">
        <f t="shared" si="8"/>
        <v>11.11</v>
      </c>
      <c r="Y45" s="27">
        <f t="shared" si="9"/>
        <v>8.9543999999999997</v>
      </c>
      <c r="Z45" s="27">
        <f t="shared" si="10"/>
        <v>2.2328999999999999</v>
      </c>
      <c r="AA45" s="27">
        <f t="shared" si="11"/>
        <v>523.16819999999996</v>
      </c>
      <c r="AB45" s="27">
        <f t="shared" si="12"/>
        <v>387.32229999999998</v>
      </c>
      <c r="AC45" s="27">
        <f t="shared" si="13"/>
        <v>84.428399999999996</v>
      </c>
    </row>
    <row r="46" spans="1:29" ht="15" customHeight="1" x14ac:dyDescent="0.3">
      <c r="A46" s="22" t="s">
        <v>57</v>
      </c>
      <c r="B46" s="23" t="s">
        <v>8</v>
      </c>
      <c r="C46" s="23" t="s">
        <v>9</v>
      </c>
      <c r="D46" s="24" t="s">
        <v>10</v>
      </c>
      <c r="E46" s="24" t="s">
        <v>37</v>
      </c>
      <c r="F46" s="18">
        <v>12.195</v>
      </c>
      <c r="G46" s="19">
        <v>8.5597999999999992</v>
      </c>
      <c r="H46" s="20">
        <v>1.6516999999999999</v>
      </c>
      <c r="I46" s="21">
        <v>553.03880000000004</v>
      </c>
      <c r="J46" s="20">
        <v>369.83049999999997</v>
      </c>
      <c r="K46" s="20">
        <v>64.100099999999998</v>
      </c>
      <c r="M46" t="str">
        <f t="shared" si="0"/>
        <v>LINDY ALOE VERA&amp;VIT E W 64 BAG KAPAK</v>
      </c>
      <c r="N46" s="29" t="str">
        <f t="shared" si="1"/>
        <v xml:space="preserve"> Intelligent Initiative</v>
      </c>
      <c r="O46" t="str">
        <f t="shared" si="2"/>
        <v>LINDY (Intelligent Initiative)</v>
      </c>
      <c r="P46" t="str">
        <f t="shared" si="4"/>
        <v xml:space="preserve"> Intelligent Initiative</v>
      </c>
      <c r="R46" t="str">
        <f t="shared" si="3"/>
        <v>LINDY (Intelligent Initiative)</v>
      </c>
      <c r="T46" t="s">
        <v>56</v>
      </c>
      <c r="U46" t="str">
        <f t="shared" si="5"/>
        <v>BAGS</v>
      </c>
      <c r="V46" t="str">
        <f t="shared" si="6"/>
        <v>WITHOUT EXTRA PROTECTCARE INDICATION</v>
      </c>
      <c r="W46" t="str">
        <f t="shared" si="7"/>
        <v>64</v>
      </c>
      <c r="X46" s="27">
        <f t="shared" si="8"/>
        <v>79.953000000000003</v>
      </c>
      <c r="Y46" s="27">
        <f t="shared" si="9"/>
        <v>73.757099999999994</v>
      </c>
      <c r="Z46" s="27">
        <f t="shared" si="10"/>
        <v>40.362299999999998</v>
      </c>
      <c r="AA46" s="27">
        <f t="shared" si="11"/>
        <v>3388.3481999999999</v>
      </c>
      <c r="AB46" s="27">
        <f t="shared" si="12"/>
        <v>2840.8843000000002</v>
      </c>
      <c r="AC46" s="27">
        <f t="shared" si="13"/>
        <v>1387.0689</v>
      </c>
    </row>
    <row r="47" spans="1:29" ht="15" customHeight="1" x14ac:dyDescent="0.3">
      <c r="A47" s="22" t="s">
        <v>58</v>
      </c>
      <c r="B47" s="23" t="s">
        <v>8</v>
      </c>
      <c r="C47" s="23" t="s">
        <v>9</v>
      </c>
      <c r="D47" s="24" t="s">
        <v>10</v>
      </c>
      <c r="E47" s="24" t="s">
        <v>37</v>
      </c>
      <c r="F47" s="18">
        <v>60.510800000000003</v>
      </c>
      <c r="G47" s="19">
        <v>52.405999999999999</v>
      </c>
      <c r="H47" s="20">
        <v>30.122800000000002</v>
      </c>
      <c r="I47" s="21">
        <v>2540.1291999999999</v>
      </c>
      <c r="J47" s="20">
        <v>2011.4869000000001</v>
      </c>
      <c r="K47" s="20">
        <v>1066.0352</v>
      </c>
      <c r="M47" t="str">
        <f t="shared" si="0"/>
        <v>LINDY CAMOMILE W 64 BAG</v>
      </c>
      <c r="N47" s="29" t="str">
        <f t="shared" si="1"/>
        <v xml:space="preserve"> Intelligent Initiative</v>
      </c>
      <c r="O47" t="str">
        <f t="shared" si="2"/>
        <v>LINDY (Intelligent Initiative)</v>
      </c>
      <c r="P47" t="str">
        <f t="shared" si="4"/>
        <v xml:space="preserve"> Intelligent Initiative</v>
      </c>
      <c r="R47" t="str">
        <f t="shared" si="3"/>
        <v>LINDY (Intelligent Initiative)</v>
      </c>
      <c r="T47" t="s">
        <v>57</v>
      </c>
      <c r="U47" t="str">
        <f t="shared" si="5"/>
        <v>BAGS</v>
      </c>
      <c r="V47" t="str">
        <f t="shared" si="6"/>
        <v>WITHOUT EXTRA PROTECTCARE INDICATION</v>
      </c>
      <c r="W47" t="str">
        <f t="shared" si="7"/>
        <v>64</v>
      </c>
      <c r="X47" s="27">
        <f t="shared" si="8"/>
        <v>12.195</v>
      </c>
      <c r="Y47" s="27">
        <f t="shared" si="9"/>
        <v>8.5597999999999992</v>
      </c>
      <c r="Z47" s="27">
        <f t="shared" si="10"/>
        <v>1.6516999999999999</v>
      </c>
      <c r="AA47" s="27">
        <f t="shared" si="11"/>
        <v>553.03880000000004</v>
      </c>
      <c r="AB47" s="27">
        <f t="shared" si="12"/>
        <v>369.83049999999997</v>
      </c>
      <c r="AC47" s="27">
        <f t="shared" si="13"/>
        <v>64.100099999999998</v>
      </c>
    </row>
    <row r="48" spans="1:29" ht="15" customHeight="1" x14ac:dyDescent="0.3">
      <c r="A48" s="22" t="s">
        <v>59</v>
      </c>
      <c r="B48" s="23" t="s">
        <v>8</v>
      </c>
      <c r="C48" s="23" t="s">
        <v>9</v>
      </c>
      <c r="D48" s="24" t="s">
        <v>10</v>
      </c>
      <c r="E48" s="24" t="s">
        <v>37</v>
      </c>
      <c r="F48" s="18">
        <v>47.8005</v>
      </c>
      <c r="G48" s="19">
        <v>51.199100000000001</v>
      </c>
      <c r="H48" s="20">
        <v>29.6906</v>
      </c>
      <c r="I48" s="21">
        <v>1970.2177999999999</v>
      </c>
      <c r="J48" s="20">
        <v>1924.2328</v>
      </c>
      <c r="K48" s="20">
        <v>1027.8571999999999</v>
      </c>
      <c r="M48" t="str">
        <f t="shared" si="0"/>
        <v>LINDY CAMOMILE W 64 BAG KAPAK</v>
      </c>
      <c r="N48" s="29" t="str">
        <f t="shared" si="1"/>
        <v xml:space="preserve"> Intelligent Initiative</v>
      </c>
      <c r="O48" t="str">
        <f t="shared" si="2"/>
        <v>LINDY (Intelligent Initiative)</v>
      </c>
      <c r="P48" t="str">
        <f t="shared" si="4"/>
        <v xml:space="preserve"> Intelligent Initiative</v>
      </c>
      <c r="R48" t="str">
        <f t="shared" si="3"/>
        <v>LINDY (Intelligent Initiative)</v>
      </c>
      <c r="T48" t="s">
        <v>58</v>
      </c>
      <c r="U48" t="str">
        <f t="shared" si="5"/>
        <v>BAGS</v>
      </c>
      <c r="V48" t="str">
        <f t="shared" si="6"/>
        <v>WITHOUT EXTRA PROTECTCARE INDICATION</v>
      </c>
      <c r="W48" t="str">
        <f t="shared" si="7"/>
        <v>64</v>
      </c>
      <c r="X48" s="27">
        <f t="shared" si="8"/>
        <v>60.510800000000003</v>
      </c>
      <c r="Y48" s="27">
        <f t="shared" si="9"/>
        <v>52.405999999999999</v>
      </c>
      <c r="Z48" s="27">
        <f t="shared" si="10"/>
        <v>30.122800000000002</v>
      </c>
      <c r="AA48" s="27">
        <f t="shared" si="11"/>
        <v>2540.1291999999999</v>
      </c>
      <c r="AB48" s="27">
        <f t="shared" si="12"/>
        <v>2011.4869000000001</v>
      </c>
      <c r="AC48" s="27">
        <f t="shared" si="13"/>
        <v>1066.0352</v>
      </c>
    </row>
    <row r="49" spans="1:29" ht="15" customHeight="1" x14ac:dyDescent="0.3">
      <c r="A49" s="22" t="s">
        <v>60</v>
      </c>
      <c r="B49" s="23" t="s">
        <v>8</v>
      </c>
      <c r="C49" s="23" t="s">
        <v>9</v>
      </c>
      <c r="D49" s="24" t="s">
        <v>20</v>
      </c>
      <c r="E49" s="24" t="s">
        <v>37</v>
      </c>
      <c r="F49" s="18"/>
      <c r="G49" s="19">
        <v>3.2536</v>
      </c>
      <c r="H49" s="20">
        <v>4.3144</v>
      </c>
      <c r="I49" s="21"/>
      <c r="J49" s="20">
        <v>139.34979999999999</v>
      </c>
      <c r="K49" s="20">
        <v>169.84690000000001</v>
      </c>
      <c r="M49" t="str">
        <f t="shared" si="0"/>
        <v>LINDY CREAM W 64 BAG KAPAK</v>
      </c>
      <c r="N49" s="29" t="str">
        <f t="shared" si="1"/>
        <v xml:space="preserve"> Intelligent Initiative</v>
      </c>
      <c r="O49" t="str">
        <f t="shared" si="2"/>
        <v>LINDY (Intelligent Initiative)</v>
      </c>
      <c r="P49" t="str">
        <f t="shared" si="4"/>
        <v xml:space="preserve"> Intelligent Initiative</v>
      </c>
      <c r="R49" t="str">
        <f t="shared" si="3"/>
        <v>LINDY (Intelligent Initiative)</v>
      </c>
      <c r="T49" t="s">
        <v>59</v>
      </c>
      <c r="U49" t="str">
        <f t="shared" si="5"/>
        <v>BAGS</v>
      </c>
      <c r="V49" t="str">
        <f t="shared" si="6"/>
        <v>WITHOUT EXTRA PROTECTCARE INDICATION</v>
      </c>
      <c r="W49" t="str">
        <f t="shared" si="7"/>
        <v>64</v>
      </c>
      <c r="X49" s="27">
        <f t="shared" si="8"/>
        <v>47.8005</v>
      </c>
      <c r="Y49" s="27">
        <f t="shared" si="9"/>
        <v>51.199100000000001</v>
      </c>
      <c r="Z49" s="27">
        <f t="shared" si="10"/>
        <v>29.6906</v>
      </c>
      <c r="AA49" s="27">
        <f t="shared" si="11"/>
        <v>1970.2177999999999</v>
      </c>
      <c r="AB49" s="27">
        <f t="shared" si="12"/>
        <v>1924.2328</v>
      </c>
      <c r="AC49" s="27">
        <f t="shared" si="13"/>
        <v>1027.8571999999999</v>
      </c>
    </row>
    <row r="50" spans="1:29" ht="15" customHeight="1" x14ac:dyDescent="0.3">
      <c r="A50" s="22" t="s">
        <v>61</v>
      </c>
      <c r="B50" s="23" t="s">
        <v>8</v>
      </c>
      <c r="C50" s="23" t="s">
        <v>9</v>
      </c>
      <c r="D50" s="24" t="s">
        <v>20</v>
      </c>
      <c r="E50" s="24" t="s">
        <v>37</v>
      </c>
      <c r="F50" s="18">
        <v>5.5922000000000001</v>
      </c>
      <c r="G50" s="19">
        <v>5.3672000000000004</v>
      </c>
      <c r="H50" s="20">
        <v>2.5727000000000002</v>
      </c>
      <c r="I50" s="21">
        <v>261.04790000000003</v>
      </c>
      <c r="J50" s="20">
        <v>232.43600000000001</v>
      </c>
      <c r="K50" s="20">
        <v>93.995500000000007</v>
      </c>
      <c r="M50" t="str">
        <f t="shared" si="0"/>
        <v>LINDY CREAM&amp;VIT.E PH5.5 W 64 BAG</v>
      </c>
      <c r="N50" s="29" t="str">
        <f t="shared" si="1"/>
        <v xml:space="preserve"> Intelligent Initiative</v>
      </c>
      <c r="O50" t="str">
        <f t="shared" si="2"/>
        <v>LINDY (Intelligent Initiative)</v>
      </c>
      <c r="P50" t="str">
        <f t="shared" si="4"/>
        <v xml:space="preserve"> Intelligent Initiative</v>
      </c>
      <c r="R50" t="str">
        <f t="shared" si="3"/>
        <v>LINDY (Intelligent Initiative)</v>
      </c>
      <c r="T50" t="s">
        <v>60</v>
      </c>
      <c r="U50" t="str">
        <f t="shared" si="5"/>
        <v>BAGS</v>
      </c>
      <c r="V50" t="str">
        <f t="shared" si="6"/>
        <v>PH BALANCED</v>
      </c>
      <c r="W50" t="str">
        <f t="shared" si="7"/>
        <v>64</v>
      </c>
      <c r="X50" s="27">
        <f t="shared" si="8"/>
        <v>0</v>
      </c>
      <c r="Y50" s="27">
        <f t="shared" si="9"/>
        <v>3.2536</v>
      </c>
      <c r="Z50" s="27">
        <f t="shared" si="10"/>
        <v>4.3144</v>
      </c>
      <c r="AA50" s="27">
        <f t="shared" si="11"/>
        <v>0</v>
      </c>
      <c r="AB50" s="27">
        <f t="shared" si="12"/>
        <v>139.34979999999999</v>
      </c>
      <c r="AC50" s="27">
        <f t="shared" si="13"/>
        <v>169.84690000000001</v>
      </c>
    </row>
    <row r="51" spans="1:29" ht="15" customHeight="1" x14ac:dyDescent="0.3">
      <c r="A51" s="22" t="s">
        <v>62</v>
      </c>
      <c r="B51" s="23" t="s">
        <v>8</v>
      </c>
      <c r="C51" s="23" t="s">
        <v>9</v>
      </c>
      <c r="D51" s="24" t="s">
        <v>20</v>
      </c>
      <c r="E51" s="24" t="s">
        <v>37</v>
      </c>
      <c r="F51" s="18">
        <v>53.490699999999997</v>
      </c>
      <c r="G51" s="19">
        <v>44.783700000000003</v>
      </c>
      <c r="H51" s="20">
        <v>26.440899999999999</v>
      </c>
      <c r="I51" s="21">
        <v>2262.5698000000002</v>
      </c>
      <c r="J51" s="20">
        <v>1667.4681</v>
      </c>
      <c r="K51" s="20">
        <v>920.88139999999999</v>
      </c>
      <c r="M51" t="str">
        <f t="shared" si="0"/>
        <v>LINDY OLIVE OIL EXTR. PH5.5 W 64 BAG</v>
      </c>
      <c r="N51" s="29" t="str">
        <f t="shared" si="1"/>
        <v xml:space="preserve"> Intelligent Initiative</v>
      </c>
      <c r="O51" t="str">
        <f t="shared" si="2"/>
        <v>LINDY (Intelligent Initiative)</v>
      </c>
      <c r="P51" t="str">
        <f t="shared" si="4"/>
        <v xml:space="preserve"> Intelligent Initiative</v>
      </c>
      <c r="R51" t="str">
        <f t="shared" si="3"/>
        <v>LINDY (Intelligent Initiative)</v>
      </c>
      <c r="T51" t="s">
        <v>61</v>
      </c>
      <c r="U51" t="str">
        <f t="shared" si="5"/>
        <v>BAGS</v>
      </c>
      <c r="V51" t="str">
        <f t="shared" si="6"/>
        <v>PH BALANCED</v>
      </c>
      <c r="W51" t="str">
        <f t="shared" si="7"/>
        <v>64</v>
      </c>
      <c r="X51" s="27">
        <f t="shared" si="8"/>
        <v>5.5922000000000001</v>
      </c>
      <c r="Y51" s="27">
        <f t="shared" si="9"/>
        <v>5.3672000000000004</v>
      </c>
      <c r="Z51" s="27">
        <f t="shared" si="10"/>
        <v>2.5727000000000002</v>
      </c>
      <c r="AA51" s="27">
        <f t="shared" si="11"/>
        <v>261.04790000000003</v>
      </c>
      <c r="AB51" s="27">
        <f t="shared" si="12"/>
        <v>232.43600000000001</v>
      </c>
      <c r="AC51" s="27">
        <f t="shared" si="13"/>
        <v>93.995500000000007</v>
      </c>
    </row>
    <row r="52" spans="1:29" ht="15" customHeight="1" x14ac:dyDescent="0.3">
      <c r="A52" s="22" t="s">
        <v>63</v>
      </c>
      <c r="B52" s="23" t="s">
        <v>8</v>
      </c>
      <c r="C52" s="23" t="s">
        <v>9</v>
      </c>
      <c r="D52" s="24" t="s">
        <v>64</v>
      </c>
      <c r="E52" s="24" t="s">
        <v>37</v>
      </c>
      <c r="F52" s="18">
        <v>8.2710000000000008</v>
      </c>
      <c r="G52" s="19">
        <v>9.9309999999999992</v>
      </c>
      <c r="H52" s="20">
        <v>1.1805000000000001</v>
      </c>
      <c r="I52" s="21">
        <v>392.0086</v>
      </c>
      <c r="J52" s="20">
        <v>426.19690000000003</v>
      </c>
      <c r="K52" s="20">
        <v>46.280799999999999</v>
      </c>
      <c r="M52" t="str">
        <f t="shared" si="0"/>
        <v>LINDY OLIVE OIL EXTR. W 64 BAG KAPAK</v>
      </c>
      <c r="N52" s="29" t="str">
        <f t="shared" si="1"/>
        <v xml:space="preserve"> Intelligent Initiative</v>
      </c>
      <c r="O52" t="str">
        <f t="shared" si="2"/>
        <v>LINDY (Intelligent Initiative)</v>
      </c>
      <c r="P52" t="str">
        <f t="shared" si="4"/>
        <v xml:space="preserve"> Intelligent Initiative</v>
      </c>
      <c r="R52" t="str">
        <f t="shared" si="3"/>
        <v>LINDY (Intelligent Initiative)</v>
      </c>
      <c r="T52" t="s">
        <v>62</v>
      </c>
      <c r="U52" t="str">
        <f t="shared" si="5"/>
        <v>BAGS</v>
      </c>
      <c r="V52" t="str">
        <f t="shared" si="6"/>
        <v>PH BALANCED</v>
      </c>
      <c r="W52" t="str">
        <f t="shared" si="7"/>
        <v>64</v>
      </c>
      <c r="X52" s="27">
        <f t="shared" si="8"/>
        <v>53.490699999999997</v>
      </c>
      <c r="Y52" s="27">
        <f t="shared" si="9"/>
        <v>44.783700000000003</v>
      </c>
      <c r="Z52" s="27">
        <f t="shared" si="10"/>
        <v>26.440899999999999</v>
      </c>
      <c r="AA52" s="27">
        <f t="shared" si="11"/>
        <v>2262.5698000000002</v>
      </c>
      <c r="AB52" s="27">
        <f t="shared" si="12"/>
        <v>1667.4681</v>
      </c>
      <c r="AC52" s="27">
        <f t="shared" si="13"/>
        <v>920.88139999999999</v>
      </c>
    </row>
    <row r="53" spans="1:29" ht="15" customHeight="1" x14ac:dyDescent="0.3">
      <c r="A53" s="22" t="s">
        <v>65</v>
      </c>
      <c r="B53" s="23" t="s">
        <v>8</v>
      </c>
      <c r="C53" s="23" t="s">
        <v>9</v>
      </c>
      <c r="D53" s="24" t="s">
        <v>64</v>
      </c>
      <c r="E53" s="24" t="s">
        <v>37</v>
      </c>
      <c r="F53" s="18">
        <v>70.562299999999993</v>
      </c>
      <c r="G53" s="19">
        <v>56.785600000000002</v>
      </c>
      <c r="H53" s="20">
        <v>30.796600000000002</v>
      </c>
      <c r="I53" s="21">
        <v>2842.3220000000001</v>
      </c>
      <c r="J53" s="20">
        <v>2121.0371</v>
      </c>
      <c r="K53" s="20">
        <v>1067.8224</v>
      </c>
      <c r="M53" t="str">
        <f t="shared" si="0"/>
        <v>LINDY SENSITIVE COTTON PH5.5 W 64 BAG</v>
      </c>
      <c r="N53" s="29" t="str">
        <f t="shared" si="1"/>
        <v xml:space="preserve"> Intelligent Initiative</v>
      </c>
      <c r="O53" t="str">
        <f t="shared" si="2"/>
        <v>LINDY (Intelligent Initiative)</v>
      </c>
      <c r="P53" t="str">
        <f t="shared" si="4"/>
        <v xml:space="preserve"> Intelligent Initiative</v>
      </c>
      <c r="R53" t="str">
        <f t="shared" si="3"/>
        <v>LINDY (Intelligent Initiative)</v>
      </c>
      <c r="T53" t="s">
        <v>63</v>
      </c>
      <c r="U53" t="str">
        <f t="shared" si="5"/>
        <v>BAGS</v>
      </c>
      <c r="V53" t="str">
        <f t="shared" si="6"/>
        <v>SENSITIVE</v>
      </c>
      <c r="W53" t="str">
        <f t="shared" si="7"/>
        <v>64</v>
      </c>
      <c r="X53" s="27">
        <f t="shared" si="8"/>
        <v>8.2710000000000008</v>
      </c>
      <c r="Y53" s="27">
        <f t="shared" si="9"/>
        <v>9.9309999999999992</v>
      </c>
      <c r="Z53" s="27">
        <f t="shared" si="10"/>
        <v>1.1805000000000001</v>
      </c>
      <c r="AA53" s="27">
        <f t="shared" si="11"/>
        <v>392.0086</v>
      </c>
      <c r="AB53" s="27">
        <f t="shared" si="12"/>
        <v>426.19690000000003</v>
      </c>
      <c r="AC53" s="27">
        <f t="shared" si="13"/>
        <v>46.280799999999999</v>
      </c>
    </row>
    <row r="54" spans="1:29" ht="15" customHeight="1" x14ac:dyDescent="0.3">
      <c r="A54" s="22" t="s">
        <v>66</v>
      </c>
      <c r="B54" s="23" t="s">
        <v>8</v>
      </c>
      <c r="C54" s="23" t="s">
        <v>9</v>
      </c>
      <c r="D54" s="24" t="s">
        <v>20</v>
      </c>
      <c r="E54" s="24" t="s">
        <v>37</v>
      </c>
      <c r="F54" s="18">
        <v>34.495899999999999</v>
      </c>
      <c r="G54" s="19">
        <v>35.333399999999997</v>
      </c>
      <c r="H54" s="20">
        <v>28.078199999999999</v>
      </c>
      <c r="I54" s="21">
        <v>1446.3839</v>
      </c>
      <c r="J54" s="20">
        <v>1359.9783</v>
      </c>
      <c r="K54" s="20">
        <v>967.9162</v>
      </c>
      <c r="M54" t="str">
        <f t="shared" si="0"/>
        <v>LINDY SENSITIVE W 64 BAG KAPAK</v>
      </c>
      <c r="N54" s="29" t="str">
        <f t="shared" si="1"/>
        <v xml:space="preserve"> Intelligent Initiative</v>
      </c>
      <c r="O54" t="str">
        <f t="shared" si="2"/>
        <v>LINDY (Intelligent Initiative)</v>
      </c>
      <c r="P54" t="str">
        <f t="shared" si="4"/>
        <v xml:space="preserve"> Intelligent Initiative</v>
      </c>
      <c r="R54" t="str">
        <f t="shared" si="3"/>
        <v>LINDY (Intelligent Initiative)</v>
      </c>
      <c r="T54" t="s">
        <v>65</v>
      </c>
      <c r="U54" t="str">
        <f t="shared" si="5"/>
        <v>BAGS</v>
      </c>
      <c r="V54" t="str">
        <f t="shared" si="6"/>
        <v>SENSITIVE</v>
      </c>
      <c r="W54" t="str">
        <f t="shared" si="7"/>
        <v>64</v>
      </c>
      <c r="X54" s="27">
        <f t="shared" si="8"/>
        <v>70.562299999999993</v>
      </c>
      <c r="Y54" s="27">
        <f t="shared" si="9"/>
        <v>56.785600000000002</v>
      </c>
      <c r="Z54" s="27">
        <f t="shared" si="10"/>
        <v>30.796600000000002</v>
      </c>
      <c r="AA54" s="27">
        <f t="shared" si="11"/>
        <v>2842.3220000000001</v>
      </c>
      <c r="AB54" s="27">
        <f t="shared" si="12"/>
        <v>2121.0371</v>
      </c>
      <c r="AC54" s="27">
        <f t="shared" si="13"/>
        <v>1067.8224</v>
      </c>
    </row>
    <row r="55" spans="1:29" ht="15" customHeight="1" x14ac:dyDescent="0.3">
      <c r="A55" s="22" t="s">
        <v>67</v>
      </c>
      <c r="B55" s="23" t="s">
        <v>8</v>
      </c>
      <c r="C55" s="23" t="s">
        <v>9</v>
      </c>
      <c r="D55" s="24" t="s">
        <v>30</v>
      </c>
      <c r="E55" s="24" t="s">
        <v>68</v>
      </c>
      <c r="F55" s="18">
        <v>49.5715</v>
      </c>
      <c r="G55" s="19">
        <v>57.943199999999997</v>
      </c>
      <c r="H55" s="20">
        <v>41.595799999999997</v>
      </c>
      <c r="I55" s="21">
        <v>2203.8969999999999</v>
      </c>
      <c r="J55" s="20">
        <v>2377.6914999999999</v>
      </c>
      <c r="K55" s="20">
        <v>1614.8326999999999</v>
      </c>
      <c r="M55" t="str">
        <f t="shared" si="0"/>
        <v>LINDY WHITE TEA&amp;VIT E W 64 BAG</v>
      </c>
      <c r="N55" s="29" t="str">
        <f t="shared" si="1"/>
        <v xml:space="preserve"> Intelligent Initiative</v>
      </c>
      <c r="O55" t="str">
        <f t="shared" si="2"/>
        <v>LINDY (Intelligent Initiative)</v>
      </c>
      <c r="P55" t="str">
        <f t="shared" si="4"/>
        <v xml:space="preserve"> Intelligent Initiative</v>
      </c>
      <c r="R55" t="str">
        <f t="shared" si="3"/>
        <v>LINDY (Intelligent Initiative)</v>
      </c>
      <c r="T55" t="s">
        <v>66</v>
      </c>
      <c r="U55" t="str">
        <f t="shared" si="5"/>
        <v>BAGS</v>
      </c>
      <c r="V55" t="str">
        <f t="shared" si="6"/>
        <v>PH BALANCED</v>
      </c>
      <c r="W55" t="str">
        <f t="shared" si="7"/>
        <v>64</v>
      </c>
      <c r="X55" s="27">
        <f t="shared" si="8"/>
        <v>34.495899999999999</v>
      </c>
      <c r="Y55" s="27">
        <f t="shared" si="9"/>
        <v>35.333399999999997</v>
      </c>
      <c r="Z55" s="27">
        <f t="shared" si="10"/>
        <v>28.078199999999999</v>
      </c>
      <c r="AA55" s="27">
        <f t="shared" si="11"/>
        <v>1446.3839</v>
      </c>
      <c r="AB55" s="27">
        <f t="shared" si="12"/>
        <v>1359.9783</v>
      </c>
      <c r="AC55" s="27">
        <f t="shared" si="13"/>
        <v>967.9162</v>
      </c>
    </row>
    <row r="56" spans="1:29" ht="14.25" customHeight="1" x14ac:dyDescent="0.3">
      <c r="A56" s="25" t="s">
        <v>716</v>
      </c>
      <c r="B56" s="4" t="s">
        <v>5</v>
      </c>
      <c r="C56" s="4"/>
      <c r="D56" s="5"/>
      <c r="E56" s="5"/>
      <c r="F56" s="10"/>
      <c r="G56" s="11">
        <v>4.4634999999999998</v>
      </c>
      <c r="H56" s="12">
        <v>5.9009999999999998</v>
      </c>
      <c r="I56" s="13"/>
      <c r="J56" s="12">
        <v>231.33420000000001</v>
      </c>
      <c r="K56" s="12">
        <v>348.19819999999999</v>
      </c>
      <c r="M56" t="str">
        <f t="shared" si="0"/>
        <v>LINDY PREMIUM LAVENDER W 90 BAG KAPAK</v>
      </c>
      <c r="N56" s="29" t="str">
        <f t="shared" si="1"/>
        <v xml:space="preserve"> Intelligent Initiative</v>
      </c>
      <c r="O56" t="str">
        <f t="shared" si="2"/>
        <v>LINDY (Intelligent Initiative)</v>
      </c>
      <c r="P56" t="str">
        <f t="shared" si="4"/>
        <v xml:space="preserve"> Intelligent Initiative</v>
      </c>
      <c r="R56" t="str">
        <f t="shared" si="3"/>
        <v>LINDY (Intelligent Initiative)</v>
      </c>
      <c r="T56" t="s">
        <v>67</v>
      </c>
      <c r="U56" t="str">
        <f t="shared" si="5"/>
        <v>BAGS</v>
      </c>
      <c r="V56" t="str">
        <f t="shared" si="6"/>
        <v>ALCOHOL FREE</v>
      </c>
      <c r="W56" t="str">
        <f t="shared" si="7"/>
        <v>90</v>
      </c>
      <c r="X56" s="27">
        <f t="shared" si="8"/>
        <v>49.5715</v>
      </c>
      <c r="Y56" s="27">
        <f t="shared" si="9"/>
        <v>57.943199999999997</v>
      </c>
      <c r="Z56" s="27">
        <f t="shared" si="10"/>
        <v>41.595799999999997</v>
      </c>
      <c r="AA56" s="27">
        <f t="shared" si="11"/>
        <v>2203.8969999999999</v>
      </c>
      <c r="AB56" s="27">
        <f t="shared" si="12"/>
        <v>2377.6914999999999</v>
      </c>
      <c r="AC56" s="27">
        <f t="shared" si="13"/>
        <v>1614.8326999999999</v>
      </c>
    </row>
    <row r="57" spans="1:29" ht="15" customHeight="1" x14ac:dyDescent="0.3">
      <c r="A57" s="14" t="s">
        <v>832</v>
      </c>
      <c r="B57" s="15" t="s">
        <v>6</v>
      </c>
      <c r="C57" s="16"/>
      <c r="D57" s="17"/>
      <c r="E57" s="17"/>
      <c r="F57" s="18"/>
      <c r="G57" s="19">
        <v>4.4634999999999998</v>
      </c>
      <c r="H57" s="20">
        <v>5.9009999999999998</v>
      </c>
      <c r="I57" s="21"/>
      <c r="J57" s="20">
        <v>231.33420000000001</v>
      </c>
      <c r="K57" s="20">
        <v>348.19819999999999</v>
      </c>
      <c r="M57" t="str">
        <f t="shared" si="0"/>
        <v/>
      </c>
      <c r="N57" s="29" t="str">
        <f t="shared" si="1"/>
        <v xml:space="preserve"> Intelligent Initiative</v>
      </c>
      <c r="O57" t="str">
        <f t="shared" si="2"/>
        <v>LINDY (Intelligent Initiative)</v>
      </c>
      <c r="P57" t="str">
        <f t="shared" si="4"/>
        <v/>
      </c>
      <c r="R57" t="str">
        <f t="shared" si="3"/>
        <v/>
      </c>
      <c r="T57" t="s">
        <v>871</v>
      </c>
      <c r="U57" t="str">
        <f t="shared" si="5"/>
        <v/>
      </c>
      <c r="V57" t="str">
        <f t="shared" si="6"/>
        <v/>
      </c>
      <c r="W57" t="str">
        <f t="shared" si="7"/>
        <v/>
      </c>
      <c r="X57" s="27" t="str">
        <f t="shared" si="8"/>
        <v/>
      </c>
      <c r="Y57" s="27" t="str">
        <f t="shared" si="9"/>
        <v/>
      </c>
      <c r="Z57" s="27" t="str">
        <f t="shared" si="10"/>
        <v/>
      </c>
      <c r="AA57" s="27" t="str">
        <f t="shared" si="11"/>
        <v/>
      </c>
      <c r="AB57" s="27" t="str">
        <f t="shared" si="12"/>
        <v/>
      </c>
      <c r="AC57" s="27" t="str">
        <f t="shared" si="13"/>
        <v/>
      </c>
    </row>
    <row r="58" spans="1:29" ht="15" customHeight="1" x14ac:dyDescent="0.3">
      <c r="A58" s="22" t="s">
        <v>70</v>
      </c>
      <c r="B58" s="23" t="s">
        <v>8</v>
      </c>
      <c r="C58" s="23" t="s">
        <v>9</v>
      </c>
      <c r="D58" s="24" t="s">
        <v>20</v>
      </c>
      <c r="E58" s="24" t="s">
        <v>24</v>
      </c>
      <c r="F58" s="18"/>
      <c r="G58" s="19"/>
      <c r="H58" s="20">
        <v>5.7117000000000004</v>
      </c>
      <c r="I58" s="21"/>
      <c r="J58" s="20"/>
      <c r="K58" s="20">
        <v>338.46300000000002</v>
      </c>
      <c r="M58" t="str">
        <f t="shared" si="0"/>
        <v/>
      </c>
      <c r="N58" s="29" t="str">
        <f t="shared" si="1"/>
        <v xml:space="preserve"> Intelligent Initiative</v>
      </c>
      <c r="O58" t="str">
        <f t="shared" si="2"/>
        <v>LINDY (Intelligent Initiative)</v>
      </c>
      <c r="P58" t="str">
        <f t="shared" si="4"/>
        <v/>
      </c>
      <c r="R58" t="str">
        <f t="shared" si="3"/>
        <v/>
      </c>
      <c r="T58" t="s">
        <v>871</v>
      </c>
      <c r="U58" t="str">
        <f t="shared" si="5"/>
        <v/>
      </c>
      <c r="V58" t="str">
        <f t="shared" si="6"/>
        <v/>
      </c>
      <c r="W58" t="str">
        <f t="shared" si="7"/>
        <v/>
      </c>
      <c r="X58" s="27" t="str">
        <f t="shared" si="8"/>
        <v/>
      </c>
      <c r="Y58" s="27" t="str">
        <f t="shared" si="9"/>
        <v/>
      </c>
      <c r="Z58" s="27" t="str">
        <f t="shared" si="10"/>
        <v/>
      </c>
      <c r="AA58" s="27" t="str">
        <f t="shared" si="11"/>
        <v/>
      </c>
      <c r="AB58" s="27" t="str">
        <f t="shared" si="12"/>
        <v/>
      </c>
      <c r="AC58" s="27" t="str">
        <f t="shared" si="13"/>
        <v/>
      </c>
    </row>
    <row r="59" spans="1:29" ht="15" customHeight="1" x14ac:dyDescent="0.3">
      <c r="A59" s="22" t="s">
        <v>71</v>
      </c>
      <c r="B59" s="23" t="s">
        <v>8</v>
      </c>
      <c r="C59" s="23" t="s">
        <v>9</v>
      </c>
      <c r="D59" s="24" t="s">
        <v>20</v>
      </c>
      <c r="E59" s="24" t="s">
        <v>68</v>
      </c>
      <c r="F59" s="18"/>
      <c r="G59" s="19">
        <v>4.4634999999999998</v>
      </c>
      <c r="H59" s="20">
        <v>0.1893</v>
      </c>
      <c r="I59" s="21"/>
      <c r="J59" s="20">
        <v>231.33420000000001</v>
      </c>
      <c r="K59" s="20">
        <v>9.7352000000000007</v>
      </c>
      <c r="M59" t="str">
        <f t="shared" si="0"/>
        <v>LUBA BABY B5&amp;VIT E PH5.5W 120 BAG</v>
      </c>
      <c r="N59" s="29" t="str">
        <f t="shared" si="1"/>
        <v xml:space="preserve"> BroadLeaf Group</v>
      </c>
      <c r="O59" t="str">
        <f t="shared" si="2"/>
        <v>LUBA (BroadLeaf Group)</v>
      </c>
      <c r="P59" t="str">
        <f t="shared" si="4"/>
        <v xml:space="preserve"> BroadLeaf Group</v>
      </c>
      <c r="R59" t="str">
        <f t="shared" si="3"/>
        <v>LUBA (BroadLeaf Group)</v>
      </c>
      <c r="T59" t="s">
        <v>70</v>
      </c>
      <c r="U59" t="str">
        <f t="shared" si="5"/>
        <v>BAGS</v>
      </c>
      <c r="V59" t="str">
        <f t="shared" si="6"/>
        <v>PH BALANCED</v>
      </c>
      <c r="W59" t="str">
        <f t="shared" si="7"/>
        <v>120</v>
      </c>
      <c r="X59" s="27">
        <f t="shared" si="8"/>
        <v>0</v>
      </c>
      <c r="Y59" s="27">
        <f t="shared" si="9"/>
        <v>0</v>
      </c>
      <c r="Z59" s="27">
        <f t="shared" si="10"/>
        <v>5.7117000000000004</v>
      </c>
      <c r="AA59" s="27">
        <f t="shared" si="11"/>
        <v>0</v>
      </c>
      <c r="AB59" s="27">
        <f t="shared" si="12"/>
        <v>0</v>
      </c>
      <c r="AC59" s="27">
        <f t="shared" si="13"/>
        <v>338.46300000000002</v>
      </c>
    </row>
    <row r="60" spans="1:29" ht="14.25" customHeight="1" x14ac:dyDescent="0.3">
      <c r="A60" s="25" t="s">
        <v>717</v>
      </c>
      <c r="B60" s="4" t="s">
        <v>5</v>
      </c>
      <c r="C60" s="4"/>
      <c r="D60" s="5"/>
      <c r="E60" s="5"/>
      <c r="F60" s="10">
        <v>0.70520000000000005</v>
      </c>
      <c r="G60" s="11"/>
      <c r="H60" s="12"/>
      <c r="I60" s="13">
        <v>47.325299999999999</v>
      </c>
      <c r="J60" s="12"/>
      <c r="K60" s="12"/>
      <c r="M60" t="str">
        <f t="shared" si="0"/>
        <v>LUBA BABY B5&amp;VIT E PH5.5 90 W BAG</v>
      </c>
      <c r="N60" s="29" t="str">
        <f t="shared" si="1"/>
        <v xml:space="preserve"> BroadLeaf Group</v>
      </c>
      <c r="O60" t="str">
        <f t="shared" si="2"/>
        <v>LUBA (BroadLeaf Group)</v>
      </c>
      <c r="P60" t="str">
        <f t="shared" si="4"/>
        <v xml:space="preserve"> BroadLeaf Group</v>
      </c>
      <c r="R60" t="str">
        <f t="shared" si="3"/>
        <v>LUBA (BroadLeaf Group)</v>
      </c>
      <c r="T60" t="s">
        <v>71</v>
      </c>
      <c r="U60" t="str">
        <f t="shared" si="5"/>
        <v>BAGS</v>
      </c>
      <c r="V60" t="str">
        <f t="shared" si="6"/>
        <v>PH BALANCED</v>
      </c>
      <c r="W60" t="str">
        <f t="shared" si="7"/>
        <v>90</v>
      </c>
      <c r="X60" s="27">
        <f t="shared" si="8"/>
        <v>0</v>
      </c>
      <c r="Y60" s="27">
        <f t="shared" si="9"/>
        <v>4.4634999999999998</v>
      </c>
      <c r="Z60" s="27">
        <f t="shared" si="10"/>
        <v>0.1893</v>
      </c>
      <c r="AA60" s="27">
        <f t="shared" si="11"/>
        <v>0</v>
      </c>
      <c r="AB60" s="27">
        <f t="shared" si="12"/>
        <v>231.33420000000001</v>
      </c>
      <c r="AC60" s="27">
        <f t="shared" si="13"/>
        <v>9.7352000000000007</v>
      </c>
    </row>
    <row r="61" spans="1:29" ht="15" customHeight="1" x14ac:dyDescent="0.3">
      <c r="A61" s="14" t="s">
        <v>834</v>
      </c>
      <c r="B61" s="15" t="s">
        <v>6</v>
      </c>
      <c r="C61" s="16"/>
      <c r="D61" s="17"/>
      <c r="E61" s="17"/>
      <c r="F61" s="18">
        <v>0.70520000000000005</v>
      </c>
      <c r="G61" s="19"/>
      <c r="H61" s="20"/>
      <c r="I61" s="21">
        <v>47.325299999999999</v>
      </c>
      <c r="J61" s="20"/>
      <c r="K61" s="20"/>
      <c r="M61" t="str">
        <f t="shared" si="0"/>
        <v/>
      </c>
      <c r="N61" s="29" t="str">
        <f t="shared" si="1"/>
        <v xml:space="preserve"> BroadLeaf Group</v>
      </c>
      <c r="O61" t="str">
        <f t="shared" si="2"/>
        <v>LUBA (BroadLeaf Group)</v>
      </c>
      <c r="P61" t="str">
        <f t="shared" si="4"/>
        <v/>
      </c>
      <c r="R61" t="str">
        <f t="shared" si="3"/>
        <v/>
      </c>
      <c r="T61" t="s">
        <v>871</v>
      </c>
      <c r="U61" t="str">
        <f t="shared" si="5"/>
        <v/>
      </c>
      <c r="V61" t="str">
        <f t="shared" si="6"/>
        <v/>
      </c>
      <c r="W61" t="str">
        <f t="shared" si="7"/>
        <v/>
      </c>
      <c r="X61" s="27" t="str">
        <f t="shared" si="8"/>
        <v/>
      </c>
      <c r="Y61" s="27" t="str">
        <f t="shared" si="9"/>
        <v/>
      </c>
      <c r="Z61" s="27" t="str">
        <f t="shared" si="10"/>
        <v/>
      </c>
      <c r="AA61" s="27" t="str">
        <f t="shared" si="11"/>
        <v/>
      </c>
      <c r="AB61" s="27" t="str">
        <f t="shared" si="12"/>
        <v/>
      </c>
      <c r="AC61" s="27" t="str">
        <f t="shared" si="13"/>
        <v/>
      </c>
    </row>
    <row r="62" spans="1:29" ht="15" customHeight="1" x14ac:dyDescent="0.3">
      <c r="A62" s="22" t="s">
        <v>72</v>
      </c>
      <c r="B62" s="23" t="s">
        <v>8</v>
      </c>
      <c r="C62" s="23" t="s">
        <v>9</v>
      </c>
      <c r="D62" s="24" t="s">
        <v>20</v>
      </c>
      <c r="E62" s="24" t="s">
        <v>24</v>
      </c>
      <c r="F62" s="18">
        <v>0.70520000000000005</v>
      </c>
      <c r="G62" s="19"/>
      <c r="H62" s="20"/>
      <c r="I62" s="21">
        <v>47.325299999999999</v>
      </c>
      <c r="J62" s="20"/>
      <c r="K62" s="20"/>
      <c r="M62" t="str">
        <f t="shared" si="0"/>
        <v/>
      </c>
      <c r="N62" s="29" t="str">
        <f t="shared" si="1"/>
        <v xml:space="preserve"> BroadLeaf Group</v>
      </c>
      <c r="O62" t="str">
        <f t="shared" si="2"/>
        <v>LUBA (BroadLeaf Group)</v>
      </c>
      <c r="P62" t="str">
        <f t="shared" si="4"/>
        <v/>
      </c>
      <c r="R62" t="str">
        <f t="shared" si="3"/>
        <v/>
      </c>
      <c r="T62" t="s">
        <v>871</v>
      </c>
      <c r="U62" t="str">
        <f t="shared" si="5"/>
        <v/>
      </c>
      <c r="V62" t="str">
        <f t="shared" si="6"/>
        <v/>
      </c>
      <c r="W62" t="str">
        <f t="shared" si="7"/>
        <v/>
      </c>
      <c r="X62" s="27" t="str">
        <f t="shared" si="8"/>
        <v/>
      </c>
      <c r="Y62" s="27" t="str">
        <f t="shared" si="9"/>
        <v/>
      </c>
      <c r="Z62" s="27" t="str">
        <f t="shared" si="10"/>
        <v/>
      </c>
      <c r="AA62" s="27" t="str">
        <f t="shared" si="11"/>
        <v/>
      </c>
      <c r="AB62" s="27" t="str">
        <f t="shared" si="12"/>
        <v/>
      </c>
      <c r="AC62" s="27" t="str">
        <f t="shared" si="13"/>
        <v/>
      </c>
    </row>
    <row r="63" spans="1:29" ht="14.25" customHeight="1" x14ac:dyDescent="0.3">
      <c r="A63" s="25" t="s">
        <v>718</v>
      </c>
      <c r="B63" s="4" t="s">
        <v>5</v>
      </c>
      <c r="C63" s="4"/>
      <c r="D63" s="5"/>
      <c r="E63" s="5"/>
      <c r="F63" s="10">
        <v>104.66630000000001</v>
      </c>
      <c r="G63" s="11">
        <v>94.425600000000003</v>
      </c>
      <c r="H63" s="12">
        <v>45.948500000000003</v>
      </c>
      <c r="I63" s="13">
        <v>5728.6422000000002</v>
      </c>
      <c r="J63" s="12">
        <v>5002.3734000000004</v>
      </c>
      <c r="K63" s="12">
        <v>2228.9189999999999</v>
      </c>
      <c r="M63" t="str">
        <f t="shared" si="0"/>
        <v>HUGGLO BABY PH5.5 W 120 BAG KAPAK</v>
      </c>
      <c r="N63" s="29" t="str">
        <f t="shared" si="1"/>
        <v xml:space="preserve"> ArborChemistry</v>
      </c>
      <c r="O63" t="str">
        <f t="shared" si="2"/>
        <v>HUGGLO (ArborChemistry)</v>
      </c>
      <c r="P63" t="str">
        <f t="shared" si="4"/>
        <v xml:space="preserve"> ArborChemistry</v>
      </c>
      <c r="R63" t="str">
        <f t="shared" si="3"/>
        <v>HUGGLO (ArborChemistry)</v>
      </c>
      <c r="T63" t="s">
        <v>72</v>
      </c>
      <c r="U63" t="str">
        <f t="shared" si="5"/>
        <v>BAGS</v>
      </c>
      <c r="V63" t="str">
        <f t="shared" si="6"/>
        <v>PH BALANCED</v>
      </c>
      <c r="W63" t="str">
        <f t="shared" si="7"/>
        <v>120</v>
      </c>
      <c r="X63" s="27">
        <f t="shared" si="8"/>
        <v>0.70520000000000005</v>
      </c>
      <c r="Y63" s="27">
        <f t="shared" si="9"/>
        <v>0</v>
      </c>
      <c r="Z63" s="27">
        <f t="shared" si="10"/>
        <v>0</v>
      </c>
      <c r="AA63" s="27">
        <f t="shared" si="11"/>
        <v>47.325299999999999</v>
      </c>
      <c r="AB63" s="27">
        <f t="shared" si="12"/>
        <v>0</v>
      </c>
      <c r="AC63" s="27">
        <f t="shared" si="13"/>
        <v>0</v>
      </c>
    </row>
    <row r="64" spans="1:29" ht="15" customHeight="1" x14ac:dyDescent="0.3">
      <c r="A64" s="14" t="s">
        <v>835</v>
      </c>
      <c r="B64" s="15" t="s">
        <v>6</v>
      </c>
      <c r="C64" s="16"/>
      <c r="D64" s="17"/>
      <c r="E64" s="17"/>
      <c r="F64" s="18">
        <v>104.66630000000001</v>
      </c>
      <c r="G64" s="19">
        <v>94.425600000000003</v>
      </c>
      <c r="H64" s="20">
        <v>45.948500000000003</v>
      </c>
      <c r="I64" s="21">
        <v>5728.6422000000002</v>
      </c>
      <c r="J64" s="20">
        <v>5002.3734000000004</v>
      </c>
      <c r="K64" s="20">
        <v>2228.9189999999999</v>
      </c>
      <c r="M64" t="str">
        <f t="shared" si="0"/>
        <v/>
      </c>
      <c r="N64" s="29" t="str">
        <f t="shared" si="1"/>
        <v xml:space="preserve"> ArborChemistry</v>
      </c>
      <c r="O64" t="str">
        <f t="shared" si="2"/>
        <v>HUGGLO (ArborChemistry)</v>
      </c>
      <c r="P64" t="str">
        <f t="shared" si="4"/>
        <v/>
      </c>
      <c r="R64" t="str">
        <f t="shared" si="3"/>
        <v/>
      </c>
      <c r="T64" t="s">
        <v>871</v>
      </c>
      <c r="U64" t="str">
        <f t="shared" si="5"/>
        <v/>
      </c>
      <c r="V64" t="str">
        <f t="shared" si="6"/>
        <v/>
      </c>
      <c r="W64" t="str">
        <f t="shared" si="7"/>
        <v/>
      </c>
      <c r="X64" s="27" t="str">
        <f t="shared" si="8"/>
        <v/>
      </c>
      <c r="Y64" s="27" t="str">
        <f t="shared" si="9"/>
        <v/>
      </c>
      <c r="Z64" s="27" t="str">
        <f t="shared" si="10"/>
        <v/>
      </c>
      <c r="AA64" s="27" t="str">
        <f t="shared" si="11"/>
        <v/>
      </c>
      <c r="AB64" s="27" t="str">
        <f t="shared" si="12"/>
        <v/>
      </c>
      <c r="AC64" s="27" t="str">
        <f t="shared" si="13"/>
        <v/>
      </c>
    </row>
    <row r="65" spans="1:29" ht="15" customHeight="1" x14ac:dyDescent="0.3">
      <c r="A65" s="22" t="s">
        <v>73</v>
      </c>
      <c r="B65" s="23" t="s">
        <v>8</v>
      </c>
      <c r="C65" s="23" t="s">
        <v>9</v>
      </c>
      <c r="D65" s="24" t="s">
        <v>20</v>
      </c>
      <c r="E65" s="24" t="s">
        <v>21</v>
      </c>
      <c r="F65" s="18">
        <v>0.76280000000000003</v>
      </c>
      <c r="G65" s="19">
        <v>0.23669999999999999</v>
      </c>
      <c r="H65" s="20">
        <v>0.1135</v>
      </c>
      <c r="I65" s="21">
        <v>43.074599999999997</v>
      </c>
      <c r="J65" s="20">
        <v>13.9861</v>
      </c>
      <c r="K65" s="20">
        <v>6.5488999999999997</v>
      </c>
      <c r="M65" t="str">
        <f t="shared" si="0"/>
        <v/>
      </c>
      <c r="N65" s="29" t="str">
        <f t="shared" si="1"/>
        <v xml:space="preserve"> ArborChemistry</v>
      </c>
      <c r="O65" t="str">
        <f t="shared" si="2"/>
        <v>HUGGLO (ArborChemistry)</v>
      </c>
      <c r="P65" t="str">
        <f t="shared" si="4"/>
        <v/>
      </c>
      <c r="R65" t="str">
        <f t="shared" si="3"/>
        <v/>
      </c>
      <c r="T65" t="s">
        <v>871</v>
      </c>
      <c r="U65" t="str">
        <f t="shared" si="5"/>
        <v/>
      </c>
      <c r="V65" t="str">
        <f t="shared" si="6"/>
        <v/>
      </c>
      <c r="W65" t="str">
        <f t="shared" si="7"/>
        <v/>
      </c>
      <c r="X65" s="27" t="str">
        <f t="shared" si="8"/>
        <v/>
      </c>
      <c r="Y65" s="27" t="str">
        <f t="shared" si="9"/>
        <v/>
      </c>
      <c r="Z65" s="27" t="str">
        <f t="shared" si="10"/>
        <v/>
      </c>
      <c r="AA65" s="27" t="str">
        <f t="shared" si="11"/>
        <v/>
      </c>
      <c r="AB65" s="27" t="str">
        <f t="shared" si="12"/>
        <v/>
      </c>
      <c r="AC65" s="27" t="str">
        <f t="shared" si="13"/>
        <v/>
      </c>
    </row>
    <row r="66" spans="1:29" ht="15" customHeight="1" x14ac:dyDescent="0.3">
      <c r="A66" s="22" t="s">
        <v>74</v>
      </c>
      <c r="B66" s="23" t="s">
        <v>8</v>
      </c>
      <c r="C66" s="23" t="s">
        <v>9</v>
      </c>
      <c r="D66" s="24" t="s">
        <v>64</v>
      </c>
      <c r="E66" s="24" t="s">
        <v>21</v>
      </c>
      <c r="F66" s="18">
        <v>14.3467</v>
      </c>
      <c r="G66" s="19">
        <v>14.9893</v>
      </c>
      <c r="H66" s="20">
        <v>7.9457000000000004</v>
      </c>
      <c r="I66" s="21">
        <v>749.43960000000004</v>
      </c>
      <c r="J66" s="20">
        <v>788.71510000000001</v>
      </c>
      <c r="K66" s="20">
        <v>388.85250000000002</v>
      </c>
      <c r="M66" t="str">
        <f t="shared" si="0"/>
        <v>PAPILION BABY ALOE VERA W 100 BAG KAPAK</v>
      </c>
      <c r="N66" s="29" t="str">
        <f t="shared" si="1"/>
        <v xml:space="preserve"> ArkPapers</v>
      </c>
      <c r="O66" t="str">
        <f t="shared" si="2"/>
        <v>PAPILION (ArkPapers)</v>
      </c>
      <c r="P66" t="str">
        <f t="shared" si="4"/>
        <v xml:space="preserve"> ArkPapers</v>
      </c>
      <c r="R66" t="str">
        <f t="shared" si="3"/>
        <v>PAPILION (ArkPapers)</v>
      </c>
      <c r="T66" t="s">
        <v>73</v>
      </c>
      <c r="U66" t="str">
        <f t="shared" si="5"/>
        <v>BAGS</v>
      </c>
      <c r="V66" t="str">
        <f t="shared" si="6"/>
        <v>PH BALANCED</v>
      </c>
      <c r="W66" t="str">
        <f t="shared" si="7"/>
        <v>100</v>
      </c>
      <c r="X66" s="27">
        <f t="shared" si="8"/>
        <v>0.76280000000000003</v>
      </c>
      <c r="Y66" s="27">
        <f t="shared" si="9"/>
        <v>0.23669999999999999</v>
      </c>
      <c r="Z66" s="27">
        <f t="shared" si="10"/>
        <v>0.1135</v>
      </c>
      <c r="AA66" s="27">
        <f t="shared" si="11"/>
        <v>43.074599999999997</v>
      </c>
      <c r="AB66" s="27">
        <f t="shared" si="12"/>
        <v>13.9861</v>
      </c>
      <c r="AC66" s="27">
        <f t="shared" si="13"/>
        <v>6.5488999999999997</v>
      </c>
    </row>
    <row r="67" spans="1:29" ht="15" customHeight="1" x14ac:dyDescent="0.3">
      <c r="A67" s="22" t="s">
        <v>75</v>
      </c>
      <c r="B67" s="23" t="s">
        <v>8</v>
      </c>
      <c r="C67" s="23" t="s">
        <v>9</v>
      </c>
      <c r="D67" s="24" t="s">
        <v>10</v>
      </c>
      <c r="E67" s="24" t="s">
        <v>21</v>
      </c>
      <c r="F67" s="18">
        <v>9.9741999999999997</v>
      </c>
      <c r="G67" s="19">
        <v>17.767600000000002</v>
      </c>
      <c r="H67" s="20">
        <v>9.7081</v>
      </c>
      <c r="I67" s="21">
        <v>530.94489999999996</v>
      </c>
      <c r="J67" s="20">
        <v>921.25450000000001</v>
      </c>
      <c r="K67" s="20">
        <v>442.90179999999998</v>
      </c>
      <c r="M67" t="str">
        <f t="shared" si="0"/>
        <v>PAPILION BABY SENSITIVE W 100 BAG KAPAK</v>
      </c>
      <c r="N67" s="29" t="str">
        <f t="shared" si="1"/>
        <v xml:space="preserve"> ArkPapers</v>
      </c>
      <c r="O67" t="str">
        <f t="shared" si="2"/>
        <v>PAPILION (ArkPapers)</v>
      </c>
      <c r="P67" t="str">
        <f t="shared" si="4"/>
        <v xml:space="preserve"> ArkPapers</v>
      </c>
      <c r="R67" t="str">
        <f t="shared" si="3"/>
        <v>PAPILION (ArkPapers)</v>
      </c>
      <c r="T67" t="s">
        <v>74</v>
      </c>
      <c r="U67" t="str">
        <f t="shared" si="5"/>
        <v>BAGS</v>
      </c>
      <c r="V67" t="str">
        <f t="shared" si="6"/>
        <v>SENSITIVE</v>
      </c>
      <c r="W67" t="str">
        <f t="shared" si="7"/>
        <v>100</v>
      </c>
      <c r="X67" s="27">
        <f t="shared" si="8"/>
        <v>14.3467</v>
      </c>
      <c r="Y67" s="27">
        <f t="shared" si="9"/>
        <v>14.9893</v>
      </c>
      <c r="Z67" s="27">
        <f t="shared" si="10"/>
        <v>7.9457000000000004</v>
      </c>
      <c r="AA67" s="27">
        <f t="shared" si="11"/>
        <v>749.43960000000004</v>
      </c>
      <c r="AB67" s="27">
        <f t="shared" si="12"/>
        <v>788.71510000000001</v>
      </c>
      <c r="AC67" s="27">
        <f t="shared" si="13"/>
        <v>388.85250000000002</v>
      </c>
    </row>
    <row r="68" spans="1:29" ht="15" customHeight="1" x14ac:dyDescent="0.3">
      <c r="A68" s="22" t="s">
        <v>76</v>
      </c>
      <c r="B68" s="23" t="s">
        <v>8</v>
      </c>
      <c r="C68" s="23" t="s">
        <v>9</v>
      </c>
      <c r="D68" s="24" t="s">
        <v>10</v>
      </c>
      <c r="E68" s="24" t="s">
        <v>21</v>
      </c>
      <c r="F68" s="18">
        <v>15.1808</v>
      </c>
      <c r="G68" s="19">
        <v>9.7044999999999995</v>
      </c>
      <c r="H68" s="20">
        <v>2.6509999999999998</v>
      </c>
      <c r="I68" s="21">
        <v>814.55730000000005</v>
      </c>
      <c r="J68" s="20">
        <v>531.53909999999996</v>
      </c>
      <c r="K68" s="20">
        <v>144.98150000000001</v>
      </c>
      <c r="M68" t="str">
        <f t="shared" si="0"/>
        <v>PAPILION BABY WET CHAMOMILE W 100 BAG</v>
      </c>
      <c r="N68" s="29" t="str">
        <f t="shared" si="1"/>
        <v xml:space="preserve"> ArkPapers</v>
      </c>
      <c r="O68" t="str">
        <f t="shared" si="2"/>
        <v>PAPILION (ArkPapers)</v>
      </c>
      <c r="P68" t="str">
        <f t="shared" si="4"/>
        <v xml:space="preserve"> ArkPapers</v>
      </c>
      <c r="R68" t="str">
        <f t="shared" si="3"/>
        <v>PAPILION (ArkPapers)</v>
      </c>
      <c r="T68" t="s">
        <v>75</v>
      </c>
      <c r="U68" t="str">
        <f t="shared" si="5"/>
        <v>BAGS</v>
      </c>
      <c r="V68" t="str">
        <f t="shared" si="6"/>
        <v>WITHOUT EXTRA PROTECTCARE INDICATION</v>
      </c>
      <c r="W68" t="str">
        <f t="shared" si="7"/>
        <v>100</v>
      </c>
      <c r="X68" s="27">
        <f t="shared" si="8"/>
        <v>9.9741999999999997</v>
      </c>
      <c r="Y68" s="27">
        <f t="shared" si="9"/>
        <v>17.767600000000002</v>
      </c>
      <c r="Z68" s="27">
        <f t="shared" si="10"/>
        <v>9.7081</v>
      </c>
      <c r="AA68" s="27">
        <f t="shared" si="11"/>
        <v>530.94489999999996</v>
      </c>
      <c r="AB68" s="27">
        <f t="shared" si="12"/>
        <v>921.25450000000001</v>
      </c>
      <c r="AC68" s="27">
        <f t="shared" si="13"/>
        <v>442.90179999999998</v>
      </c>
    </row>
    <row r="69" spans="1:29" ht="15" customHeight="1" x14ac:dyDescent="0.3">
      <c r="A69" s="22" t="s">
        <v>77</v>
      </c>
      <c r="B69" s="23" t="s">
        <v>8</v>
      </c>
      <c r="C69" s="23" t="s">
        <v>9</v>
      </c>
      <c r="D69" s="24" t="s">
        <v>20</v>
      </c>
      <c r="E69" s="24" t="s">
        <v>21</v>
      </c>
      <c r="F69" s="18">
        <v>18.2471</v>
      </c>
      <c r="G69" s="19">
        <v>19.903099999999998</v>
      </c>
      <c r="H69" s="20">
        <v>8.7614000000000001</v>
      </c>
      <c r="I69" s="21">
        <v>989.38980000000004</v>
      </c>
      <c r="J69" s="20">
        <v>1044.1582000000001</v>
      </c>
      <c r="K69" s="20">
        <v>387.44209999999998</v>
      </c>
      <c r="M69" t="str">
        <f t="shared" ref="M69:M132" si="14">IF(B68="ITEM",A68,"")</f>
        <v>PAPILION BABY WET GREEN APPLE W 100 BAG</v>
      </c>
      <c r="N69" s="29" t="str">
        <f t="shared" si="1"/>
        <v xml:space="preserve"> ArkPapers</v>
      </c>
      <c r="O69" t="str">
        <f t="shared" si="2"/>
        <v>PAPILION (ArkPapers)</v>
      </c>
      <c r="P69" t="str">
        <f t="shared" si="4"/>
        <v xml:space="preserve"> ArkPapers</v>
      </c>
      <c r="R69" t="str">
        <f t="shared" si="3"/>
        <v>PAPILION (ArkPapers)</v>
      </c>
      <c r="T69" t="s">
        <v>76</v>
      </c>
      <c r="U69" t="str">
        <f t="shared" si="5"/>
        <v>BAGS</v>
      </c>
      <c r="V69" t="str">
        <f t="shared" si="6"/>
        <v>WITHOUT EXTRA PROTECTCARE INDICATION</v>
      </c>
      <c r="W69" t="str">
        <f t="shared" si="7"/>
        <v>100</v>
      </c>
      <c r="X69" s="27">
        <f t="shared" si="8"/>
        <v>15.1808</v>
      </c>
      <c r="Y69" s="27">
        <f t="shared" si="9"/>
        <v>9.7044999999999995</v>
      </c>
      <c r="Z69" s="27">
        <f t="shared" si="10"/>
        <v>2.6509999999999998</v>
      </c>
      <c r="AA69" s="27">
        <f t="shared" si="11"/>
        <v>814.55730000000005</v>
      </c>
      <c r="AB69" s="27">
        <f t="shared" si="12"/>
        <v>531.53909999999996</v>
      </c>
      <c r="AC69" s="27">
        <f t="shared" si="13"/>
        <v>144.98150000000001</v>
      </c>
    </row>
    <row r="70" spans="1:29" ht="15" customHeight="1" x14ac:dyDescent="0.3">
      <c r="A70" s="22" t="s">
        <v>78</v>
      </c>
      <c r="B70" s="23" t="s">
        <v>8</v>
      </c>
      <c r="C70" s="23" t="s">
        <v>9</v>
      </c>
      <c r="D70" s="24" t="s">
        <v>20</v>
      </c>
      <c r="E70" s="24" t="s">
        <v>21</v>
      </c>
      <c r="F70" s="18">
        <v>13.7898</v>
      </c>
      <c r="G70" s="19">
        <v>10.6778</v>
      </c>
      <c r="H70" s="20">
        <v>5.2233000000000001</v>
      </c>
      <c r="I70" s="21">
        <v>726.86360000000002</v>
      </c>
      <c r="J70" s="20">
        <v>563.28449999999998</v>
      </c>
      <c r="K70" s="20">
        <v>268.45999999999998</v>
      </c>
      <c r="M70" t="str">
        <f t="shared" si="14"/>
        <v>PAPILION BABYWET CHARM.LAVENDER W 100BAG</v>
      </c>
      <c r="N70" s="29" t="str">
        <f t="shared" si="1"/>
        <v xml:space="preserve"> ArkPapers</v>
      </c>
      <c r="O70" t="str">
        <f t="shared" si="2"/>
        <v>PAPILION (ArkPapers)</v>
      </c>
      <c r="P70" t="str">
        <f t="shared" si="4"/>
        <v xml:space="preserve"> ArkPapers</v>
      </c>
      <c r="R70" t="str">
        <f t="shared" si="3"/>
        <v>PAPILION (ArkPapers)</v>
      </c>
      <c r="T70" t="s">
        <v>77</v>
      </c>
      <c r="U70" t="str">
        <f t="shared" si="5"/>
        <v>BAGS</v>
      </c>
      <c r="V70" t="str">
        <f t="shared" si="6"/>
        <v>PH BALANCED</v>
      </c>
      <c r="W70" t="str">
        <f t="shared" si="7"/>
        <v>100</v>
      </c>
      <c r="X70" s="27">
        <f t="shared" si="8"/>
        <v>18.2471</v>
      </c>
      <c r="Y70" s="27">
        <f t="shared" si="9"/>
        <v>19.903099999999998</v>
      </c>
      <c r="Z70" s="27">
        <f t="shared" si="10"/>
        <v>8.7614000000000001</v>
      </c>
      <c r="AA70" s="27">
        <f t="shared" si="11"/>
        <v>989.38980000000004</v>
      </c>
      <c r="AB70" s="27">
        <f t="shared" si="12"/>
        <v>1044.1582000000001</v>
      </c>
      <c r="AC70" s="27">
        <f t="shared" si="13"/>
        <v>387.44209999999998</v>
      </c>
    </row>
    <row r="71" spans="1:29" ht="15" customHeight="1" x14ac:dyDescent="0.3">
      <c r="A71" s="22" t="s">
        <v>79</v>
      </c>
      <c r="B71" s="23" t="s">
        <v>8</v>
      </c>
      <c r="C71" s="23" t="s">
        <v>9</v>
      </c>
      <c r="D71" s="24" t="s">
        <v>10</v>
      </c>
      <c r="E71" s="24" t="s">
        <v>21</v>
      </c>
      <c r="F71" s="18"/>
      <c r="G71" s="19"/>
      <c r="H71" s="20"/>
      <c r="I71" s="21"/>
      <c r="J71" s="20"/>
      <c r="K71" s="20"/>
      <c r="M71" t="str">
        <f t="shared" si="14"/>
        <v>PAPILION BABYWET CHARMINGROSE W 100 BAG</v>
      </c>
      <c r="N71" s="29" t="str">
        <f t="shared" ref="N71:N134" si="15">IF(B68="MANUFACTURER",A68,N70)</f>
        <v xml:space="preserve"> ArkPapers</v>
      </c>
      <c r="O71" t="str">
        <f t="shared" ref="O71:O134" si="16">IF(B69="BRAND",A69,O70)</f>
        <v>PAPILION (ArkPapers)</v>
      </c>
      <c r="P71" t="str">
        <f t="shared" si="4"/>
        <v xml:space="preserve"> ArkPapers</v>
      </c>
      <c r="R71" t="str">
        <f t="shared" ref="R71:R134" si="17">IF(B70="ITEM",O71,"")</f>
        <v>PAPILION (ArkPapers)</v>
      </c>
      <c r="T71" t="s">
        <v>78</v>
      </c>
      <c r="U71" t="str">
        <f t="shared" si="5"/>
        <v>BAGS</v>
      </c>
      <c r="V71" t="str">
        <f t="shared" si="6"/>
        <v>PH BALANCED</v>
      </c>
      <c r="W71" t="str">
        <f t="shared" si="7"/>
        <v>100</v>
      </c>
      <c r="X71" s="27">
        <f t="shared" si="8"/>
        <v>13.7898</v>
      </c>
      <c r="Y71" s="27">
        <f t="shared" si="9"/>
        <v>10.6778</v>
      </c>
      <c r="Z71" s="27">
        <f t="shared" si="10"/>
        <v>5.2233000000000001</v>
      </c>
      <c r="AA71" s="27">
        <f t="shared" si="11"/>
        <v>726.86360000000002</v>
      </c>
      <c r="AB71" s="27">
        <f t="shared" si="12"/>
        <v>563.28449999999998</v>
      </c>
      <c r="AC71" s="27">
        <f t="shared" si="13"/>
        <v>268.45999999999998</v>
      </c>
    </row>
    <row r="72" spans="1:29" ht="15" customHeight="1" x14ac:dyDescent="0.3">
      <c r="A72" s="22" t="s">
        <v>80</v>
      </c>
      <c r="B72" s="23" t="s">
        <v>8</v>
      </c>
      <c r="C72" s="23" t="s">
        <v>9</v>
      </c>
      <c r="D72" s="24" t="s">
        <v>20</v>
      </c>
      <c r="E72" s="24" t="s">
        <v>24</v>
      </c>
      <c r="F72" s="18">
        <v>29.590800000000002</v>
      </c>
      <c r="G72" s="19">
        <v>20.845300000000002</v>
      </c>
      <c r="H72" s="20">
        <v>11.449400000000001</v>
      </c>
      <c r="I72" s="21">
        <v>1741.4848</v>
      </c>
      <c r="J72" s="20">
        <v>1127.5655999999999</v>
      </c>
      <c r="K72" s="20">
        <v>585.96109999999999</v>
      </c>
      <c r="M72" t="str">
        <f t="shared" si="14"/>
        <v>PAPILION BABYWET GRAPEFRUIT&amp;LIME W 100BA</v>
      </c>
      <c r="N72" s="29" t="str">
        <f t="shared" si="15"/>
        <v xml:space="preserve"> ArkPapers</v>
      </c>
      <c r="O72" t="str">
        <f t="shared" si="16"/>
        <v>PAPILION (ArkPapers)</v>
      </c>
      <c r="P72" t="str">
        <f t="shared" ref="P72:P135" si="18">IF(B71="ITEM",N72,"")</f>
        <v xml:space="preserve"> ArkPapers</v>
      </c>
      <c r="R72" t="str">
        <f t="shared" si="17"/>
        <v>PAPILION (ArkPapers)</v>
      </c>
      <c r="T72" t="s">
        <v>79</v>
      </c>
      <c r="U72" t="str">
        <f t="shared" ref="U72:U135" si="19">IF(B71="ITEM",C71,"")</f>
        <v>BAGS</v>
      </c>
      <c r="V72" t="str">
        <f t="shared" ref="V72:V135" si="20">IF(B71="ITEM",D71,"")</f>
        <v>WITHOUT EXTRA PROTECTCARE INDICATION</v>
      </c>
      <c r="W72" t="str">
        <f t="shared" ref="W72:W135" si="21">IF(B71="ITEM",E71,"")</f>
        <v>100</v>
      </c>
      <c r="X72" s="27">
        <f t="shared" ref="X72:X135" si="22">IF(B71 = "ITEM",F71,"")</f>
        <v>0</v>
      </c>
      <c r="Y72" s="27">
        <f t="shared" ref="Y72:Y135" si="23">IF(B71="ITEM",G71,"")</f>
        <v>0</v>
      </c>
      <c r="Z72" s="27">
        <f t="shared" ref="Z72:Z135" si="24">IF(B71="ITEM",H71,"")</f>
        <v>0</v>
      </c>
      <c r="AA72" s="27">
        <f t="shared" ref="AA72:AA135" si="25">IF(B71="ITEM",I71,"")</f>
        <v>0</v>
      </c>
      <c r="AB72" s="27">
        <f t="shared" ref="AB72:AB135" si="26">IF(B71="ITEM",J71,"")</f>
        <v>0</v>
      </c>
      <c r="AC72" s="27">
        <f t="shared" ref="AC72:AC135" si="27">IF(B71="ITEM",K71,"")</f>
        <v>0</v>
      </c>
    </row>
    <row r="73" spans="1:29" ht="15" customHeight="1" x14ac:dyDescent="0.3">
      <c r="A73" s="22" t="s">
        <v>81</v>
      </c>
      <c r="B73" s="23" t="s">
        <v>8</v>
      </c>
      <c r="C73" s="23" t="s">
        <v>9</v>
      </c>
      <c r="D73" s="24" t="s">
        <v>64</v>
      </c>
      <c r="E73" s="24" t="s">
        <v>42</v>
      </c>
      <c r="F73" s="18">
        <v>0.72840000000000005</v>
      </c>
      <c r="G73" s="19"/>
      <c r="H73" s="20"/>
      <c r="I73" s="21">
        <v>51.0182</v>
      </c>
      <c r="J73" s="20"/>
      <c r="K73" s="20"/>
      <c r="M73" t="str">
        <f t="shared" si="14"/>
        <v>PAPILION JUMBO WET PH5.5 W 120 BAG KAPAK</v>
      </c>
      <c r="N73" s="29" t="str">
        <f t="shared" si="15"/>
        <v xml:space="preserve"> ArkPapers</v>
      </c>
      <c r="O73" t="str">
        <f t="shared" si="16"/>
        <v>PAPILION (ArkPapers)</v>
      </c>
      <c r="P73" t="str">
        <f t="shared" si="18"/>
        <v xml:space="preserve"> ArkPapers</v>
      </c>
      <c r="R73" t="str">
        <f t="shared" si="17"/>
        <v>PAPILION (ArkPapers)</v>
      </c>
      <c r="T73" t="s">
        <v>80</v>
      </c>
      <c r="U73" t="str">
        <f t="shared" si="19"/>
        <v>BAGS</v>
      </c>
      <c r="V73" t="str">
        <f t="shared" si="20"/>
        <v>PH BALANCED</v>
      </c>
      <c r="W73" t="str">
        <f t="shared" si="21"/>
        <v>120</v>
      </c>
      <c r="X73" s="27">
        <f t="shared" si="22"/>
        <v>29.590800000000002</v>
      </c>
      <c r="Y73" s="27">
        <f t="shared" si="23"/>
        <v>20.845300000000002</v>
      </c>
      <c r="Z73" s="27">
        <f t="shared" si="24"/>
        <v>11.449400000000001</v>
      </c>
      <c r="AA73" s="27">
        <f t="shared" si="25"/>
        <v>1741.4848</v>
      </c>
      <c r="AB73" s="27">
        <f t="shared" si="26"/>
        <v>1127.5655999999999</v>
      </c>
      <c r="AC73" s="27">
        <f t="shared" si="27"/>
        <v>585.96109999999999</v>
      </c>
    </row>
    <row r="74" spans="1:29" ht="15" customHeight="1" x14ac:dyDescent="0.3">
      <c r="A74" s="22" t="s">
        <v>82</v>
      </c>
      <c r="B74" s="23" t="s">
        <v>8</v>
      </c>
      <c r="C74" s="23" t="s">
        <v>9</v>
      </c>
      <c r="D74" s="24" t="s">
        <v>30</v>
      </c>
      <c r="E74" s="24" t="s">
        <v>68</v>
      </c>
      <c r="F74" s="18">
        <v>2.0455000000000001</v>
      </c>
      <c r="G74" s="19">
        <v>0.30070000000000002</v>
      </c>
      <c r="H74" s="20">
        <v>9.6000000000000002E-2</v>
      </c>
      <c r="I74" s="21">
        <v>81.869600000000005</v>
      </c>
      <c r="J74" s="20">
        <v>11.870100000000001</v>
      </c>
      <c r="K74" s="20">
        <v>3.7711999999999999</v>
      </c>
      <c r="M74" t="str">
        <f t="shared" si="14"/>
        <v>PAPILION BABY WET SENSITIVE W 72 BAG</v>
      </c>
      <c r="N74" s="29" t="str">
        <f t="shared" si="15"/>
        <v xml:space="preserve"> ArkPapers</v>
      </c>
      <c r="O74" t="str">
        <f t="shared" si="16"/>
        <v>PAPILION (ArkPapers)</v>
      </c>
      <c r="P74" t="str">
        <f t="shared" si="18"/>
        <v xml:space="preserve"> ArkPapers</v>
      </c>
      <c r="R74" t="str">
        <f t="shared" si="17"/>
        <v>PAPILION (ArkPapers)</v>
      </c>
      <c r="T74" t="s">
        <v>81</v>
      </c>
      <c r="U74" t="str">
        <f t="shared" si="19"/>
        <v>BAGS</v>
      </c>
      <c r="V74" t="str">
        <f t="shared" si="20"/>
        <v>SENSITIVE</v>
      </c>
      <c r="W74" t="str">
        <f t="shared" si="21"/>
        <v>72</v>
      </c>
      <c r="X74" s="27">
        <f t="shared" si="22"/>
        <v>0.72840000000000005</v>
      </c>
      <c r="Y74" s="27">
        <f t="shared" si="23"/>
        <v>0</v>
      </c>
      <c r="Z74" s="27">
        <f t="shared" si="24"/>
        <v>0</v>
      </c>
      <c r="AA74" s="27">
        <f t="shared" si="25"/>
        <v>51.0182</v>
      </c>
      <c r="AB74" s="27">
        <f t="shared" si="26"/>
        <v>0</v>
      </c>
      <c r="AC74" s="27">
        <f t="shared" si="27"/>
        <v>0</v>
      </c>
    </row>
    <row r="75" spans="1:29" ht="14.25" customHeight="1" x14ac:dyDescent="0.3">
      <c r="A75" s="25" t="s">
        <v>719</v>
      </c>
      <c r="B75" s="4" t="s">
        <v>5</v>
      </c>
      <c r="C75" s="4"/>
      <c r="D75" s="5"/>
      <c r="E75" s="5"/>
      <c r="F75" s="10">
        <v>1.5390999999999999</v>
      </c>
      <c r="G75" s="11">
        <v>2.0581</v>
      </c>
      <c r="H75" s="12">
        <v>0.68220000000000003</v>
      </c>
      <c r="I75" s="13">
        <v>71.357399999999998</v>
      </c>
      <c r="J75" s="12">
        <v>96.8429</v>
      </c>
      <c r="K75" s="12">
        <v>27.710899999999999</v>
      </c>
      <c r="M75" t="str">
        <f t="shared" si="14"/>
        <v>PAPILION YELLOW LILY W 90 BAG KAPAK</v>
      </c>
      <c r="N75" s="29" t="str">
        <f t="shared" si="15"/>
        <v xml:space="preserve"> ArkPapers</v>
      </c>
      <c r="O75" t="str">
        <f t="shared" si="16"/>
        <v>PAPILION (ArkPapers)</v>
      </c>
      <c r="P75" t="str">
        <f t="shared" si="18"/>
        <v xml:space="preserve"> ArkPapers</v>
      </c>
      <c r="R75" t="str">
        <f t="shared" si="17"/>
        <v>PAPILION (ArkPapers)</v>
      </c>
      <c r="T75" t="s">
        <v>82</v>
      </c>
      <c r="U75" t="str">
        <f t="shared" si="19"/>
        <v>BAGS</v>
      </c>
      <c r="V75" t="str">
        <f t="shared" si="20"/>
        <v>ALCOHOL FREE</v>
      </c>
      <c r="W75" t="str">
        <f t="shared" si="21"/>
        <v>90</v>
      </c>
      <c r="X75" s="27">
        <f t="shared" si="22"/>
        <v>2.0455000000000001</v>
      </c>
      <c r="Y75" s="27">
        <f t="shared" si="23"/>
        <v>0.30070000000000002</v>
      </c>
      <c r="Z75" s="27">
        <f t="shared" si="24"/>
        <v>9.6000000000000002E-2</v>
      </c>
      <c r="AA75" s="27">
        <f t="shared" si="25"/>
        <v>81.869600000000005</v>
      </c>
      <c r="AB75" s="27">
        <f t="shared" si="26"/>
        <v>11.870100000000001</v>
      </c>
      <c r="AC75" s="27">
        <f t="shared" si="27"/>
        <v>3.7711999999999999</v>
      </c>
    </row>
    <row r="76" spans="1:29" ht="15" customHeight="1" x14ac:dyDescent="0.3">
      <c r="A76" s="14" t="s">
        <v>836</v>
      </c>
      <c r="B76" s="15" t="s">
        <v>6</v>
      </c>
      <c r="C76" s="16"/>
      <c r="D76" s="17"/>
      <c r="E76" s="17"/>
      <c r="F76" s="18"/>
      <c r="G76" s="19"/>
      <c r="H76" s="20"/>
      <c r="I76" s="21"/>
      <c r="J76" s="20"/>
      <c r="K76" s="20"/>
      <c r="M76" t="str">
        <f t="shared" si="14"/>
        <v/>
      </c>
      <c r="N76" s="29" t="str">
        <f t="shared" si="15"/>
        <v xml:space="preserve"> ArkPapers</v>
      </c>
      <c r="O76" t="str">
        <f t="shared" si="16"/>
        <v>PAPILION (ArkPapers)</v>
      </c>
      <c r="P76" t="str">
        <f t="shared" si="18"/>
        <v/>
      </c>
      <c r="R76" t="str">
        <f t="shared" si="17"/>
        <v/>
      </c>
      <c r="T76" t="s">
        <v>871</v>
      </c>
      <c r="U76" t="str">
        <f t="shared" si="19"/>
        <v/>
      </c>
      <c r="V76" t="str">
        <f t="shared" si="20"/>
        <v/>
      </c>
      <c r="W76" t="str">
        <f t="shared" si="21"/>
        <v/>
      </c>
      <c r="X76" s="27" t="str">
        <f t="shared" si="22"/>
        <v/>
      </c>
      <c r="Y76" s="27" t="str">
        <f t="shared" si="23"/>
        <v/>
      </c>
      <c r="Z76" s="27" t="str">
        <f t="shared" si="24"/>
        <v/>
      </c>
      <c r="AA76" s="27" t="str">
        <f t="shared" si="25"/>
        <v/>
      </c>
      <c r="AB76" s="27" t="str">
        <f t="shared" si="26"/>
        <v/>
      </c>
      <c r="AC76" s="27" t="str">
        <f t="shared" si="27"/>
        <v/>
      </c>
    </row>
    <row r="77" spans="1:29" ht="15" customHeight="1" x14ac:dyDescent="0.3">
      <c r="A77" s="22" t="s">
        <v>83</v>
      </c>
      <c r="B77" s="23" t="s">
        <v>8</v>
      </c>
      <c r="C77" s="23" t="s">
        <v>9</v>
      </c>
      <c r="D77" s="24" t="s">
        <v>10</v>
      </c>
      <c r="E77" s="24" t="s">
        <v>84</v>
      </c>
      <c r="F77" s="18"/>
      <c r="G77" s="19"/>
      <c r="H77" s="20"/>
      <c r="I77" s="21"/>
      <c r="J77" s="20"/>
      <c r="K77" s="20"/>
      <c r="M77" t="str">
        <f t="shared" si="14"/>
        <v/>
      </c>
      <c r="N77" s="29" t="str">
        <f t="shared" si="15"/>
        <v xml:space="preserve"> ArkPapers</v>
      </c>
      <c r="O77" t="str">
        <f t="shared" si="16"/>
        <v>PAPILION (ArkPapers)</v>
      </c>
      <c r="P77" t="str">
        <f t="shared" si="18"/>
        <v/>
      </c>
      <c r="R77" t="str">
        <f t="shared" si="17"/>
        <v/>
      </c>
      <c r="T77" t="s">
        <v>871</v>
      </c>
      <c r="U77" t="str">
        <f t="shared" si="19"/>
        <v/>
      </c>
      <c r="V77" t="str">
        <f t="shared" si="20"/>
        <v/>
      </c>
      <c r="W77" t="str">
        <f t="shared" si="21"/>
        <v/>
      </c>
      <c r="X77" s="27" t="str">
        <f t="shared" si="22"/>
        <v/>
      </c>
      <c r="Y77" s="27" t="str">
        <f t="shared" si="23"/>
        <v/>
      </c>
      <c r="Z77" s="27" t="str">
        <f t="shared" si="24"/>
        <v/>
      </c>
      <c r="AA77" s="27" t="str">
        <f t="shared" si="25"/>
        <v/>
      </c>
      <c r="AB77" s="27" t="str">
        <f t="shared" si="26"/>
        <v/>
      </c>
      <c r="AC77" s="27" t="str">
        <f t="shared" si="27"/>
        <v/>
      </c>
    </row>
    <row r="78" spans="1:29" ht="15" customHeight="1" x14ac:dyDescent="0.3">
      <c r="A78" s="14" t="s">
        <v>837</v>
      </c>
      <c r="B78" s="15" t="s">
        <v>6</v>
      </c>
      <c r="C78" s="16"/>
      <c r="D78" s="17"/>
      <c r="E78" s="17"/>
      <c r="F78" s="18">
        <v>1.5390999999999999</v>
      </c>
      <c r="G78" s="19">
        <v>2.0581</v>
      </c>
      <c r="H78" s="20">
        <v>0.68220000000000003</v>
      </c>
      <c r="I78" s="21">
        <v>71.357399999999998</v>
      </c>
      <c r="J78" s="20">
        <v>96.8429</v>
      </c>
      <c r="K78" s="20">
        <v>27.710899999999999</v>
      </c>
      <c r="M78" t="str">
        <f t="shared" si="14"/>
        <v>HONEY BEBISH WITH CREAM W 102 BAG KAPAK</v>
      </c>
      <c r="N78" s="29" t="str">
        <f t="shared" si="15"/>
        <v xml:space="preserve"> Arkana PaperCraft</v>
      </c>
      <c r="O78" t="str">
        <f t="shared" si="16"/>
        <v>HONEY BEBISH (Arkana PaperCraft)</v>
      </c>
      <c r="P78" t="str">
        <f t="shared" si="18"/>
        <v xml:space="preserve"> Arkana PaperCraft</v>
      </c>
      <c r="R78" t="str">
        <f t="shared" si="17"/>
        <v>HONEY BEBISH (Arkana PaperCraft)</v>
      </c>
      <c r="T78" t="s">
        <v>83</v>
      </c>
      <c r="U78" t="str">
        <f t="shared" si="19"/>
        <v>BAGS</v>
      </c>
      <c r="V78" t="str">
        <f t="shared" si="20"/>
        <v>WITHOUT EXTRA PROTECTCARE INDICATION</v>
      </c>
      <c r="W78" t="str">
        <f t="shared" si="21"/>
        <v>102</v>
      </c>
      <c r="X78" s="27">
        <f t="shared" si="22"/>
        <v>0</v>
      </c>
      <c r="Y78" s="27">
        <f t="shared" si="23"/>
        <v>0</v>
      </c>
      <c r="Z78" s="27">
        <f t="shared" si="24"/>
        <v>0</v>
      </c>
      <c r="AA78" s="27">
        <f t="shared" si="25"/>
        <v>0</v>
      </c>
      <c r="AB78" s="27">
        <f t="shared" si="26"/>
        <v>0</v>
      </c>
      <c r="AC78" s="27">
        <f t="shared" si="27"/>
        <v>0</v>
      </c>
    </row>
    <row r="79" spans="1:29" ht="15" customHeight="1" x14ac:dyDescent="0.3">
      <c r="A79" s="22" t="s">
        <v>85</v>
      </c>
      <c r="B79" s="23" t="s">
        <v>8</v>
      </c>
      <c r="C79" s="23" t="s">
        <v>9</v>
      </c>
      <c r="D79" s="24" t="s">
        <v>10</v>
      </c>
      <c r="E79" s="24" t="s">
        <v>24</v>
      </c>
      <c r="F79" s="18">
        <v>1.0717000000000001</v>
      </c>
      <c r="G79" s="19">
        <v>1.6845000000000001</v>
      </c>
      <c r="H79" s="20">
        <v>0.2092</v>
      </c>
      <c r="I79" s="21">
        <v>53.428199999999997</v>
      </c>
      <c r="J79" s="20">
        <v>83.401399999999995</v>
      </c>
      <c r="K79" s="20">
        <v>9.5612999999999992</v>
      </c>
      <c r="M79" t="str">
        <f t="shared" si="14"/>
        <v/>
      </c>
      <c r="N79" s="29" t="str">
        <f t="shared" si="15"/>
        <v xml:space="preserve"> Arkana PaperCraft</v>
      </c>
      <c r="O79" t="str">
        <f t="shared" si="16"/>
        <v>HONEY BEBISH (Arkana PaperCraft)</v>
      </c>
      <c r="P79" t="str">
        <f t="shared" si="18"/>
        <v/>
      </c>
      <c r="R79" t="str">
        <f t="shared" si="17"/>
        <v/>
      </c>
      <c r="T79" t="s">
        <v>871</v>
      </c>
      <c r="U79" t="str">
        <f t="shared" si="19"/>
        <v/>
      </c>
      <c r="V79" t="str">
        <f t="shared" si="20"/>
        <v/>
      </c>
      <c r="W79" t="str">
        <f t="shared" si="21"/>
        <v/>
      </c>
      <c r="X79" s="27" t="str">
        <f t="shared" si="22"/>
        <v/>
      </c>
      <c r="Y79" s="27" t="str">
        <f t="shared" si="23"/>
        <v/>
      </c>
      <c r="Z79" s="27" t="str">
        <f t="shared" si="24"/>
        <v/>
      </c>
      <c r="AA79" s="27" t="str">
        <f t="shared" si="25"/>
        <v/>
      </c>
      <c r="AB79" s="27" t="str">
        <f t="shared" si="26"/>
        <v/>
      </c>
      <c r="AC79" s="27" t="str">
        <f t="shared" si="27"/>
        <v/>
      </c>
    </row>
    <row r="80" spans="1:29" ht="15" customHeight="1" x14ac:dyDescent="0.3">
      <c r="A80" s="22" t="s">
        <v>86</v>
      </c>
      <c r="B80" s="23" t="s">
        <v>8</v>
      </c>
      <c r="C80" s="23" t="s">
        <v>9</v>
      </c>
      <c r="D80" s="24" t="s">
        <v>10</v>
      </c>
      <c r="E80" s="24" t="s">
        <v>42</v>
      </c>
      <c r="F80" s="18">
        <v>0.46760000000000002</v>
      </c>
      <c r="G80" s="19">
        <v>0.37340000000000001</v>
      </c>
      <c r="H80" s="20">
        <v>0.47289999999999999</v>
      </c>
      <c r="I80" s="21">
        <v>17.929200000000002</v>
      </c>
      <c r="J80" s="20">
        <v>13.441700000000001</v>
      </c>
      <c r="K80" s="20">
        <v>18.149699999999999</v>
      </c>
      <c r="M80" t="str">
        <f t="shared" si="14"/>
        <v>PINE ALOE VERA KREMALI W 120 BAG KAPAK</v>
      </c>
      <c r="N80" s="29" t="str">
        <f t="shared" si="15"/>
        <v xml:space="preserve"> Arkana PaperCraft</v>
      </c>
      <c r="O80" t="str">
        <f t="shared" si="16"/>
        <v>PINE (Arkana PaperCraft)</v>
      </c>
      <c r="P80" t="str">
        <f t="shared" si="18"/>
        <v xml:space="preserve"> Arkana PaperCraft</v>
      </c>
      <c r="R80" t="str">
        <f t="shared" si="17"/>
        <v>PINE (Arkana PaperCraft)</v>
      </c>
      <c r="T80" t="s">
        <v>85</v>
      </c>
      <c r="U80" t="str">
        <f t="shared" si="19"/>
        <v>BAGS</v>
      </c>
      <c r="V80" t="str">
        <f t="shared" si="20"/>
        <v>WITHOUT EXTRA PROTECTCARE INDICATION</v>
      </c>
      <c r="W80" t="str">
        <f t="shared" si="21"/>
        <v>120</v>
      </c>
      <c r="X80" s="27">
        <f t="shared" si="22"/>
        <v>1.0717000000000001</v>
      </c>
      <c r="Y80" s="27">
        <f t="shared" si="23"/>
        <v>1.6845000000000001</v>
      </c>
      <c r="Z80" s="27">
        <f t="shared" si="24"/>
        <v>0.2092</v>
      </c>
      <c r="AA80" s="27">
        <f t="shared" si="25"/>
        <v>53.428199999999997</v>
      </c>
      <c r="AB80" s="27">
        <f t="shared" si="26"/>
        <v>83.401399999999995</v>
      </c>
      <c r="AC80" s="27">
        <f t="shared" si="27"/>
        <v>9.5612999999999992</v>
      </c>
    </row>
    <row r="81" spans="1:29" ht="14.25" customHeight="1" x14ac:dyDescent="0.3">
      <c r="A81" s="25" t="s">
        <v>720</v>
      </c>
      <c r="B81" s="4" t="s">
        <v>5</v>
      </c>
      <c r="C81" s="4"/>
      <c r="D81" s="5"/>
      <c r="E81" s="5"/>
      <c r="F81" s="10">
        <v>4.4499999999999998E-2</v>
      </c>
      <c r="G81" s="11">
        <v>6.2E-2</v>
      </c>
      <c r="H81" s="12"/>
      <c r="I81" s="13">
        <v>0.36759999999999998</v>
      </c>
      <c r="J81" s="12">
        <v>0.48380000000000001</v>
      </c>
      <c r="K81" s="12"/>
      <c r="M81" t="str">
        <f t="shared" si="14"/>
        <v>PINE ALOE VERA KREMALI W 72 BAG KAPAK</v>
      </c>
      <c r="N81" s="29" t="str">
        <f t="shared" si="15"/>
        <v xml:space="preserve"> Arkana PaperCraft</v>
      </c>
      <c r="O81" t="str">
        <f t="shared" si="16"/>
        <v>PINE (Arkana PaperCraft)</v>
      </c>
      <c r="P81" t="str">
        <f t="shared" si="18"/>
        <v xml:space="preserve"> Arkana PaperCraft</v>
      </c>
      <c r="R81" t="str">
        <f t="shared" si="17"/>
        <v>PINE (Arkana PaperCraft)</v>
      </c>
      <c r="T81" t="s">
        <v>86</v>
      </c>
      <c r="U81" t="str">
        <f t="shared" si="19"/>
        <v>BAGS</v>
      </c>
      <c r="V81" t="str">
        <f t="shared" si="20"/>
        <v>WITHOUT EXTRA PROTECTCARE INDICATION</v>
      </c>
      <c r="W81" t="str">
        <f t="shared" si="21"/>
        <v>72</v>
      </c>
      <c r="X81" s="27">
        <f t="shared" si="22"/>
        <v>0.46760000000000002</v>
      </c>
      <c r="Y81" s="27">
        <f t="shared" si="23"/>
        <v>0.37340000000000001</v>
      </c>
      <c r="Z81" s="27">
        <f t="shared" si="24"/>
        <v>0.47289999999999999</v>
      </c>
      <c r="AA81" s="27">
        <f t="shared" si="25"/>
        <v>17.929200000000002</v>
      </c>
      <c r="AB81" s="27">
        <f t="shared" si="26"/>
        <v>13.441700000000001</v>
      </c>
      <c r="AC81" s="27">
        <f t="shared" si="27"/>
        <v>18.149699999999999</v>
      </c>
    </row>
    <row r="82" spans="1:29" ht="15" customHeight="1" x14ac:dyDescent="0.3">
      <c r="A82" s="14" t="s">
        <v>838</v>
      </c>
      <c r="B82" s="15" t="s">
        <v>6</v>
      </c>
      <c r="C82" s="16"/>
      <c r="D82" s="17"/>
      <c r="E82" s="17"/>
      <c r="F82" s="18">
        <v>4.4499999999999998E-2</v>
      </c>
      <c r="G82" s="19">
        <v>6.2E-2</v>
      </c>
      <c r="H82" s="20"/>
      <c r="I82" s="21">
        <v>0.36759999999999998</v>
      </c>
      <c r="J82" s="20">
        <v>0.48380000000000001</v>
      </c>
      <c r="K82" s="20"/>
      <c r="M82" t="str">
        <f t="shared" si="14"/>
        <v/>
      </c>
      <c r="N82" s="29" t="str">
        <f t="shared" si="15"/>
        <v xml:space="preserve"> Arkana PaperCraft</v>
      </c>
      <c r="O82" t="str">
        <f t="shared" si="16"/>
        <v>PINE (Arkana PaperCraft)</v>
      </c>
      <c r="P82" t="str">
        <f t="shared" si="18"/>
        <v/>
      </c>
      <c r="R82" t="str">
        <f t="shared" si="17"/>
        <v/>
      </c>
      <c r="T82" t="s">
        <v>871</v>
      </c>
      <c r="U82" t="str">
        <f t="shared" si="19"/>
        <v/>
      </c>
      <c r="V82" t="str">
        <f t="shared" si="20"/>
        <v/>
      </c>
      <c r="W82" t="str">
        <f t="shared" si="21"/>
        <v/>
      </c>
      <c r="X82" s="27" t="str">
        <f t="shared" si="22"/>
        <v/>
      </c>
      <c r="Y82" s="27" t="str">
        <f t="shared" si="23"/>
        <v/>
      </c>
      <c r="Z82" s="27" t="str">
        <f t="shared" si="24"/>
        <v/>
      </c>
      <c r="AA82" s="27" t="str">
        <f t="shared" si="25"/>
        <v/>
      </c>
      <c r="AB82" s="27" t="str">
        <f t="shared" si="26"/>
        <v/>
      </c>
      <c r="AC82" s="27" t="str">
        <f t="shared" si="27"/>
        <v/>
      </c>
    </row>
    <row r="83" spans="1:29" ht="15" customHeight="1" x14ac:dyDescent="0.3">
      <c r="A83" s="22" t="s">
        <v>87</v>
      </c>
      <c r="B83" s="23" t="s">
        <v>8</v>
      </c>
      <c r="C83" s="23" t="s">
        <v>9</v>
      </c>
      <c r="D83" s="24" t="s">
        <v>10</v>
      </c>
      <c r="E83" s="24" t="s">
        <v>11</v>
      </c>
      <c r="F83" s="18">
        <v>4.4499999999999998E-2</v>
      </c>
      <c r="G83" s="19">
        <v>6.2E-2</v>
      </c>
      <c r="H83" s="20"/>
      <c r="I83" s="21">
        <v>0.36759999999999998</v>
      </c>
      <c r="J83" s="20">
        <v>0.48380000000000001</v>
      </c>
      <c r="K83" s="20"/>
      <c r="M83" t="str">
        <f t="shared" si="14"/>
        <v/>
      </c>
      <c r="N83" s="29" t="str">
        <f t="shared" si="15"/>
        <v xml:space="preserve"> Arkana PaperCraft</v>
      </c>
      <c r="O83" t="str">
        <f t="shared" si="16"/>
        <v>PINE (Arkana PaperCraft)</v>
      </c>
      <c r="P83" t="str">
        <f t="shared" si="18"/>
        <v/>
      </c>
      <c r="R83" t="str">
        <f t="shared" si="17"/>
        <v/>
      </c>
      <c r="T83" t="s">
        <v>871</v>
      </c>
      <c r="U83" t="str">
        <f t="shared" si="19"/>
        <v/>
      </c>
      <c r="V83" t="str">
        <f t="shared" si="20"/>
        <v/>
      </c>
      <c r="W83" t="str">
        <f t="shared" si="21"/>
        <v/>
      </c>
      <c r="X83" s="27" t="str">
        <f t="shared" si="22"/>
        <v/>
      </c>
      <c r="Y83" s="27" t="str">
        <f t="shared" si="23"/>
        <v/>
      </c>
      <c r="Z83" s="27" t="str">
        <f t="shared" si="24"/>
        <v/>
      </c>
      <c r="AA83" s="27" t="str">
        <f t="shared" si="25"/>
        <v/>
      </c>
      <c r="AB83" s="27" t="str">
        <f t="shared" si="26"/>
        <v/>
      </c>
      <c r="AC83" s="27" t="str">
        <f t="shared" si="27"/>
        <v/>
      </c>
    </row>
    <row r="84" spans="1:29" ht="14.25" customHeight="1" x14ac:dyDescent="0.3">
      <c r="A84" s="25" t="s">
        <v>721</v>
      </c>
      <c r="B84" s="4" t="s">
        <v>5</v>
      </c>
      <c r="C84" s="4"/>
      <c r="D84" s="5"/>
      <c r="E84" s="5"/>
      <c r="F84" s="10">
        <v>11.963200000000001</v>
      </c>
      <c r="G84" s="11">
        <v>18.136199999999999</v>
      </c>
      <c r="H84" s="12">
        <v>9.0266999999999999</v>
      </c>
      <c r="I84" s="13">
        <v>603.27629999999999</v>
      </c>
      <c r="J84" s="12">
        <v>937.45190000000002</v>
      </c>
      <c r="K84" s="12">
        <v>454.77429999999998</v>
      </c>
      <c r="M84" t="str">
        <f t="shared" si="14"/>
        <v>TROMPY 20 BAG</v>
      </c>
      <c r="N84" s="29" t="str">
        <f t="shared" si="15"/>
        <v xml:space="preserve"> Fragrantium S.A.</v>
      </c>
      <c r="O84" t="str">
        <f t="shared" si="16"/>
        <v>TROMPY (Fragrantium S.A.)</v>
      </c>
      <c r="P84" t="str">
        <f t="shared" si="18"/>
        <v xml:space="preserve"> Fragrantium S.A.</v>
      </c>
      <c r="R84" t="str">
        <f t="shared" si="17"/>
        <v>TROMPY (Fragrantium S.A.)</v>
      </c>
      <c r="T84" t="s">
        <v>87</v>
      </c>
      <c r="U84" t="str">
        <f t="shared" si="19"/>
        <v>BAGS</v>
      </c>
      <c r="V84" t="str">
        <f t="shared" si="20"/>
        <v>WITHOUT EXTRA PROTECTCARE INDICATION</v>
      </c>
      <c r="W84" t="str">
        <f t="shared" si="21"/>
        <v>20</v>
      </c>
      <c r="X84" s="27">
        <f t="shared" si="22"/>
        <v>4.4499999999999998E-2</v>
      </c>
      <c r="Y84" s="27">
        <f t="shared" si="23"/>
        <v>6.2E-2</v>
      </c>
      <c r="Z84" s="27">
        <f t="shared" si="24"/>
        <v>0</v>
      </c>
      <c r="AA84" s="27">
        <f t="shared" si="25"/>
        <v>0.36759999999999998</v>
      </c>
      <c r="AB84" s="27">
        <f t="shared" si="26"/>
        <v>0.48380000000000001</v>
      </c>
      <c r="AC84" s="27">
        <f t="shared" si="27"/>
        <v>0</v>
      </c>
    </row>
    <row r="85" spans="1:29" ht="15" customHeight="1" x14ac:dyDescent="0.3">
      <c r="A85" s="14" t="s">
        <v>839</v>
      </c>
      <c r="B85" s="15" t="s">
        <v>6</v>
      </c>
      <c r="C85" s="16"/>
      <c r="D85" s="17"/>
      <c r="E85" s="17"/>
      <c r="F85" s="18">
        <v>3.3401000000000001</v>
      </c>
      <c r="G85" s="19">
        <v>5.1974</v>
      </c>
      <c r="H85" s="20">
        <v>3.7094999999999998</v>
      </c>
      <c r="I85" s="21">
        <v>168.65979999999999</v>
      </c>
      <c r="J85" s="20">
        <v>278.62639999999999</v>
      </c>
      <c r="K85" s="20">
        <v>222.0746</v>
      </c>
      <c r="M85" t="str">
        <f t="shared" si="14"/>
        <v/>
      </c>
      <c r="N85" s="29" t="str">
        <f t="shared" si="15"/>
        <v xml:space="preserve"> Fragrantium S.A.</v>
      </c>
      <c r="O85" t="str">
        <f t="shared" si="16"/>
        <v>TROMPY (Fragrantium S.A.)</v>
      </c>
      <c r="P85" t="str">
        <f t="shared" si="18"/>
        <v/>
      </c>
      <c r="R85" t="str">
        <f t="shared" si="17"/>
        <v/>
      </c>
      <c r="T85" t="s">
        <v>871</v>
      </c>
      <c r="U85" t="str">
        <f t="shared" si="19"/>
        <v/>
      </c>
      <c r="V85" t="str">
        <f t="shared" si="20"/>
        <v/>
      </c>
      <c r="W85" t="str">
        <f t="shared" si="21"/>
        <v/>
      </c>
      <c r="X85" s="27" t="str">
        <f t="shared" si="22"/>
        <v/>
      </c>
      <c r="Y85" s="27" t="str">
        <f t="shared" si="23"/>
        <v/>
      </c>
      <c r="Z85" s="27" t="str">
        <f t="shared" si="24"/>
        <v/>
      </c>
      <c r="AA85" s="27" t="str">
        <f t="shared" si="25"/>
        <v/>
      </c>
      <c r="AB85" s="27" t="str">
        <f t="shared" si="26"/>
        <v/>
      </c>
      <c r="AC85" s="27" t="str">
        <f t="shared" si="27"/>
        <v/>
      </c>
    </row>
    <row r="86" spans="1:29" ht="15" customHeight="1" x14ac:dyDescent="0.3">
      <c r="A86" s="22" t="s">
        <v>89</v>
      </c>
      <c r="B86" s="23" t="s">
        <v>8</v>
      </c>
      <c r="C86" s="23" t="s">
        <v>9</v>
      </c>
      <c r="D86" s="24" t="s">
        <v>20</v>
      </c>
      <c r="E86" s="24" t="s">
        <v>42</v>
      </c>
      <c r="F86" s="18"/>
      <c r="G86" s="19"/>
      <c r="H86" s="20"/>
      <c r="I86" s="21"/>
      <c r="J86" s="20"/>
      <c r="K86" s="20"/>
      <c r="M86" t="str">
        <f t="shared" si="14"/>
        <v/>
      </c>
      <c r="N86" s="29" t="str">
        <f t="shared" si="15"/>
        <v xml:space="preserve"> Fragrantium S.A.</v>
      </c>
      <c r="O86" t="str">
        <f t="shared" si="16"/>
        <v>TROMPY (Fragrantium S.A.)</v>
      </c>
      <c r="P86" t="str">
        <f t="shared" si="18"/>
        <v/>
      </c>
      <c r="R86" t="str">
        <f t="shared" si="17"/>
        <v/>
      </c>
      <c r="T86" t="s">
        <v>871</v>
      </c>
      <c r="U86" t="str">
        <f t="shared" si="19"/>
        <v/>
      </c>
      <c r="V86" t="str">
        <f t="shared" si="20"/>
        <v/>
      </c>
      <c r="W86" t="str">
        <f t="shared" si="21"/>
        <v/>
      </c>
      <c r="X86" s="27" t="str">
        <f t="shared" si="22"/>
        <v/>
      </c>
      <c r="Y86" s="27" t="str">
        <f t="shared" si="23"/>
        <v/>
      </c>
      <c r="Z86" s="27" t="str">
        <f t="shared" si="24"/>
        <v/>
      </c>
      <c r="AA86" s="27" t="str">
        <f t="shared" si="25"/>
        <v/>
      </c>
      <c r="AB86" s="27" t="str">
        <f t="shared" si="26"/>
        <v/>
      </c>
      <c r="AC86" s="27" t="str">
        <f t="shared" si="27"/>
        <v/>
      </c>
    </row>
    <row r="87" spans="1:29" ht="15" customHeight="1" x14ac:dyDescent="0.3">
      <c r="A87" s="22" t="s">
        <v>90</v>
      </c>
      <c r="B87" s="23" t="s">
        <v>8</v>
      </c>
      <c r="C87" s="23" t="s">
        <v>9</v>
      </c>
      <c r="D87" s="24" t="s">
        <v>10</v>
      </c>
      <c r="E87" s="24" t="s">
        <v>42</v>
      </c>
      <c r="F87" s="18">
        <v>3.3401000000000001</v>
      </c>
      <c r="G87" s="19">
        <v>5.1974</v>
      </c>
      <c r="H87" s="20">
        <v>3.7094999999999998</v>
      </c>
      <c r="I87" s="21">
        <v>168.65979999999999</v>
      </c>
      <c r="J87" s="20">
        <v>278.62639999999999</v>
      </c>
      <c r="K87" s="20">
        <v>222.0746</v>
      </c>
      <c r="M87" t="str">
        <f t="shared" si="14"/>
        <v>HAPPY FRESH BABY CREAM W 72 BAG</v>
      </c>
      <c r="N87" s="29" t="str">
        <f t="shared" si="15"/>
        <v xml:space="preserve"> ArsenicChem</v>
      </c>
      <c r="O87" t="str">
        <f t="shared" si="16"/>
        <v>HAPPY FRESH (ArsenicChem)</v>
      </c>
      <c r="P87" t="str">
        <f t="shared" si="18"/>
        <v xml:space="preserve"> ArsenicChem</v>
      </c>
      <c r="R87" t="str">
        <f t="shared" si="17"/>
        <v>HAPPY FRESH (ArsenicChem)</v>
      </c>
      <c r="T87" t="s">
        <v>89</v>
      </c>
      <c r="U87" t="str">
        <f t="shared" si="19"/>
        <v>BAGS</v>
      </c>
      <c r="V87" t="str">
        <f t="shared" si="20"/>
        <v>PH BALANCED</v>
      </c>
      <c r="W87" t="str">
        <f t="shared" si="21"/>
        <v>72</v>
      </c>
      <c r="X87" s="27">
        <f t="shared" si="22"/>
        <v>0</v>
      </c>
      <c r="Y87" s="27">
        <f t="shared" si="23"/>
        <v>0</v>
      </c>
      <c r="Z87" s="27">
        <f t="shared" si="24"/>
        <v>0</v>
      </c>
      <c r="AA87" s="27">
        <f t="shared" si="25"/>
        <v>0</v>
      </c>
      <c r="AB87" s="27">
        <f t="shared" si="26"/>
        <v>0</v>
      </c>
      <c r="AC87" s="27">
        <f t="shared" si="27"/>
        <v>0</v>
      </c>
    </row>
    <row r="88" spans="1:29" ht="15" customHeight="1" x14ac:dyDescent="0.3">
      <c r="A88" s="14" t="s">
        <v>840</v>
      </c>
      <c r="B88" s="15" t="s">
        <v>6</v>
      </c>
      <c r="C88" s="16"/>
      <c r="D88" s="17"/>
      <c r="E88" s="17"/>
      <c r="F88" s="18">
        <v>8.6231000000000009</v>
      </c>
      <c r="G88" s="19">
        <v>12.938800000000001</v>
      </c>
      <c r="H88" s="20">
        <v>5.3171999999999997</v>
      </c>
      <c r="I88" s="21">
        <v>434.61660000000001</v>
      </c>
      <c r="J88" s="20">
        <v>658.82550000000003</v>
      </c>
      <c r="K88" s="20">
        <v>232.69980000000001</v>
      </c>
      <c r="M88" t="str">
        <f t="shared" si="14"/>
        <v>HAPPY FRESH BABY W 72 BAG KAPAK</v>
      </c>
      <c r="N88" s="29" t="str">
        <f t="shared" si="15"/>
        <v xml:space="preserve"> ArsenicChem</v>
      </c>
      <c r="O88" t="str">
        <f t="shared" si="16"/>
        <v>HAPPY FRESH (ArsenicChem)</v>
      </c>
      <c r="P88" t="str">
        <f t="shared" si="18"/>
        <v xml:space="preserve"> ArsenicChem</v>
      </c>
      <c r="R88" t="str">
        <f t="shared" si="17"/>
        <v>HAPPY FRESH (ArsenicChem)</v>
      </c>
      <c r="T88" t="s">
        <v>90</v>
      </c>
      <c r="U88" t="str">
        <f t="shared" si="19"/>
        <v>BAGS</v>
      </c>
      <c r="V88" t="str">
        <f t="shared" si="20"/>
        <v>WITHOUT EXTRA PROTECTCARE INDICATION</v>
      </c>
      <c r="W88" t="str">
        <f t="shared" si="21"/>
        <v>72</v>
      </c>
      <c r="X88" s="27">
        <f t="shared" si="22"/>
        <v>3.3401000000000001</v>
      </c>
      <c r="Y88" s="27">
        <f t="shared" si="23"/>
        <v>5.1974</v>
      </c>
      <c r="Z88" s="27">
        <f t="shared" si="24"/>
        <v>3.7094999999999998</v>
      </c>
      <c r="AA88" s="27">
        <f t="shared" si="25"/>
        <v>168.65979999999999</v>
      </c>
      <c r="AB88" s="27">
        <f t="shared" si="26"/>
        <v>278.62639999999999</v>
      </c>
      <c r="AC88" s="27">
        <f t="shared" si="27"/>
        <v>222.0746</v>
      </c>
    </row>
    <row r="89" spans="1:29" ht="15" customHeight="1" x14ac:dyDescent="0.3">
      <c r="A89" s="22" t="s">
        <v>91</v>
      </c>
      <c r="B89" s="23" t="s">
        <v>8</v>
      </c>
      <c r="C89" s="23" t="s">
        <v>9</v>
      </c>
      <c r="D89" s="24" t="s">
        <v>30</v>
      </c>
      <c r="E89" s="24" t="s">
        <v>24</v>
      </c>
      <c r="F89" s="18">
        <v>1.2582</v>
      </c>
      <c r="G89" s="19">
        <v>4.4390999999999998</v>
      </c>
      <c r="H89" s="20">
        <v>0.70909999999999995</v>
      </c>
      <c r="I89" s="21">
        <v>67.526600000000002</v>
      </c>
      <c r="J89" s="20">
        <v>226.15649999999999</v>
      </c>
      <c r="K89" s="20">
        <v>33.759099999999997</v>
      </c>
      <c r="M89" t="str">
        <f t="shared" si="14"/>
        <v/>
      </c>
      <c r="N89" s="29" t="str">
        <f t="shared" si="15"/>
        <v xml:space="preserve"> ArsenicChem</v>
      </c>
      <c r="O89" t="str">
        <f t="shared" si="16"/>
        <v>HAPPY FRESH (ArsenicChem)</v>
      </c>
      <c r="P89" t="str">
        <f t="shared" si="18"/>
        <v/>
      </c>
      <c r="R89" t="str">
        <f t="shared" si="17"/>
        <v/>
      </c>
      <c r="T89" t="s">
        <v>871</v>
      </c>
      <c r="U89" t="str">
        <f t="shared" si="19"/>
        <v/>
      </c>
      <c r="V89" t="str">
        <f t="shared" si="20"/>
        <v/>
      </c>
      <c r="W89" t="str">
        <f t="shared" si="21"/>
        <v/>
      </c>
      <c r="X89" s="27" t="str">
        <f t="shared" si="22"/>
        <v/>
      </c>
      <c r="Y89" s="27" t="str">
        <f t="shared" si="23"/>
        <v/>
      </c>
      <c r="Z89" s="27" t="str">
        <f t="shared" si="24"/>
        <v/>
      </c>
      <c r="AA89" s="27" t="str">
        <f t="shared" si="25"/>
        <v/>
      </c>
      <c r="AB89" s="27" t="str">
        <f t="shared" si="26"/>
        <v/>
      </c>
      <c r="AC89" s="27" t="str">
        <f t="shared" si="27"/>
        <v/>
      </c>
    </row>
    <row r="90" spans="1:29" ht="15" customHeight="1" x14ac:dyDescent="0.3">
      <c r="A90" s="22" t="s">
        <v>92</v>
      </c>
      <c r="B90" s="23" t="s">
        <v>8</v>
      </c>
      <c r="C90" s="23" t="s">
        <v>9</v>
      </c>
      <c r="D90" s="24" t="s">
        <v>30</v>
      </c>
      <c r="E90" s="24" t="s">
        <v>24</v>
      </c>
      <c r="F90" s="18">
        <v>4.5986000000000002</v>
      </c>
      <c r="G90" s="19">
        <v>6.1303000000000001</v>
      </c>
      <c r="H90" s="20">
        <v>2.8555999999999999</v>
      </c>
      <c r="I90" s="21">
        <v>228.69929999999999</v>
      </c>
      <c r="J90" s="20">
        <v>310.51369999999997</v>
      </c>
      <c r="K90" s="20">
        <v>123.6022</v>
      </c>
      <c r="M90" t="str">
        <f t="shared" si="14"/>
        <v>ULTRA COMPACT ANGELS ALC.FREE W 120 BAG</v>
      </c>
      <c r="N90" s="29" t="str">
        <f t="shared" si="15"/>
        <v xml:space="preserve"> ArsenicChem</v>
      </c>
      <c r="O90" t="str">
        <f t="shared" si="16"/>
        <v>ULTRA COMPACT (ArsenicChem)</v>
      </c>
      <c r="P90" t="str">
        <f t="shared" si="18"/>
        <v xml:space="preserve"> ArsenicChem</v>
      </c>
      <c r="R90" t="str">
        <f t="shared" si="17"/>
        <v>ULTRA COMPACT (ArsenicChem)</v>
      </c>
      <c r="T90" t="s">
        <v>91</v>
      </c>
      <c r="U90" t="str">
        <f t="shared" si="19"/>
        <v>BAGS</v>
      </c>
      <c r="V90" t="str">
        <f t="shared" si="20"/>
        <v>ALCOHOL FREE</v>
      </c>
      <c r="W90" t="str">
        <f t="shared" si="21"/>
        <v>120</v>
      </c>
      <c r="X90" s="27">
        <f t="shared" si="22"/>
        <v>1.2582</v>
      </c>
      <c r="Y90" s="27">
        <f t="shared" si="23"/>
        <v>4.4390999999999998</v>
      </c>
      <c r="Z90" s="27">
        <f t="shared" si="24"/>
        <v>0.70909999999999995</v>
      </c>
      <c r="AA90" s="27">
        <f t="shared" si="25"/>
        <v>67.526600000000002</v>
      </c>
      <c r="AB90" s="27">
        <f t="shared" si="26"/>
        <v>226.15649999999999</v>
      </c>
      <c r="AC90" s="27">
        <f t="shared" si="27"/>
        <v>33.759099999999997</v>
      </c>
    </row>
    <row r="91" spans="1:29" ht="15" customHeight="1" x14ac:dyDescent="0.3">
      <c r="A91" s="22" t="s">
        <v>93</v>
      </c>
      <c r="B91" s="23" t="s">
        <v>8</v>
      </c>
      <c r="C91" s="23" t="s">
        <v>9</v>
      </c>
      <c r="D91" s="24" t="s">
        <v>30</v>
      </c>
      <c r="E91" s="24" t="s">
        <v>42</v>
      </c>
      <c r="F91" s="18">
        <v>0.94640000000000002</v>
      </c>
      <c r="G91" s="19">
        <v>1.6005</v>
      </c>
      <c r="H91" s="20">
        <v>1.0179</v>
      </c>
      <c r="I91" s="21">
        <v>54.868499999999997</v>
      </c>
      <c r="J91" s="20">
        <v>87.027500000000003</v>
      </c>
      <c r="K91" s="20">
        <v>38.080399999999997</v>
      </c>
      <c r="M91" t="str">
        <f t="shared" si="14"/>
        <v>ULTRA COMPACT MOMO CREAMY W 120 BAG</v>
      </c>
      <c r="N91" s="29" t="str">
        <f t="shared" si="15"/>
        <v xml:space="preserve"> ArsenicChem</v>
      </c>
      <c r="O91" t="str">
        <f t="shared" si="16"/>
        <v>ULTRA COMPACT (ArsenicChem)</v>
      </c>
      <c r="P91" t="str">
        <f t="shared" si="18"/>
        <v xml:space="preserve"> ArsenicChem</v>
      </c>
      <c r="R91" t="str">
        <f t="shared" si="17"/>
        <v>ULTRA COMPACT (ArsenicChem)</v>
      </c>
      <c r="T91" t="s">
        <v>92</v>
      </c>
      <c r="U91" t="str">
        <f t="shared" si="19"/>
        <v>BAGS</v>
      </c>
      <c r="V91" t="str">
        <f t="shared" si="20"/>
        <v>ALCOHOL FREE</v>
      </c>
      <c r="W91" t="str">
        <f t="shared" si="21"/>
        <v>120</v>
      </c>
      <c r="X91" s="27">
        <f t="shared" si="22"/>
        <v>4.5986000000000002</v>
      </c>
      <c r="Y91" s="27">
        <f t="shared" si="23"/>
        <v>6.1303000000000001</v>
      </c>
      <c r="Z91" s="27">
        <f t="shared" si="24"/>
        <v>2.8555999999999999</v>
      </c>
      <c r="AA91" s="27">
        <f t="shared" si="25"/>
        <v>228.69929999999999</v>
      </c>
      <c r="AB91" s="27">
        <f t="shared" si="26"/>
        <v>310.51369999999997</v>
      </c>
      <c r="AC91" s="27">
        <f t="shared" si="27"/>
        <v>123.6022</v>
      </c>
    </row>
    <row r="92" spans="1:29" ht="15" customHeight="1" x14ac:dyDescent="0.3">
      <c r="A92" s="22" t="s">
        <v>94</v>
      </c>
      <c r="B92" s="23" t="s">
        <v>8</v>
      </c>
      <c r="C92" s="23" t="s">
        <v>9</v>
      </c>
      <c r="D92" s="24" t="s">
        <v>20</v>
      </c>
      <c r="E92" s="24" t="s">
        <v>42</v>
      </c>
      <c r="F92" s="18">
        <v>1.8199000000000001</v>
      </c>
      <c r="G92" s="19">
        <v>0.76910000000000001</v>
      </c>
      <c r="H92" s="20">
        <v>0.73480000000000001</v>
      </c>
      <c r="I92" s="21">
        <v>83.522300000000001</v>
      </c>
      <c r="J92" s="20">
        <v>35.127499999999998</v>
      </c>
      <c r="K92" s="20">
        <v>37.258200000000002</v>
      </c>
      <c r="M92" t="str">
        <f t="shared" si="14"/>
        <v>ULTRA COMPACT ANGELS ALC.FREE W 72 BAG</v>
      </c>
      <c r="N92" s="29" t="str">
        <f t="shared" si="15"/>
        <v xml:space="preserve"> ArsenicChem</v>
      </c>
      <c r="O92" t="str">
        <f t="shared" si="16"/>
        <v>ULTRA COMPACT (ArsenicChem)</v>
      </c>
      <c r="P92" t="str">
        <f t="shared" si="18"/>
        <v xml:space="preserve"> ArsenicChem</v>
      </c>
      <c r="R92" t="str">
        <f t="shared" si="17"/>
        <v>ULTRA COMPACT (ArsenicChem)</v>
      </c>
      <c r="T92" t="s">
        <v>93</v>
      </c>
      <c r="U92" t="str">
        <f t="shared" si="19"/>
        <v>BAGS</v>
      </c>
      <c r="V92" t="str">
        <f t="shared" si="20"/>
        <v>ALCOHOL FREE</v>
      </c>
      <c r="W92" t="str">
        <f t="shared" si="21"/>
        <v>72</v>
      </c>
      <c r="X92" s="27">
        <f t="shared" si="22"/>
        <v>0.94640000000000002</v>
      </c>
      <c r="Y92" s="27">
        <f t="shared" si="23"/>
        <v>1.6005</v>
      </c>
      <c r="Z92" s="27">
        <f t="shared" si="24"/>
        <v>1.0179</v>
      </c>
      <c r="AA92" s="27">
        <f t="shared" si="25"/>
        <v>54.868499999999997</v>
      </c>
      <c r="AB92" s="27">
        <f t="shared" si="26"/>
        <v>87.027500000000003</v>
      </c>
      <c r="AC92" s="27">
        <f t="shared" si="27"/>
        <v>38.080399999999997</v>
      </c>
    </row>
    <row r="93" spans="1:29" ht="14.25" customHeight="1" x14ac:dyDescent="0.3">
      <c r="A93" s="25" t="s">
        <v>722</v>
      </c>
      <c r="B93" s="4" t="s">
        <v>5</v>
      </c>
      <c r="C93" s="4"/>
      <c r="D93" s="5"/>
      <c r="E93" s="5"/>
      <c r="F93" s="10"/>
      <c r="G93" s="11">
        <v>13.1921</v>
      </c>
      <c r="H93" s="12">
        <v>52.811100000000003</v>
      </c>
      <c r="I93" s="13"/>
      <c r="J93" s="12">
        <v>565.53909999999996</v>
      </c>
      <c r="K93" s="12">
        <v>2091.2260999999999</v>
      </c>
      <c r="M93" t="str">
        <f t="shared" si="14"/>
        <v>ULTRACOMPACT BABY PH5.5 ALC.FREE W 72 BA</v>
      </c>
      <c r="N93" s="29" t="str">
        <f t="shared" si="15"/>
        <v xml:space="preserve"> ArsenicChem</v>
      </c>
      <c r="O93" t="str">
        <f t="shared" si="16"/>
        <v>ULTRA COMPACT (ArsenicChem)</v>
      </c>
      <c r="P93" t="str">
        <f t="shared" si="18"/>
        <v xml:space="preserve"> ArsenicChem</v>
      </c>
      <c r="R93" t="str">
        <f t="shared" si="17"/>
        <v>ULTRA COMPACT (ArsenicChem)</v>
      </c>
      <c r="T93" t="s">
        <v>94</v>
      </c>
      <c r="U93" t="str">
        <f t="shared" si="19"/>
        <v>BAGS</v>
      </c>
      <c r="V93" t="str">
        <f t="shared" si="20"/>
        <v>PH BALANCED</v>
      </c>
      <c r="W93" t="str">
        <f t="shared" si="21"/>
        <v>72</v>
      </c>
      <c r="X93" s="27">
        <f t="shared" si="22"/>
        <v>1.8199000000000001</v>
      </c>
      <c r="Y93" s="27">
        <f t="shared" si="23"/>
        <v>0.76910000000000001</v>
      </c>
      <c r="Z93" s="27">
        <f t="shared" si="24"/>
        <v>0.73480000000000001</v>
      </c>
      <c r="AA93" s="27">
        <f t="shared" si="25"/>
        <v>83.522300000000001</v>
      </c>
      <c r="AB93" s="27">
        <f t="shared" si="26"/>
        <v>35.127499999999998</v>
      </c>
      <c r="AC93" s="27">
        <f t="shared" si="27"/>
        <v>37.258200000000002</v>
      </c>
    </row>
    <row r="94" spans="1:29" ht="15" customHeight="1" x14ac:dyDescent="0.3">
      <c r="A94" s="14" t="s">
        <v>841</v>
      </c>
      <c r="B94" s="15" t="s">
        <v>6</v>
      </c>
      <c r="C94" s="16"/>
      <c r="D94" s="17"/>
      <c r="E94" s="17"/>
      <c r="F94" s="18"/>
      <c r="G94" s="19">
        <v>13.1921</v>
      </c>
      <c r="H94" s="20">
        <v>52.811100000000003</v>
      </c>
      <c r="I94" s="21"/>
      <c r="J94" s="20">
        <v>565.53909999999996</v>
      </c>
      <c r="K94" s="20">
        <v>2091.2260999999999</v>
      </c>
      <c r="M94" t="str">
        <f t="shared" si="14"/>
        <v/>
      </c>
      <c r="N94" s="29" t="str">
        <f t="shared" si="15"/>
        <v xml:space="preserve"> ArsenicChem</v>
      </c>
      <c r="O94" t="str">
        <f t="shared" si="16"/>
        <v>ULTRA COMPACT (ArsenicChem)</v>
      </c>
      <c r="P94" t="str">
        <f t="shared" si="18"/>
        <v/>
      </c>
      <c r="R94" t="str">
        <f t="shared" si="17"/>
        <v/>
      </c>
      <c r="T94" t="s">
        <v>871</v>
      </c>
      <c r="U94" t="str">
        <f t="shared" si="19"/>
        <v/>
      </c>
      <c r="V94" t="str">
        <f t="shared" si="20"/>
        <v/>
      </c>
      <c r="W94" t="str">
        <f t="shared" si="21"/>
        <v/>
      </c>
      <c r="X94" s="27" t="str">
        <f t="shared" si="22"/>
        <v/>
      </c>
      <c r="Y94" s="27" t="str">
        <f t="shared" si="23"/>
        <v/>
      </c>
      <c r="Z94" s="27" t="str">
        <f t="shared" si="24"/>
        <v/>
      </c>
      <c r="AA94" s="27" t="str">
        <f t="shared" si="25"/>
        <v/>
      </c>
      <c r="AB94" s="27" t="str">
        <f t="shared" si="26"/>
        <v/>
      </c>
      <c r="AC94" s="27" t="str">
        <f t="shared" si="27"/>
        <v/>
      </c>
    </row>
    <row r="95" spans="1:29" ht="15" customHeight="1" x14ac:dyDescent="0.3">
      <c r="A95" s="22" t="s">
        <v>95</v>
      </c>
      <c r="B95" s="23" t="s">
        <v>8</v>
      </c>
      <c r="C95" s="23" t="s">
        <v>9</v>
      </c>
      <c r="D95" s="24" t="s">
        <v>30</v>
      </c>
      <c r="E95" s="24" t="s">
        <v>24</v>
      </c>
      <c r="F95" s="18"/>
      <c r="G95" s="19">
        <v>10.5616</v>
      </c>
      <c r="H95" s="20">
        <v>42.6479</v>
      </c>
      <c r="I95" s="21"/>
      <c r="J95" s="20">
        <v>483.39569999999998</v>
      </c>
      <c r="K95" s="20">
        <v>1689.356</v>
      </c>
      <c r="M95" t="str">
        <f t="shared" si="14"/>
        <v/>
      </c>
      <c r="N95" s="29" t="str">
        <f t="shared" si="15"/>
        <v xml:space="preserve"> ArsenicChem</v>
      </c>
      <c r="O95" t="str">
        <f t="shared" si="16"/>
        <v>ULTRA COMPACT (ArsenicChem)</v>
      </c>
      <c r="P95" t="str">
        <f t="shared" si="18"/>
        <v/>
      </c>
      <c r="R95" t="str">
        <f t="shared" si="17"/>
        <v/>
      </c>
      <c r="T95" t="s">
        <v>871</v>
      </c>
      <c r="U95" t="str">
        <f t="shared" si="19"/>
        <v/>
      </c>
      <c r="V95" t="str">
        <f t="shared" si="20"/>
        <v/>
      </c>
      <c r="W95" t="str">
        <f t="shared" si="21"/>
        <v/>
      </c>
      <c r="X95" s="27" t="str">
        <f t="shared" si="22"/>
        <v/>
      </c>
      <c r="Y95" s="27" t="str">
        <f t="shared" si="23"/>
        <v/>
      </c>
      <c r="Z95" s="27" t="str">
        <f t="shared" si="24"/>
        <v/>
      </c>
      <c r="AA95" s="27" t="str">
        <f t="shared" si="25"/>
        <v/>
      </c>
      <c r="AB95" s="27" t="str">
        <f t="shared" si="26"/>
        <v/>
      </c>
      <c r="AC95" s="27" t="str">
        <f t="shared" si="27"/>
        <v/>
      </c>
    </row>
    <row r="96" spans="1:29" ht="15" customHeight="1" x14ac:dyDescent="0.3">
      <c r="A96" s="22" t="s">
        <v>96</v>
      </c>
      <c r="B96" s="23" t="s">
        <v>8</v>
      </c>
      <c r="C96" s="23" t="s">
        <v>9</v>
      </c>
      <c r="D96" s="24" t="s">
        <v>30</v>
      </c>
      <c r="E96" s="24" t="s">
        <v>15</v>
      </c>
      <c r="F96" s="18"/>
      <c r="G96" s="19">
        <v>2.0855999999999999</v>
      </c>
      <c r="H96" s="20">
        <v>2.5316000000000001</v>
      </c>
      <c r="I96" s="21"/>
      <c r="J96" s="20">
        <v>61.262700000000002</v>
      </c>
      <c r="K96" s="20">
        <v>71.165300000000002</v>
      </c>
      <c r="M96" t="str">
        <f t="shared" si="14"/>
        <v>KANZ NATURAL SENS.SKIN ALC.FREE W120 BAG</v>
      </c>
      <c r="N96" s="29" t="str">
        <f t="shared" si="15"/>
        <v xml:space="preserve"> Creativa Worldwide</v>
      </c>
      <c r="O96" t="str">
        <f t="shared" si="16"/>
        <v>KANZ ( Creativa Worldwide)</v>
      </c>
      <c r="P96" t="str">
        <f t="shared" si="18"/>
        <v xml:space="preserve"> Creativa Worldwide</v>
      </c>
      <c r="R96" t="str">
        <f t="shared" si="17"/>
        <v>KANZ ( Creativa Worldwide)</v>
      </c>
      <c r="T96" t="s">
        <v>95</v>
      </c>
      <c r="U96" t="str">
        <f t="shared" si="19"/>
        <v>BAGS</v>
      </c>
      <c r="V96" t="str">
        <f t="shared" si="20"/>
        <v>ALCOHOL FREE</v>
      </c>
      <c r="W96" t="str">
        <f t="shared" si="21"/>
        <v>120</v>
      </c>
      <c r="X96" s="27">
        <f t="shared" si="22"/>
        <v>0</v>
      </c>
      <c r="Y96" s="27">
        <f t="shared" si="23"/>
        <v>10.5616</v>
      </c>
      <c r="Z96" s="27">
        <f t="shared" si="24"/>
        <v>42.6479</v>
      </c>
      <c r="AA96" s="27">
        <f t="shared" si="25"/>
        <v>0</v>
      </c>
      <c r="AB96" s="27">
        <f t="shared" si="26"/>
        <v>483.39569999999998</v>
      </c>
      <c r="AC96" s="27">
        <f t="shared" si="27"/>
        <v>1689.356</v>
      </c>
    </row>
    <row r="97" spans="1:29" ht="15" customHeight="1" x14ac:dyDescent="0.3">
      <c r="A97" s="22" t="s">
        <v>97</v>
      </c>
      <c r="B97" s="23" t="s">
        <v>8</v>
      </c>
      <c r="C97" s="23" t="s">
        <v>9</v>
      </c>
      <c r="D97" s="24" t="s">
        <v>30</v>
      </c>
      <c r="E97" s="24" t="s">
        <v>42</v>
      </c>
      <c r="F97" s="18"/>
      <c r="G97" s="19">
        <v>0.54479999999999995</v>
      </c>
      <c r="H97" s="20">
        <v>7.6315999999999997</v>
      </c>
      <c r="I97" s="21"/>
      <c r="J97" s="20">
        <v>20.880700000000001</v>
      </c>
      <c r="K97" s="20">
        <v>330.70479999999998</v>
      </c>
      <c r="M97" t="str">
        <f t="shared" si="14"/>
        <v>KANZ EXTRA SOFT ALC.FREE W 50 BAG</v>
      </c>
      <c r="N97" s="29" t="str">
        <f t="shared" si="15"/>
        <v xml:space="preserve"> Creativa Worldwide</v>
      </c>
      <c r="O97" t="str">
        <f t="shared" si="16"/>
        <v>KANZ ( Creativa Worldwide)</v>
      </c>
      <c r="P97" t="str">
        <f t="shared" si="18"/>
        <v xml:space="preserve"> Creativa Worldwide</v>
      </c>
      <c r="R97" t="str">
        <f t="shared" si="17"/>
        <v>KANZ ( Creativa Worldwide)</v>
      </c>
      <c r="T97" t="s">
        <v>96</v>
      </c>
      <c r="U97" t="str">
        <f t="shared" si="19"/>
        <v>BAGS</v>
      </c>
      <c r="V97" t="str">
        <f t="shared" si="20"/>
        <v>ALCOHOL FREE</v>
      </c>
      <c r="W97" t="str">
        <f t="shared" si="21"/>
        <v>50</v>
      </c>
      <c r="X97" s="27">
        <f t="shared" si="22"/>
        <v>0</v>
      </c>
      <c r="Y97" s="27">
        <f t="shared" si="23"/>
        <v>2.0855999999999999</v>
      </c>
      <c r="Z97" s="27">
        <f t="shared" si="24"/>
        <v>2.5316000000000001</v>
      </c>
      <c r="AA97" s="27">
        <f t="shared" si="25"/>
        <v>0</v>
      </c>
      <c r="AB97" s="27">
        <f t="shared" si="26"/>
        <v>61.262700000000002</v>
      </c>
      <c r="AC97" s="27">
        <f t="shared" si="27"/>
        <v>71.165300000000002</v>
      </c>
    </row>
    <row r="98" spans="1:29" ht="14.25" customHeight="1" x14ac:dyDescent="0.3">
      <c r="A98" s="25" t="s">
        <v>723</v>
      </c>
      <c r="B98" s="4" t="s">
        <v>5</v>
      </c>
      <c r="C98" s="4"/>
      <c r="D98" s="5"/>
      <c r="E98" s="5"/>
      <c r="F98" s="10">
        <v>3.1665000000000001</v>
      </c>
      <c r="G98" s="11">
        <v>2.1888000000000001</v>
      </c>
      <c r="H98" s="12">
        <v>0.46289999999999998</v>
      </c>
      <c r="I98" s="13">
        <v>65.203199999999995</v>
      </c>
      <c r="J98" s="12">
        <v>50.370399999999997</v>
      </c>
      <c r="K98" s="12">
        <v>10.166600000000001</v>
      </c>
      <c r="M98" t="str">
        <f t="shared" si="14"/>
        <v>KANZ ULTRA SOFT ALC.FREE W 72 BAG</v>
      </c>
      <c r="N98" s="29" t="str">
        <f t="shared" si="15"/>
        <v xml:space="preserve"> Creativa Worldwide</v>
      </c>
      <c r="O98" t="str">
        <f t="shared" si="16"/>
        <v>KANZ ( Creativa Worldwide)</v>
      </c>
      <c r="P98" t="str">
        <f t="shared" si="18"/>
        <v xml:space="preserve"> Creativa Worldwide</v>
      </c>
      <c r="R98" t="str">
        <f t="shared" si="17"/>
        <v>KANZ ( Creativa Worldwide)</v>
      </c>
      <c r="T98" t="s">
        <v>97</v>
      </c>
      <c r="U98" t="str">
        <f t="shared" si="19"/>
        <v>BAGS</v>
      </c>
      <c r="V98" t="str">
        <f t="shared" si="20"/>
        <v>ALCOHOL FREE</v>
      </c>
      <c r="W98" t="str">
        <f t="shared" si="21"/>
        <v>72</v>
      </c>
      <c r="X98" s="27">
        <f t="shared" si="22"/>
        <v>0</v>
      </c>
      <c r="Y98" s="27">
        <f t="shared" si="23"/>
        <v>0.54479999999999995</v>
      </c>
      <c r="Z98" s="27">
        <f t="shared" si="24"/>
        <v>7.6315999999999997</v>
      </c>
      <c r="AA98" s="27">
        <f t="shared" si="25"/>
        <v>0</v>
      </c>
      <c r="AB98" s="27">
        <f t="shared" si="26"/>
        <v>20.880700000000001</v>
      </c>
      <c r="AC98" s="27">
        <f t="shared" si="27"/>
        <v>330.70479999999998</v>
      </c>
    </row>
    <row r="99" spans="1:29" ht="15" customHeight="1" x14ac:dyDescent="0.3">
      <c r="A99" s="14" t="s">
        <v>842</v>
      </c>
      <c r="B99" s="15" t="s">
        <v>6</v>
      </c>
      <c r="C99" s="16"/>
      <c r="D99" s="17"/>
      <c r="E99" s="17"/>
      <c r="F99" s="18">
        <v>3.1665000000000001</v>
      </c>
      <c r="G99" s="19">
        <v>2.1888000000000001</v>
      </c>
      <c r="H99" s="20">
        <v>0.46289999999999998</v>
      </c>
      <c r="I99" s="21">
        <v>65.203199999999995</v>
      </c>
      <c r="J99" s="20">
        <v>50.370399999999997</v>
      </c>
      <c r="K99" s="20">
        <v>10.166600000000001</v>
      </c>
      <c r="M99" t="str">
        <f t="shared" si="14"/>
        <v/>
      </c>
      <c r="N99" s="29" t="str">
        <f t="shared" si="15"/>
        <v xml:space="preserve"> Creativa Worldwide</v>
      </c>
      <c r="O99" t="str">
        <f t="shared" si="16"/>
        <v>KANZ ( Creativa Worldwide)</v>
      </c>
      <c r="P99" t="str">
        <f t="shared" si="18"/>
        <v/>
      </c>
      <c r="R99" t="str">
        <f t="shared" si="17"/>
        <v/>
      </c>
      <c r="T99" t="s">
        <v>871</v>
      </c>
      <c r="U99" t="str">
        <f t="shared" si="19"/>
        <v/>
      </c>
      <c r="V99" t="str">
        <f t="shared" si="20"/>
        <v/>
      </c>
      <c r="W99" t="str">
        <f t="shared" si="21"/>
        <v/>
      </c>
      <c r="X99" s="27" t="str">
        <f t="shared" si="22"/>
        <v/>
      </c>
      <c r="Y99" s="27" t="str">
        <f t="shared" si="23"/>
        <v/>
      </c>
      <c r="Z99" s="27" t="str">
        <f t="shared" si="24"/>
        <v/>
      </c>
      <c r="AA99" s="27" t="str">
        <f t="shared" si="25"/>
        <v/>
      </c>
      <c r="AB99" s="27" t="str">
        <f t="shared" si="26"/>
        <v/>
      </c>
      <c r="AC99" s="27" t="str">
        <f t="shared" si="27"/>
        <v/>
      </c>
    </row>
    <row r="100" spans="1:29" ht="15" customHeight="1" x14ac:dyDescent="0.3">
      <c r="A100" s="22" t="s">
        <v>98</v>
      </c>
      <c r="B100" s="23" t="s">
        <v>8</v>
      </c>
      <c r="C100" s="23" t="s">
        <v>9</v>
      </c>
      <c r="D100" s="24" t="s">
        <v>64</v>
      </c>
      <c r="E100" s="24" t="s">
        <v>99</v>
      </c>
      <c r="F100" s="18"/>
      <c r="G100" s="19">
        <v>1.5012000000000001</v>
      </c>
      <c r="H100" s="20">
        <v>0.18310000000000001</v>
      </c>
      <c r="I100" s="21"/>
      <c r="J100" s="20">
        <v>36.194499999999998</v>
      </c>
      <c r="K100" s="20">
        <v>4.9927999999999999</v>
      </c>
      <c r="M100" t="str">
        <f t="shared" si="14"/>
        <v/>
      </c>
      <c r="N100" s="29" t="str">
        <f t="shared" si="15"/>
        <v xml:space="preserve"> Creativa Worldwide</v>
      </c>
      <c r="O100" t="str">
        <f t="shared" si="16"/>
        <v>KANZ ( Creativa Worldwide)</v>
      </c>
      <c r="P100" t="str">
        <f t="shared" si="18"/>
        <v/>
      </c>
      <c r="R100" t="str">
        <f t="shared" si="17"/>
        <v/>
      </c>
      <c r="T100" t="s">
        <v>871</v>
      </c>
      <c r="U100" t="str">
        <f t="shared" si="19"/>
        <v/>
      </c>
      <c r="V100" t="str">
        <f t="shared" si="20"/>
        <v/>
      </c>
      <c r="W100" t="str">
        <f t="shared" si="21"/>
        <v/>
      </c>
      <c r="X100" s="27" t="str">
        <f t="shared" si="22"/>
        <v/>
      </c>
      <c r="Y100" s="27" t="str">
        <f t="shared" si="23"/>
        <v/>
      </c>
      <c r="Z100" s="27" t="str">
        <f t="shared" si="24"/>
        <v/>
      </c>
      <c r="AA100" s="27" t="str">
        <f t="shared" si="25"/>
        <v/>
      </c>
      <c r="AB100" s="27" t="str">
        <f t="shared" si="26"/>
        <v/>
      </c>
      <c r="AC100" s="27" t="str">
        <f t="shared" si="27"/>
        <v/>
      </c>
    </row>
    <row r="101" spans="1:29" ht="15" customHeight="1" x14ac:dyDescent="0.3">
      <c r="A101" s="22" t="s">
        <v>100</v>
      </c>
      <c r="B101" s="23" t="s">
        <v>8</v>
      </c>
      <c r="C101" s="23" t="s">
        <v>9</v>
      </c>
      <c r="D101" s="24" t="s">
        <v>30</v>
      </c>
      <c r="E101" s="24" t="s">
        <v>42</v>
      </c>
      <c r="F101" s="18">
        <v>3.1665000000000001</v>
      </c>
      <c r="G101" s="19">
        <v>0.6875</v>
      </c>
      <c r="H101" s="20">
        <v>0.27989999999999998</v>
      </c>
      <c r="I101" s="21">
        <v>65.203199999999995</v>
      </c>
      <c r="J101" s="20">
        <v>14.1759</v>
      </c>
      <c r="K101" s="20">
        <v>5.1737000000000002</v>
      </c>
      <c r="M101" t="str">
        <f t="shared" si="14"/>
        <v>CHICCO SALVIETTINE SENSITIVE W 60 BAG</v>
      </c>
      <c r="N101" s="29" t="str">
        <f t="shared" si="15"/>
        <v xml:space="preserve"> CultureSana</v>
      </c>
      <c r="O101" t="str">
        <f t="shared" si="16"/>
        <v>CHICCO (CultureSana)</v>
      </c>
      <c r="P101" t="str">
        <f t="shared" si="18"/>
        <v xml:space="preserve"> CultureSana</v>
      </c>
      <c r="R101" t="str">
        <f t="shared" si="17"/>
        <v>CHICCO (CultureSana)</v>
      </c>
      <c r="T101" t="s">
        <v>98</v>
      </c>
      <c r="U101" t="str">
        <f t="shared" si="19"/>
        <v>BAGS</v>
      </c>
      <c r="V101" t="str">
        <f t="shared" si="20"/>
        <v>SENSITIVE</v>
      </c>
      <c r="W101" t="str">
        <f t="shared" si="21"/>
        <v>60</v>
      </c>
      <c r="X101" s="27">
        <f t="shared" si="22"/>
        <v>0</v>
      </c>
      <c r="Y101" s="27">
        <f t="shared" si="23"/>
        <v>1.5012000000000001</v>
      </c>
      <c r="Z101" s="27">
        <f t="shared" si="24"/>
        <v>0.18310000000000001</v>
      </c>
      <c r="AA101" s="27">
        <f t="shared" si="25"/>
        <v>0</v>
      </c>
      <c r="AB101" s="27">
        <f t="shared" si="26"/>
        <v>36.194499999999998</v>
      </c>
      <c r="AC101" s="27">
        <f t="shared" si="27"/>
        <v>4.9927999999999999</v>
      </c>
    </row>
    <row r="102" spans="1:29" ht="14.25" customHeight="1" x14ac:dyDescent="0.3">
      <c r="A102" s="25" t="s">
        <v>724</v>
      </c>
      <c r="B102" s="4" t="s">
        <v>5</v>
      </c>
      <c r="C102" s="4"/>
      <c r="D102" s="5"/>
      <c r="E102" s="5"/>
      <c r="F102" s="10"/>
      <c r="G102" s="11"/>
      <c r="H102" s="12">
        <v>5.57E-2</v>
      </c>
      <c r="I102" s="13"/>
      <c r="J102" s="12"/>
      <c r="K102" s="12">
        <v>1.7425999999999999</v>
      </c>
      <c r="M102" t="str">
        <f t="shared" si="14"/>
        <v>CHICCO SALVIETTINE PARABENI W 72 BAG</v>
      </c>
      <c r="N102" s="29" t="str">
        <f t="shared" si="15"/>
        <v xml:space="preserve"> CultureSana</v>
      </c>
      <c r="O102" t="str">
        <f t="shared" si="16"/>
        <v>CHICCO (CultureSana)</v>
      </c>
      <c r="P102" t="str">
        <f t="shared" si="18"/>
        <v xml:space="preserve"> CultureSana</v>
      </c>
      <c r="R102" t="str">
        <f t="shared" si="17"/>
        <v>CHICCO (CultureSana)</v>
      </c>
      <c r="T102" t="s">
        <v>100</v>
      </c>
      <c r="U102" t="str">
        <f t="shared" si="19"/>
        <v>BAGS</v>
      </c>
      <c r="V102" t="str">
        <f t="shared" si="20"/>
        <v>ALCOHOL FREE</v>
      </c>
      <c r="W102" t="str">
        <f t="shared" si="21"/>
        <v>72</v>
      </c>
      <c r="X102" s="27">
        <f t="shared" si="22"/>
        <v>3.1665000000000001</v>
      </c>
      <c r="Y102" s="27">
        <f t="shared" si="23"/>
        <v>0.6875</v>
      </c>
      <c r="Z102" s="27">
        <f t="shared" si="24"/>
        <v>0.27989999999999998</v>
      </c>
      <c r="AA102" s="27">
        <f t="shared" si="25"/>
        <v>65.203199999999995</v>
      </c>
      <c r="AB102" s="27">
        <f t="shared" si="26"/>
        <v>14.1759</v>
      </c>
      <c r="AC102" s="27">
        <f t="shared" si="27"/>
        <v>5.1737000000000002</v>
      </c>
    </row>
    <row r="103" spans="1:29" ht="15" customHeight="1" x14ac:dyDescent="0.3">
      <c r="A103" s="14" t="s">
        <v>843</v>
      </c>
      <c r="B103" s="15" t="s">
        <v>6</v>
      </c>
      <c r="C103" s="16"/>
      <c r="D103" s="17"/>
      <c r="E103" s="17"/>
      <c r="F103" s="18"/>
      <c r="G103" s="19"/>
      <c r="H103" s="20">
        <v>5.57E-2</v>
      </c>
      <c r="I103" s="21"/>
      <c r="J103" s="20"/>
      <c r="K103" s="20">
        <v>1.7425999999999999</v>
      </c>
      <c r="M103" t="str">
        <f t="shared" si="14"/>
        <v/>
      </c>
      <c r="N103" s="29" t="str">
        <f t="shared" si="15"/>
        <v xml:space="preserve"> CultureSana</v>
      </c>
      <c r="O103" t="str">
        <f t="shared" si="16"/>
        <v>CHICCO (CultureSana)</v>
      </c>
      <c r="P103" t="str">
        <f t="shared" si="18"/>
        <v/>
      </c>
      <c r="R103" t="str">
        <f t="shared" si="17"/>
        <v/>
      </c>
      <c r="T103" t="s">
        <v>871</v>
      </c>
      <c r="U103" t="str">
        <f t="shared" si="19"/>
        <v/>
      </c>
      <c r="V103" t="str">
        <f t="shared" si="20"/>
        <v/>
      </c>
      <c r="W103" t="str">
        <f t="shared" si="21"/>
        <v/>
      </c>
      <c r="X103" s="27" t="str">
        <f t="shared" si="22"/>
        <v/>
      </c>
      <c r="Y103" s="27" t="str">
        <f t="shared" si="23"/>
        <v/>
      </c>
      <c r="Z103" s="27" t="str">
        <f t="shared" si="24"/>
        <v/>
      </c>
      <c r="AA103" s="27" t="str">
        <f t="shared" si="25"/>
        <v/>
      </c>
      <c r="AB103" s="27" t="str">
        <f t="shared" si="26"/>
        <v/>
      </c>
      <c r="AC103" s="27" t="str">
        <f t="shared" si="27"/>
        <v/>
      </c>
    </row>
    <row r="104" spans="1:29" ht="15" customHeight="1" x14ac:dyDescent="0.3">
      <c r="A104" s="22" t="s">
        <v>101</v>
      </c>
      <c r="B104" s="23" t="s">
        <v>8</v>
      </c>
      <c r="C104" s="23" t="s">
        <v>9</v>
      </c>
      <c r="D104" s="24" t="s">
        <v>20</v>
      </c>
      <c r="E104" s="24" t="s">
        <v>42</v>
      </c>
      <c r="F104" s="18"/>
      <c r="G104" s="19"/>
      <c r="H104" s="20">
        <v>5.57E-2</v>
      </c>
      <c r="I104" s="21"/>
      <c r="J104" s="20"/>
      <c r="K104" s="20">
        <v>1.7425999999999999</v>
      </c>
      <c r="M104" t="str">
        <f t="shared" si="14"/>
        <v/>
      </c>
      <c r="N104" s="29" t="str">
        <f t="shared" si="15"/>
        <v xml:space="preserve"> CultureSana</v>
      </c>
      <c r="O104" t="str">
        <f t="shared" si="16"/>
        <v>CHICCO (CultureSana)</v>
      </c>
      <c r="P104" t="str">
        <f t="shared" si="18"/>
        <v/>
      </c>
      <c r="R104" t="str">
        <f t="shared" si="17"/>
        <v/>
      </c>
      <c r="T104" t="s">
        <v>871</v>
      </c>
      <c r="U104" t="str">
        <f t="shared" si="19"/>
        <v/>
      </c>
      <c r="V104" t="str">
        <f t="shared" si="20"/>
        <v/>
      </c>
      <c r="W104" t="str">
        <f t="shared" si="21"/>
        <v/>
      </c>
      <c r="X104" s="27" t="str">
        <f t="shared" si="22"/>
        <v/>
      </c>
      <c r="Y104" s="27" t="str">
        <f t="shared" si="23"/>
        <v/>
      </c>
      <c r="Z104" s="27" t="str">
        <f t="shared" si="24"/>
        <v/>
      </c>
      <c r="AA104" s="27" t="str">
        <f t="shared" si="25"/>
        <v/>
      </c>
      <c r="AB104" s="27" t="str">
        <f t="shared" si="26"/>
        <v/>
      </c>
      <c r="AC104" s="27" t="str">
        <f t="shared" si="27"/>
        <v/>
      </c>
    </row>
    <row r="105" spans="1:29" ht="14.25" customHeight="1" x14ac:dyDescent="0.3">
      <c r="A105" s="25" t="s">
        <v>725</v>
      </c>
      <c r="B105" s="4" t="s">
        <v>5</v>
      </c>
      <c r="C105" s="4"/>
      <c r="D105" s="5"/>
      <c r="E105" s="5"/>
      <c r="F105" s="10">
        <v>471.6447</v>
      </c>
      <c r="G105" s="11">
        <v>448.00150000000002</v>
      </c>
      <c r="H105" s="12">
        <v>276.14030000000002</v>
      </c>
      <c r="I105" s="13">
        <v>13724.156499999999</v>
      </c>
      <c r="J105" s="12">
        <v>13181.351199999999</v>
      </c>
      <c r="K105" s="12">
        <v>8823.5241000000005</v>
      </c>
      <c r="M105" t="str">
        <f t="shared" si="14"/>
        <v>UNI COMFORT LOTION P H5.5 72 BAG</v>
      </c>
      <c r="N105" s="29" t="str">
        <f t="shared" si="15"/>
        <v xml:space="preserve"> Ataman Industries</v>
      </c>
      <c r="O105" t="str">
        <f t="shared" si="16"/>
        <v>UNI (Ataman Industries)</v>
      </c>
      <c r="P105" t="str">
        <f t="shared" si="18"/>
        <v xml:space="preserve"> Ataman Industries</v>
      </c>
      <c r="R105" t="str">
        <f t="shared" si="17"/>
        <v>UNI (Ataman Industries)</v>
      </c>
      <c r="T105" t="s">
        <v>101</v>
      </c>
      <c r="U105" t="str">
        <f t="shared" si="19"/>
        <v>BAGS</v>
      </c>
      <c r="V105" t="str">
        <f t="shared" si="20"/>
        <v>PH BALANCED</v>
      </c>
      <c r="W105" t="str">
        <f t="shared" si="21"/>
        <v>72</v>
      </c>
      <c r="X105" s="27">
        <f t="shared" si="22"/>
        <v>0</v>
      </c>
      <c r="Y105" s="27">
        <f t="shared" si="23"/>
        <v>0</v>
      </c>
      <c r="Z105" s="27">
        <f t="shared" si="24"/>
        <v>5.57E-2</v>
      </c>
      <c r="AA105" s="27">
        <f t="shared" si="25"/>
        <v>0</v>
      </c>
      <c r="AB105" s="27">
        <f t="shared" si="26"/>
        <v>0</v>
      </c>
      <c r="AC105" s="27">
        <f t="shared" si="27"/>
        <v>1.7425999999999999</v>
      </c>
    </row>
    <row r="106" spans="1:29" ht="15" customHeight="1" x14ac:dyDescent="0.3">
      <c r="A106" s="14" t="s">
        <v>844</v>
      </c>
      <c r="B106" s="15" t="s">
        <v>6</v>
      </c>
      <c r="C106" s="16"/>
      <c r="D106" s="17"/>
      <c r="E106" s="17"/>
      <c r="F106" s="18">
        <v>471.6447</v>
      </c>
      <c r="G106" s="19">
        <v>448.00150000000002</v>
      </c>
      <c r="H106" s="20">
        <v>276.14030000000002</v>
      </c>
      <c r="I106" s="21">
        <v>13724.156499999999</v>
      </c>
      <c r="J106" s="20">
        <v>13181.351199999999</v>
      </c>
      <c r="K106" s="20">
        <v>8823.5241000000005</v>
      </c>
      <c r="M106" t="str">
        <f t="shared" si="14"/>
        <v/>
      </c>
      <c r="N106" s="29" t="str">
        <f t="shared" si="15"/>
        <v xml:space="preserve"> Ataman Industries</v>
      </c>
      <c r="O106" t="str">
        <f t="shared" si="16"/>
        <v>UNI (Ataman Industries)</v>
      </c>
      <c r="P106" t="str">
        <f t="shared" si="18"/>
        <v/>
      </c>
      <c r="R106" t="str">
        <f t="shared" si="17"/>
        <v/>
      </c>
      <c r="T106" t="s">
        <v>871</v>
      </c>
      <c r="U106" t="str">
        <f t="shared" si="19"/>
        <v/>
      </c>
      <c r="V106" t="str">
        <f t="shared" si="20"/>
        <v/>
      </c>
      <c r="W106" t="str">
        <f t="shared" si="21"/>
        <v/>
      </c>
      <c r="X106" s="27" t="str">
        <f t="shared" si="22"/>
        <v/>
      </c>
      <c r="Y106" s="27" t="str">
        <f t="shared" si="23"/>
        <v/>
      </c>
      <c r="Z106" s="27" t="str">
        <f t="shared" si="24"/>
        <v/>
      </c>
      <c r="AA106" s="27" t="str">
        <f t="shared" si="25"/>
        <v/>
      </c>
      <c r="AB106" s="27" t="str">
        <f t="shared" si="26"/>
        <v/>
      </c>
      <c r="AC106" s="27" t="str">
        <f t="shared" si="27"/>
        <v/>
      </c>
    </row>
    <row r="107" spans="1:29" ht="15" customHeight="1" x14ac:dyDescent="0.3">
      <c r="A107" s="22" t="s">
        <v>104</v>
      </c>
      <c r="B107" s="23" t="s">
        <v>8</v>
      </c>
      <c r="C107" s="23" t="s">
        <v>9</v>
      </c>
      <c r="D107" s="24" t="s">
        <v>20</v>
      </c>
      <c r="E107" s="24" t="s">
        <v>105</v>
      </c>
      <c r="F107" s="18">
        <v>209.29769999999999</v>
      </c>
      <c r="G107" s="19">
        <v>236.50559999999999</v>
      </c>
      <c r="H107" s="20">
        <v>198.2927</v>
      </c>
      <c r="I107" s="21">
        <v>7336.5478999999996</v>
      </c>
      <c r="J107" s="20">
        <v>8103.1085000000003</v>
      </c>
      <c r="K107" s="20">
        <v>7048.5825999999997</v>
      </c>
      <c r="M107" t="str">
        <f t="shared" si="14"/>
        <v/>
      </c>
      <c r="N107" s="29" t="str">
        <f t="shared" si="15"/>
        <v xml:space="preserve"> Ataman Industries</v>
      </c>
      <c r="O107" t="str">
        <f t="shared" si="16"/>
        <v>UNI (Ataman Industries)</v>
      </c>
      <c r="P107" t="str">
        <f t="shared" si="18"/>
        <v/>
      </c>
      <c r="R107" t="str">
        <f t="shared" si="17"/>
        <v/>
      </c>
      <c r="T107" t="s">
        <v>871</v>
      </c>
      <c r="U107" t="str">
        <f t="shared" si="19"/>
        <v/>
      </c>
      <c r="V107" t="str">
        <f t="shared" si="20"/>
        <v/>
      </c>
      <c r="W107" t="str">
        <f t="shared" si="21"/>
        <v/>
      </c>
      <c r="X107" s="27" t="str">
        <f t="shared" si="22"/>
        <v/>
      </c>
      <c r="Y107" s="27" t="str">
        <f t="shared" si="23"/>
        <v/>
      </c>
      <c r="Z107" s="27" t="str">
        <f t="shared" si="24"/>
        <v/>
      </c>
      <c r="AA107" s="27" t="str">
        <f t="shared" si="25"/>
        <v/>
      </c>
      <c r="AB107" s="27" t="str">
        <f t="shared" si="26"/>
        <v/>
      </c>
      <c r="AC107" s="27" t="str">
        <f t="shared" si="27"/>
        <v/>
      </c>
    </row>
    <row r="108" spans="1:29" ht="15" customHeight="1" x14ac:dyDescent="0.3">
      <c r="A108" s="22" t="s">
        <v>106</v>
      </c>
      <c r="B108" s="23" t="s">
        <v>8</v>
      </c>
      <c r="C108" s="23" t="s">
        <v>9</v>
      </c>
      <c r="D108" s="24" t="s">
        <v>20</v>
      </c>
      <c r="E108" s="24" t="s">
        <v>105</v>
      </c>
      <c r="F108" s="18">
        <v>2.7799999999999998E-2</v>
      </c>
      <c r="G108" s="19">
        <v>4.5999999999999999E-3</v>
      </c>
      <c r="H108" s="20"/>
      <c r="I108" s="21">
        <v>1.2</v>
      </c>
      <c r="J108" s="20">
        <v>0.2</v>
      </c>
      <c r="K108" s="20"/>
      <c r="M108" t="str">
        <f t="shared" si="14"/>
        <v>EVENT BABY CALENDULA 140 BAG KAPAK</v>
      </c>
      <c r="N108" s="29" t="str">
        <f t="shared" si="15"/>
        <v xml:space="preserve"> AxisOn Group</v>
      </c>
      <c r="O108" t="str">
        <f t="shared" si="16"/>
        <v>EVENT (AxisOn Group)</v>
      </c>
      <c r="P108" t="str">
        <f t="shared" si="18"/>
        <v xml:space="preserve"> AxisOn Group</v>
      </c>
      <c r="R108" t="str">
        <f t="shared" si="17"/>
        <v>EVENT (AxisOn Group)</v>
      </c>
      <c r="T108" t="s">
        <v>104</v>
      </c>
      <c r="U108" t="str">
        <f t="shared" si="19"/>
        <v>BAGS</v>
      </c>
      <c r="V108" t="str">
        <f t="shared" si="20"/>
        <v>PH BALANCED</v>
      </c>
      <c r="W108" t="str">
        <f t="shared" si="21"/>
        <v>140</v>
      </c>
      <c r="X108" s="27">
        <f t="shared" si="22"/>
        <v>209.29769999999999</v>
      </c>
      <c r="Y108" s="27">
        <f t="shared" si="23"/>
        <v>236.50559999999999</v>
      </c>
      <c r="Z108" s="27">
        <f t="shared" si="24"/>
        <v>198.2927</v>
      </c>
      <c r="AA108" s="27">
        <f t="shared" si="25"/>
        <v>7336.5478999999996</v>
      </c>
      <c r="AB108" s="27">
        <f t="shared" si="26"/>
        <v>8103.1085000000003</v>
      </c>
      <c r="AC108" s="27">
        <f t="shared" si="27"/>
        <v>7048.5825999999997</v>
      </c>
    </row>
    <row r="109" spans="1:29" ht="15" customHeight="1" x14ac:dyDescent="0.3">
      <c r="A109" s="22" t="s">
        <v>107</v>
      </c>
      <c r="B109" s="23" t="s">
        <v>8</v>
      </c>
      <c r="C109" s="23" t="s">
        <v>9</v>
      </c>
      <c r="D109" s="24" t="s">
        <v>20</v>
      </c>
      <c r="E109" s="24" t="s">
        <v>11</v>
      </c>
      <c r="F109" s="18">
        <v>27.777100000000001</v>
      </c>
      <c r="G109" s="19">
        <v>19.717700000000001</v>
      </c>
      <c r="H109" s="20">
        <v>14.4848</v>
      </c>
      <c r="I109" s="21">
        <v>429.91730000000001</v>
      </c>
      <c r="J109" s="20">
        <v>309.96710000000002</v>
      </c>
      <c r="K109" s="20">
        <v>229.3313</v>
      </c>
      <c r="M109" t="str">
        <f t="shared" si="14"/>
        <v>EVENT BABY CALENDULA 140 BAG KAPAK+WIP</v>
      </c>
      <c r="N109" s="29" t="str">
        <f t="shared" si="15"/>
        <v xml:space="preserve"> AxisOn Group</v>
      </c>
      <c r="O109" t="str">
        <f t="shared" si="16"/>
        <v>EVENT (AxisOn Group)</v>
      </c>
      <c r="P109" t="str">
        <f t="shared" si="18"/>
        <v xml:space="preserve"> AxisOn Group</v>
      </c>
      <c r="R109" t="str">
        <f t="shared" si="17"/>
        <v>EVENT (AxisOn Group)</v>
      </c>
      <c r="T109" t="s">
        <v>106</v>
      </c>
      <c r="U109" t="str">
        <f t="shared" si="19"/>
        <v>BAGS</v>
      </c>
      <c r="V109" t="str">
        <f t="shared" si="20"/>
        <v>PH BALANCED</v>
      </c>
      <c r="W109" t="str">
        <f t="shared" si="21"/>
        <v>140</v>
      </c>
      <c r="X109" s="27">
        <f t="shared" si="22"/>
        <v>2.7799999999999998E-2</v>
      </c>
      <c r="Y109" s="27">
        <f t="shared" si="23"/>
        <v>4.5999999999999999E-3</v>
      </c>
      <c r="Z109" s="27">
        <f t="shared" si="24"/>
        <v>0</v>
      </c>
      <c r="AA109" s="27">
        <f t="shared" si="25"/>
        <v>1.2</v>
      </c>
      <c r="AB109" s="27">
        <f t="shared" si="26"/>
        <v>0.2</v>
      </c>
      <c r="AC109" s="27">
        <f t="shared" si="27"/>
        <v>0</v>
      </c>
    </row>
    <row r="110" spans="1:29" ht="15" customHeight="1" x14ac:dyDescent="0.3">
      <c r="A110" s="22" t="s">
        <v>108</v>
      </c>
      <c r="B110" s="23" t="s">
        <v>8</v>
      </c>
      <c r="C110" s="23" t="s">
        <v>9</v>
      </c>
      <c r="D110" s="24" t="s">
        <v>64</v>
      </c>
      <c r="E110" s="24" t="s">
        <v>11</v>
      </c>
      <c r="F110" s="18">
        <v>40.515599999999999</v>
      </c>
      <c r="G110" s="19">
        <v>34.999099999999999</v>
      </c>
      <c r="H110" s="20">
        <v>5.7746000000000004</v>
      </c>
      <c r="I110" s="21">
        <v>630.63189999999997</v>
      </c>
      <c r="J110" s="20">
        <v>558.36739999999998</v>
      </c>
      <c r="K110" s="20">
        <v>90.998999999999995</v>
      </c>
      <c r="M110" t="str">
        <f t="shared" si="14"/>
        <v>EVENT BABY MOIST.CHAMOMILE 20 W BAG</v>
      </c>
      <c r="N110" s="29" t="str">
        <f t="shared" si="15"/>
        <v xml:space="preserve"> AxisOn Group</v>
      </c>
      <c r="O110" t="str">
        <f t="shared" si="16"/>
        <v>EVENT (AxisOn Group)</v>
      </c>
      <c r="P110" t="str">
        <f t="shared" si="18"/>
        <v xml:space="preserve"> AxisOn Group</v>
      </c>
      <c r="R110" t="str">
        <f t="shared" si="17"/>
        <v>EVENT (AxisOn Group)</v>
      </c>
      <c r="T110" t="s">
        <v>107</v>
      </c>
      <c r="U110" t="str">
        <f t="shared" si="19"/>
        <v>BAGS</v>
      </c>
      <c r="V110" t="str">
        <f t="shared" si="20"/>
        <v>PH BALANCED</v>
      </c>
      <c r="W110" t="str">
        <f t="shared" si="21"/>
        <v>20</v>
      </c>
      <c r="X110" s="27">
        <f t="shared" si="22"/>
        <v>27.777100000000001</v>
      </c>
      <c r="Y110" s="27">
        <f t="shared" si="23"/>
        <v>19.717700000000001</v>
      </c>
      <c r="Z110" s="27">
        <f t="shared" si="24"/>
        <v>14.4848</v>
      </c>
      <c r="AA110" s="27">
        <f t="shared" si="25"/>
        <v>429.91730000000001</v>
      </c>
      <c r="AB110" s="27">
        <f t="shared" si="26"/>
        <v>309.96710000000002</v>
      </c>
      <c r="AC110" s="27">
        <f t="shared" si="27"/>
        <v>229.3313</v>
      </c>
    </row>
    <row r="111" spans="1:29" ht="15" customHeight="1" x14ac:dyDescent="0.3">
      <c r="A111" s="22" t="s">
        <v>109</v>
      </c>
      <c r="B111" s="23" t="s">
        <v>8</v>
      </c>
      <c r="C111" s="23" t="s">
        <v>9</v>
      </c>
      <c r="D111" s="24" t="s">
        <v>20</v>
      </c>
      <c r="E111" s="24" t="s">
        <v>88</v>
      </c>
      <c r="F111" s="18">
        <v>61.397500000000001</v>
      </c>
      <c r="G111" s="19">
        <v>45.295999999999999</v>
      </c>
      <c r="H111" s="20">
        <v>19.337599999999998</v>
      </c>
      <c r="I111" s="21">
        <v>1027.2618</v>
      </c>
      <c r="J111" s="20">
        <v>758.06629999999996</v>
      </c>
      <c r="K111" s="20">
        <v>328.18349999999998</v>
      </c>
      <c r="M111" t="str">
        <f t="shared" si="14"/>
        <v>EVENT BABY SENSIT. ALOE VERA 20 BAG</v>
      </c>
      <c r="N111" s="29" t="str">
        <f t="shared" si="15"/>
        <v xml:space="preserve"> AxisOn Group</v>
      </c>
      <c r="O111" t="str">
        <f t="shared" si="16"/>
        <v>EVENT (AxisOn Group)</v>
      </c>
      <c r="P111" t="str">
        <f t="shared" si="18"/>
        <v xml:space="preserve"> AxisOn Group</v>
      </c>
      <c r="R111" t="str">
        <f t="shared" si="17"/>
        <v>EVENT (AxisOn Group)</v>
      </c>
      <c r="T111" t="s">
        <v>108</v>
      </c>
      <c r="U111" t="str">
        <f t="shared" si="19"/>
        <v>BAGS</v>
      </c>
      <c r="V111" t="str">
        <f t="shared" si="20"/>
        <v>SENSITIVE</v>
      </c>
      <c r="W111" t="str">
        <f t="shared" si="21"/>
        <v>20</v>
      </c>
      <c r="X111" s="27">
        <f t="shared" si="22"/>
        <v>40.515599999999999</v>
      </c>
      <c r="Y111" s="27">
        <f t="shared" si="23"/>
        <v>34.999099999999999</v>
      </c>
      <c r="Z111" s="27">
        <f t="shared" si="24"/>
        <v>5.7746000000000004</v>
      </c>
      <c r="AA111" s="27">
        <f t="shared" si="25"/>
        <v>630.63189999999997</v>
      </c>
      <c r="AB111" s="27">
        <f t="shared" si="26"/>
        <v>558.36739999999998</v>
      </c>
      <c r="AC111" s="27">
        <f t="shared" si="27"/>
        <v>90.998999999999995</v>
      </c>
    </row>
    <row r="112" spans="1:29" ht="15" customHeight="1" x14ac:dyDescent="0.3">
      <c r="A112" s="22" t="s">
        <v>110</v>
      </c>
      <c r="B112" s="23" t="s">
        <v>8</v>
      </c>
      <c r="C112" s="23" t="s">
        <v>9</v>
      </c>
      <c r="D112" s="24" t="s">
        <v>20</v>
      </c>
      <c r="E112" s="24" t="s">
        <v>88</v>
      </c>
      <c r="F112" s="18">
        <v>1.03E-2</v>
      </c>
      <c r="G112" s="19">
        <v>1.6999999999999999E-3</v>
      </c>
      <c r="H112" s="20"/>
      <c r="I112" s="21">
        <v>0.21429999999999999</v>
      </c>
      <c r="J112" s="20">
        <v>3.5700000000000003E-2</v>
      </c>
      <c r="K112" s="20"/>
      <c r="M112" t="str">
        <f t="shared" si="14"/>
        <v>EVENT BABY CALENDULA W 25 BAG</v>
      </c>
      <c r="N112" s="29" t="str">
        <f t="shared" si="15"/>
        <v xml:space="preserve"> AxisOn Group</v>
      </c>
      <c r="O112" t="str">
        <f t="shared" si="16"/>
        <v>EVENT (AxisOn Group)</v>
      </c>
      <c r="P112" t="str">
        <f t="shared" si="18"/>
        <v xml:space="preserve"> AxisOn Group</v>
      </c>
      <c r="R112" t="str">
        <f t="shared" si="17"/>
        <v>EVENT (AxisOn Group)</v>
      </c>
      <c r="T112" t="s">
        <v>109</v>
      </c>
      <c r="U112" t="str">
        <f t="shared" si="19"/>
        <v>BAGS</v>
      </c>
      <c r="V112" t="str">
        <f t="shared" si="20"/>
        <v>PH BALANCED</v>
      </c>
      <c r="W112" t="str">
        <f t="shared" si="21"/>
        <v>25</v>
      </c>
      <c r="X112" s="27">
        <f t="shared" si="22"/>
        <v>61.397500000000001</v>
      </c>
      <c r="Y112" s="27">
        <f t="shared" si="23"/>
        <v>45.295999999999999</v>
      </c>
      <c r="Z112" s="27">
        <f t="shared" si="24"/>
        <v>19.337599999999998</v>
      </c>
      <c r="AA112" s="27">
        <f t="shared" si="25"/>
        <v>1027.2618</v>
      </c>
      <c r="AB112" s="27">
        <f t="shared" si="26"/>
        <v>758.06629999999996</v>
      </c>
      <c r="AC112" s="27">
        <f t="shared" si="27"/>
        <v>328.18349999999998</v>
      </c>
    </row>
    <row r="113" spans="1:29" ht="15" customHeight="1" x14ac:dyDescent="0.3">
      <c r="A113" s="22" t="s">
        <v>111</v>
      </c>
      <c r="B113" s="23" t="s">
        <v>8</v>
      </c>
      <c r="C113" s="23" t="s">
        <v>9</v>
      </c>
      <c r="D113" s="24" t="s">
        <v>69</v>
      </c>
      <c r="E113" s="24" t="s">
        <v>102</v>
      </c>
      <c r="F113" s="18"/>
      <c r="G113" s="19"/>
      <c r="H113" s="20">
        <v>8.3928999999999991</v>
      </c>
      <c r="I113" s="21"/>
      <c r="J113" s="20"/>
      <c r="K113" s="20">
        <v>185.37119999999999</v>
      </c>
      <c r="M113" t="str">
        <f t="shared" si="14"/>
        <v>EVENT BABY CALENDULA W 25 BAG+WIP 140</v>
      </c>
      <c r="N113" s="29" t="str">
        <f t="shared" si="15"/>
        <v xml:space="preserve"> AxisOn Group</v>
      </c>
      <c r="O113" t="str">
        <f t="shared" si="16"/>
        <v>EVENT (AxisOn Group)</v>
      </c>
      <c r="P113" t="str">
        <f t="shared" si="18"/>
        <v xml:space="preserve"> AxisOn Group</v>
      </c>
      <c r="R113" t="str">
        <f t="shared" si="17"/>
        <v>EVENT (AxisOn Group)</v>
      </c>
      <c r="T113" t="s">
        <v>110</v>
      </c>
      <c r="U113" t="str">
        <f t="shared" si="19"/>
        <v>BAGS</v>
      </c>
      <c r="V113" t="str">
        <f t="shared" si="20"/>
        <v>PH BALANCED</v>
      </c>
      <c r="W113" t="str">
        <f t="shared" si="21"/>
        <v>25</v>
      </c>
      <c r="X113" s="27">
        <f t="shared" si="22"/>
        <v>1.03E-2</v>
      </c>
      <c r="Y113" s="27">
        <f t="shared" si="23"/>
        <v>1.6999999999999999E-3</v>
      </c>
      <c r="Z113" s="27">
        <f t="shared" si="24"/>
        <v>0</v>
      </c>
      <c r="AA113" s="27">
        <f t="shared" si="25"/>
        <v>0.21429999999999999</v>
      </c>
      <c r="AB113" s="27">
        <f t="shared" si="26"/>
        <v>3.5700000000000003E-2</v>
      </c>
      <c r="AC113" s="27">
        <f t="shared" si="27"/>
        <v>0</v>
      </c>
    </row>
    <row r="114" spans="1:29" ht="15" customHeight="1" x14ac:dyDescent="0.3">
      <c r="A114" s="22" t="s">
        <v>112</v>
      </c>
      <c r="B114" s="23" t="s">
        <v>8</v>
      </c>
      <c r="C114" s="23" t="s">
        <v>9</v>
      </c>
      <c r="D114" s="24" t="s">
        <v>69</v>
      </c>
      <c r="E114" s="24" t="s">
        <v>37</v>
      </c>
      <c r="F114" s="18">
        <v>11.2281</v>
      </c>
      <c r="G114" s="19">
        <v>7.5716999999999999</v>
      </c>
      <c r="H114" s="20">
        <v>1.9255</v>
      </c>
      <c r="I114" s="21">
        <v>325.11810000000003</v>
      </c>
      <c r="J114" s="20">
        <v>236.1233</v>
      </c>
      <c r="K114" s="20">
        <v>61.869799999999998</v>
      </c>
      <c r="M114" t="str">
        <f t="shared" si="14"/>
        <v>EVENT BABY CALENDULA HYPOALL.W 30 BAG</v>
      </c>
      <c r="N114" s="29" t="str">
        <f t="shared" si="15"/>
        <v xml:space="preserve"> AxisOn Group</v>
      </c>
      <c r="O114" t="str">
        <f t="shared" si="16"/>
        <v>EVENT (AxisOn Group)</v>
      </c>
      <c r="P114" t="str">
        <f t="shared" si="18"/>
        <v xml:space="preserve"> AxisOn Group</v>
      </c>
      <c r="R114" t="str">
        <f t="shared" si="17"/>
        <v>EVENT (AxisOn Group)</v>
      </c>
      <c r="T114" t="s">
        <v>111</v>
      </c>
      <c r="U114" t="str">
        <f t="shared" si="19"/>
        <v>BAGS</v>
      </c>
      <c r="V114" t="str">
        <f t="shared" si="20"/>
        <v>HYPOALLERGENIC</v>
      </c>
      <c r="W114" t="str">
        <f t="shared" si="21"/>
        <v>30</v>
      </c>
      <c r="X114" s="27">
        <f t="shared" si="22"/>
        <v>0</v>
      </c>
      <c r="Y114" s="27">
        <f t="shared" si="23"/>
        <v>0</v>
      </c>
      <c r="Z114" s="27">
        <f t="shared" si="24"/>
        <v>8.3928999999999991</v>
      </c>
      <c r="AA114" s="27">
        <f t="shared" si="25"/>
        <v>0</v>
      </c>
      <c r="AB114" s="27">
        <f t="shared" si="26"/>
        <v>0</v>
      </c>
      <c r="AC114" s="27">
        <f t="shared" si="27"/>
        <v>185.37119999999999</v>
      </c>
    </row>
    <row r="115" spans="1:29" ht="15" customHeight="1" x14ac:dyDescent="0.3">
      <c r="A115" s="22" t="s">
        <v>113</v>
      </c>
      <c r="B115" s="23" t="s">
        <v>8</v>
      </c>
      <c r="C115" s="23" t="s">
        <v>9</v>
      </c>
      <c r="D115" s="24" t="s">
        <v>69</v>
      </c>
      <c r="E115" s="24" t="s">
        <v>42</v>
      </c>
      <c r="F115" s="18">
        <v>56.268599999999999</v>
      </c>
      <c r="G115" s="19">
        <v>22.377800000000001</v>
      </c>
      <c r="H115" s="20">
        <v>12.435499999999999</v>
      </c>
      <c r="I115" s="21">
        <v>1799.2518</v>
      </c>
      <c r="J115" s="20">
        <v>721.99059999999997</v>
      </c>
      <c r="K115" s="20">
        <v>385.45190000000002</v>
      </c>
      <c r="M115" t="str">
        <f t="shared" si="14"/>
        <v>EVENT BABY HYPOAL.CALENDULA 64 W BAG</v>
      </c>
      <c r="N115" s="29" t="str">
        <f t="shared" si="15"/>
        <v xml:space="preserve"> AxisOn Group</v>
      </c>
      <c r="O115" t="str">
        <f t="shared" si="16"/>
        <v>EVENT (AxisOn Group)</v>
      </c>
      <c r="P115" t="str">
        <f t="shared" si="18"/>
        <v xml:space="preserve"> AxisOn Group</v>
      </c>
      <c r="R115" t="str">
        <f t="shared" si="17"/>
        <v>EVENT (AxisOn Group)</v>
      </c>
      <c r="T115" t="s">
        <v>112</v>
      </c>
      <c r="U115" t="str">
        <f t="shared" si="19"/>
        <v>BAGS</v>
      </c>
      <c r="V115" t="str">
        <f t="shared" si="20"/>
        <v>HYPOALLERGENIC</v>
      </c>
      <c r="W115" t="str">
        <f t="shared" si="21"/>
        <v>64</v>
      </c>
      <c r="X115" s="27">
        <f t="shared" si="22"/>
        <v>11.2281</v>
      </c>
      <c r="Y115" s="27">
        <f t="shared" si="23"/>
        <v>7.5716999999999999</v>
      </c>
      <c r="Z115" s="27">
        <f t="shared" si="24"/>
        <v>1.9255</v>
      </c>
      <c r="AA115" s="27">
        <f t="shared" si="25"/>
        <v>325.11810000000003</v>
      </c>
      <c r="AB115" s="27">
        <f t="shared" si="26"/>
        <v>236.1233</v>
      </c>
      <c r="AC115" s="27">
        <f t="shared" si="27"/>
        <v>61.869799999999998</v>
      </c>
    </row>
    <row r="116" spans="1:29" ht="15" customHeight="1" x14ac:dyDescent="0.3">
      <c r="A116" s="22" t="s">
        <v>114</v>
      </c>
      <c r="B116" s="23" t="s">
        <v>8</v>
      </c>
      <c r="C116" s="23" t="s">
        <v>9</v>
      </c>
      <c r="D116" s="24" t="s">
        <v>10</v>
      </c>
      <c r="E116" s="24" t="s">
        <v>42</v>
      </c>
      <c r="F116" s="18">
        <v>0.64159999999999995</v>
      </c>
      <c r="G116" s="19">
        <v>0.34470000000000001</v>
      </c>
      <c r="H116" s="20"/>
      <c r="I116" s="21">
        <v>14.463900000000001</v>
      </c>
      <c r="J116" s="20">
        <v>7.3648999999999996</v>
      </c>
      <c r="K116" s="20"/>
      <c r="M116" t="str">
        <f t="shared" si="14"/>
        <v>EVENT BABY HYPOALL.CHAMOMILE 72 W BAG</v>
      </c>
      <c r="N116" s="29" t="str">
        <f t="shared" si="15"/>
        <v xml:space="preserve"> AxisOn Group</v>
      </c>
      <c r="O116" t="str">
        <f t="shared" si="16"/>
        <v>EVENT (AxisOn Group)</v>
      </c>
      <c r="P116" t="str">
        <f t="shared" si="18"/>
        <v xml:space="preserve"> AxisOn Group</v>
      </c>
      <c r="R116" t="str">
        <f t="shared" si="17"/>
        <v>EVENT (AxisOn Group)</v>
      </c>
      <c r="T116" t="s">
        <v>113</v>
      </c>
      <c r="U116" t="str">
        <f t="shared" si="19"/>
        <v>BAGS</v>
      </c>
      <c r="V116" t="str">
        <f t="shared" si="20"/>
        <v>HYPOALLERGENIC</v>
      </c>
      <c r="W116" t="str">
        <f t="shared" si="21"/>
        <v>72</v>
      </c>
      <c r="X116" s="27">
        <f t="shared" si="22"/>
        <v>56.268599999999999</v>
      </c>
      <c r="Y116" s="27">
        <f t="shared" si="23"/>
        <v>22.377800000000001</v>
      </c>
      <c r="Z116" s="27">
        <f t="shared" si="24"/>
        <v>12.435499999999999</v>
      </c>
      <c r="AA116" s="27">
        <f t="shared" si="25"/>
        <v>1799.2518</v>
      </c>
      <c r="AB116" s="27">
        <f t="shared" si="26"/>
        <v>721.99059999999997</v>
      </c>
      <c r="AC116" s="27">
        <f t="shared" si="27"/>
        <v>385.45190000000002</v>
      </c>
    </row>
    <row r="117" spans="1:29" ht="15" customHeight="1" x14ac:dyDescent="0.3">
      <c r="A117" s="22" t="s">
        <v>115</v>
      </c>
      <c r="B117" s="23" t="s">
        <v>8</v>
      </c>
      <c r="C117" s="23" t="s">
        <v>9</v>
      </c>
      <c r="D117" s="24" t="s">
        <v>64</v>
      </c>
      <c r="E117" s="24" t="s">
        <v>42</v>
      </c>
      <c r="F117" s="18">
        <v>64.480099999999993</v>
      </c>
      <c r="G117" s="19">
        <v>81.182500000000005</v>
      </c>
      <c r="H117" s="20">
        <v>15.496600000000001</v>
      </c>
      <c r="I117" s="21">
        <v>2159.5493999999999</v>
      </c>
      <c r="J117" s="20">
        <v>2486.1275000000001</v>
      </c>
      <c r="K117" s="20">
        <v>493.73469999999998</v>
      </c>
      <c r="M117" t="str">
        <f t="shared" si="14"/>
        <v>EVENT BABY MOIST.CHAMOMILE 72 W BAG</v>
      </c>
      <c r="N117" s="29" t="str">
        <f t="shared" si="15"/>
        <v xml:space="preserve"> AxisOn Group</v>
      </c>
      <c r="O117" t="str">
        <f t="shared" si="16"/>
        <v>EVENT (AxisOn Group)</v>
      </c>
      <c r="P117" t="str">
        <f t="shared" si="18"/>
        <v xml:space="preserve"> AxisOn Group</v>
      </c>
      <c r="R117" t="str">
        <f t="shared" si="17"/>
        <v>EVENT (AxisOn Group)</v>
      </c>
      <c r="T117" t="s">
        <v>114</v>
      </c>
      <c r="U117" t="str">
        <f t="shared" si="19"/>
        <v>BAGS</v>
      </c>
      <c r="V117" t="str">
        <f t="shared" si="20"/>
        <v>WITHOUT EXTRA PROTECTCARE INDICATION</v>
      </c>
      <c r="W117" t="str">
        <f t="shared" si="21"/>
        <v>72</v>
      </c>
      <c r="X117" s="27">
        <f t="shared" si="22"/>
        <v>0.64159999999999995</v>
      </c>
      <c r="Y117" s="27">
        <f t="shared" si="23"/>
        <v>0.34470000000000001</v>
      </c>
      <c r="Z117" s="27">
        <f t="shared" si="24"/>
        <v>0</v>
      </c>
      <c r="AA117" s="27">
        <f t="shared" si="25"/>
        <v>14.463900000000001</v>
      </c>
      <c r="AB117" s="27">
        <f t="shared" si="26"/>
        <v>7.3648999999999996</v>
      </c>
      <c r="AC117" s="27">
        <f t="shared" si="27"/>
        <v>0</v>
      </c>
    </row>
    <row r="118" spans="1:29" ht="14.25" customHeight="1" x14ac:dyDescent="0.3">
      <c r="A118" s="25" t="s">
        <v>726</v>
      </c>
      <c r="B118" s="4" t="s">
        <v>5</v>
      </c>
      <c r="C118" s="4"/>
      <c r="D118" s="5"/>
      <c r="E118" s="5"/>
      <c r="F118" s="10">
        <v>0.22359999999999999</v>
      </c>
      <c r="G118" s="11">
        <v>1.0136000000000001</v>
      </c>
      <c r="H118" s="12">
        <v>1.0572999999999999</v>
      </c>
      <c r="I118" s="13">
        <v>12.2155</v>
      </c>
      <c r="J118" s="12">
        <v>49.151600000000002</v>
      </c>
      <c r="K118" s="12">
        <v>44.717399999999998</v>
      </c>
      <c r="M118" t="str">
        <f t="shared" si="14"/>
        <v>EVENT BABY SENSIT. ALOE VERA 72 W BAG</v>
      </c>
      <c r="N118" s="29" t="str">
        <f t="shared" si="15"/>
        <v xml:space="preserve"> AxisOn Group</v>
      </c>
      <c r="O118" t="str">
        <f t="shared" si="16"/>
        <v>EVENT (AxisOn Group)</v>
      </c>
      <c r="P118" t="str">
        <f t="shared" si="18"/>
        <v xml:space="preserve"> AxisOn Group</v>
      </c>
      <c r="R118" t="str">
        <f t="shared" si="17"/>
        <v>EVENT (AxisOn Group)</v>
      </c>
      <c r="T118" t="s">
        <v>115</v>
      </c>
      <c r="U118" t="str">
        <f t="shared" si="19"/>
        <v>BAGS</v>
      </c>
      <c r="V118" t="str">
        <f t="shared" si="20"/>
        <v>SENSITIVE</v>
      </c>
      <c r="W118" t="str">
        <f t="shared" si="21"/>
        <v>72</v>
      </c>
      <c r="X118" s="27">
        <f t="shared" si="22"/>
        <v>64.480099999999993</v>
      </c>
      <c r="Y118" s="27">
        <f t="shared" si="23"/>
        <v>81.182500000000005</v>
      </c>
      <c r="Z118" s="27">
        <f t="shared" si="24"/>
        <v>15.496600000000001</v>
      </c>
      <c r="AA118" s="27">
        <f t="shared" si="25"/>
        <v>2159.5493999999999</v>
      </c>
      <c r="AB118" s="27">
        <f t="shared" si="26"/>
        <v>2486.1275000000001</v>
      </c>
      <c r="AC118" s="27">
        <f t="shared" si="27"/>
        <v>493.73469999999998</v>
      </c>
    </row>
    <row r="119" spans="1:29" ht="15" customHeight="1" x14ac:dyDescent="0.3">
      <c r="A119" s="14" t="s">
        <v>845</v>
      </c>
      <c r="B119" s="15" t="s">
        <v>6</v>
      </c>
      <c r="C119" s="16"/>
      <c r="D119" s="17"/>
      <c r="E119" s="17"/>
      <c r="F119" s="18">
        <v>0.22359999999999999</v>
      </c>
      <c r="G119" s="19">
        <v>1.0136000000000001</v>
      </c>
      <c r="H119" s="20">
        <v>1.0572999999999999</v>
      </c>
      <c r="I119" s="21">
        <v>12.2155</v>
      </c>
      <c r="J119" s="20">
        <v>49.151600000000002</v>
      </c>
      <c r="K119" s="20">
        <v>44.717399999999998</v>
      </c>
      <c r="M119" t="str">
        <f t="shared" si="14"/>
        <v/>
      </c>
      <c r="N119" s="29" t="str">
        <f t="shared" si="15"/>
        <v xml:space="preserve"> AxisOn Group</v>
      </c>
      <c r="O119" t="str">
        <f t="shared" si="16"/>
        <v>EVENT (AxisOn Group)</v>
      </c>
      <c r="P119" t="str">
        <f t="shared" si="18"/>
        <v/>
      </c>
      <c r="R119" t="str">
        <f t="shared" si="17"/>
        <v/>
      </c>
      <c r="T119" t="s">
        <v>871</v>
      </c>
      <c r="U119" t="str">
        <f t="shared" si="19"/>
        <v/>
      </c>
      <c r="V119" t="str">
        <f t="shared" si="20"/>
        <v/>
      </c>
      <c r="W119" t="str">
        <f t="shared" si="21"/>
        <v/>
      </c>
      <c r="X119" s="27" t="str">
        <f t="shared" si="22"/>
        <v/>
      </c>
      <c r="Y119" s="27" t="str">
        <f t="shared" si="23"/>
        <v/>
      </c>
      <c r="Z119" s="27" t="str">
        <f t="shared" si="24"/>
        <v/>
      </c>
      <c r="AA119" s="27" t="str">
        <f t="shared" si="25"/>
        <v/>
      </c>
      <c r="AB119" s="27" t="str">
        <f t="shared" si="26"/>
        <v/>
      </c>
      <c r="AC119" s="27" t="str">
        <f t="shared" si="27"/>
        <v/>
      </c>
    </row>
    <row r="120" spans="1:29" ht="15" customHeight="1" x14ac:dyDescent="0.3">
      <c r="A120" s="22" t="s">
        <v>116</v>
      </c>
      <c r="B120" s="23" t="s">
        <v>8</v>
      </c>
      <c r="C120" s="23" t="s">
        <v>9</v>
      </c>
      <c r="D120" s="24" t="s">
        <v>20</v>
      </c>
      <c r="E120" s="24" t="s">
        <v>21</v>
      </c>
      <c r="F120" s="18"/>
      <c r="G120" s="19"/>
      <c r="H120" s="20">
        <v>0.24490000000000001</v>
      </c>
      <c r="I120" s="21"/>
      <c r="J120" s="20"/>
      <c r="K120" s="20">
        <v>9.7979000000000003</v>
      </c>
      <c r="M120" t="str">
        <f t="shared" si="14"/>
        <v/>
      </c>
      <c r="N120" s="29" t="str">
        <f t="shared" si="15"/>
        <v xml:space="preserve"> AxisOn Group</v>
      </c>
      <c r="O120" t="str">
        <f t="shared" si="16"/>
        <v>EVENT (AxisOn Group)</v>
      </c>
      <c r="P120" t="str">
        <f t="shared" si="18"/>
        <v/>
      </c>
      <c r="R120" t="str">
        <f t="shared" si="17"/>
        <v/>
      </c>
      <c r="T120" t="s">
        <v>871</v>
      </c>
      <c r="U120" t="str">
        <f t="shared" si="19"/>
        <v/>
      </c>
      <c r="V120" t="str">
        <f t="shared" si="20"/>
        <v/>
      </c>
      <c r="W120" t="str">
        <f t="shared" si="21"/>
        <v/>
      </c>
      <c r="X120" s="27" t="str">
        <f t="shared" si="22"/>
        <v/>
      </c>
      <c r="Y120" s="27" t="str">
        <f t="shared" si="23"/>
        <v/>
      </c>
      <c r="Z120" s="27" t="str">
        <f t="shared" si="24"/>
        <v/>
      </c>
      <c r="AA120" s="27" t="str">
        <f t="shared" si="25"/>
        <v/>
      </c>
      <c r="AB120" s="27" t="str">
        <f t="shared" si="26"/>
        <v/>
      </c>
      <c r="AC120" s="27" t="str">
        <f t="shared" si="27"/>
        <v/>
      </c>
    </row>
    <row r="121" spans="1:29" ht="15" customHeight="1" x14ac:dyDescent="0.3">
      <c r="A121" s="22" t="s">
        <v>117</v>
      </c>
      <c r="B121" s="23" t="s">
        <v>8</v>
      </c>
      <c r="C121" s="23" t="s">
        <v>9</v>
      </c>
      <c r="D121" s="24" t="s">
        <v>20</v>
      </c>
      <c r="E121" s="24" t="s">
        <v>21</v>
      </c>
      <c r="F121" s="18">
        <v>0.22359999999999999</v>
      </c>
      <c r="G121" s="19">
        <v>1.0136000000000001</v>
      </c>
      <c r="H121" s="20">
        <v>0.81230000000000002</v>
      </c>
      <c r="I121" s="21">
        <v>12.2155</v>
      </c>
      <c r="J121" s="20">
        <v>49.151600000000002</v>
      </c>
      <c r="K121" s="20">
        <v>34.919499999999999</v>
      </c>
      <c r="M121" t="str">
        <f t="shared" si="14"/>
        <v>TEX BABY PH5.5 ALC.FREE W 100 BAG PURPLE</v>
      </c>
      <c r="N121" s="29" t="str">
        <f t="shared" si="15"/>
        <v xml:space="preserve"> PureAim Cleaners</v>
      </c>
      <c r="O121" t="str">
        <f t="shared" si="16"/>
        <v>TEX (PureAim Cleaners)</v>
      </c>
      <c r="P121" t="str">
        <f t="shared" si="18"/>
        <v xml:space="preserve"> PureAim Cleaners</v>
      </c>
      <c r="R121" t="str">
        <f t="shared" si="17"/>
        <v>TEX (PureAim Cleaners)</v>
      </c>
      <c r="T121" t="s">
        <v>116</v>
      </c>
      <c r="U121" t="str">
        <f t="shared" si="19"/>
        <v>BAGS</v>
      </c>
      <c r="V121" t="str">
        <f t="shared" si="20"/>
        <v>PH BALANCED</v>
      </c>
      <c r="W121" t="str">
        <f t="shared" si="21"/>
        <v>100</v>
      </c>
      <c r="X121" s="27">
        <f t="shared" si="22"/>
        <v>0</v>
      </c>
      <c r="Y121" s="27">
        <f t="shared" si="23"/>
        <v>0</v>
      </c>
      <c r="Z121" s="27">
        <f t="shared" si="24"/>
        <v>0.24490000000000001</v>
      </c>
      <c r="AA121" s="27">
        <f t="shared" si="25"/>
        <v>0</v>
      </c>
      <c r="AB121" s="27">
        <f t="shared" si="26"/>
        <v>0</v>
      </c>
      <c r="AC121" s="27">
        <f t="shared" si="27"/>
        <v>9.7979000000000003</v>
      </c>
    </row>
    <row r="122" spans="1:29" ht="14.25" customHeight="1" x14ac:dyDescent="0.3">
      <c r="A122" s="25" t="s">
        <v>727</v>
      </c>
      <c r="B122" s="4" t="s">
        <v>5</v>
      </c>
      <c r="C122" s="4"/>
      <c r="D122" s="5"/>
      <c r="E122" s="5"/>
      <c r="F122" s="10">
        <v>113.30880000000001</v>
      </c>
      <c r="G122" s="11">
        <v>81.313699999999997</v>
      </c>
      <c r="H122" s="12">
        <v>48.297400000000003</v>
      </c>
      <c r="I122" s="13">
        <v>1483.433</v>
      </c>
      <c r="J122" s="12">
        <v>1045.7734</v>
      </c>
      <c r="K122" s="12">
        <v>598.3963</v>
      </c>
      <c r="M122" t="str">
        <f t="shared" si="14"/>
        <v>TEX BABY PH5.5 ALC.FREE W 100 BAG YELLOW</v>
      </c>
      <c r="N122" s="29" t="str">
        <f t="shared" si="15"/>
        <v xml:space="preserve"> PureAim Cleaners</v>
      </c>
      <c r="O122" t="str">
        <f t="shared" si="16"/>
        <v>TEX (PureAim Cleaners)</v>
      </c>
      <c r="P122" t="str">
        <f t="shared" si="18"/>
        <v xml:space="preserve"> PureAim Cleaners</v>
      </c>
      <c r="R122" t="str">
        <f t="shared" si="17"/>
        <v>TEX (PureAim Cleaners)</v>
      </c>
      <c r="T122" t="s">
        <v>117</v>
      </c>
      <c r="U122" t="str">
        <f t="shared" si="19"/>
        <v>BAGS</v>
      </c>
      <c r="V122" t="str">
        <f t="shared" si="20"/>
        <v>PH BALANCED</v>
      </c>
      <c r="W122" t="str">
        <f t="shared" si="21"/>
        <v>100</v>
      </c>
      <c r="X122" s="27">
        <f t="shared" si="22"/>
        <v>0.22359999999999999</v>
      </c>
      <c r="Y122" s="27">
        <f t="shared" si="23"/>
        <v>1.0136000000000001</v>
      </c>
      <c r="Z122" s="27">
        <f t="shared" si="24"/>
        <v>0.81230000000000002</v>
      </c>
      <c r="AA122" s="27">
        <f t="shared" si="25"/>
        <v>12.2155</v>
      </c>
      <c r="AB122" s="27">
        <f t="shared" si="26"/>
        <v>49.151600000000002</v>
      </c>
      <c r="AC122" s="27">
        <f t="shared" si="27"/>
        <v>34.919499999999999</v>
      </c>
    </row>
    <row r="123" spans="1:29" ht="15" customHeight="1" x14ac:dyDescent="0.3">
      <c r="A123" s="14" t="s">
        <v>833</v>
      </c>
      <c r="B123" s="15" t="s">
        <v>6</v>
      </c>
      <c r="C123" s="16"/>
      <c r="D123" s="17"/>
      <c r="E123" s="17"/>
      <c r="F123" s="18">
        <v>113.30880000000001</v>
      </c>
      <c r="G123" s="19">
        <v>81.313699999999997</v>
      </c>
      <c r="H123" s="20">
        <v>48.297400000000003</v>
      </c>
      <c r="I123" s="21">
        <v>1483.433</v>
      </c>
      <c r="J123" s="20">
        <v>1045.7734</v>
      </c>
      <c r="K123" s="20">
        <v>598.3963</v>
      </c>
      <c r="M123" t="str">
        <f t="shared" si="14"/>
        <v/>
      </c>
      <c r="N123" s="29" t="str">
        <f t="shared" si="15"/>
        <v xml:space="preserve"> PureAim Cleaners</v>
      </c>
      <c r="O123" t="str">
        <f t="shared" si="16"/>
        <v>TEX (PureAim Cleaners)</v>
      </c>
      <c r="P123" t="str">
        <f t="shared" si="18"/>
        <v/>
      </c>
      <c r="R123" t="str">
        <f t="shared" si="17"/>
        <v/>
      </c>
      <c r="T123" t="s">
        <v>871</v>
      </c>
      <c r="U123" t="str">
        <f t="shared" si="19"/>
        <v/>
      </c>
      <c r="V123" t="str">
        <f t="shared" si="20"/>
        <v/>
      </c>
      <c r="W123" t="str">
        <f t="shared" si="21"/>
        <v/>
      </c>
      <c r="X123" s="27" t="str">
        <f t="shared" si="22"/>
        <v/>
      </c>
      <c r="Y123" s="27" t="str">
        <f t="shared" si="23"/>
        <v/>
      </c>
      <c r="Z123" s="27" t="str">
        <f t="shared" si="24"/>
        <v/>
      </c>
      <c r="AA123" s="27" t="str">
        <f t="shared" si="25"/>
        <v/>
      </c>
      <c r="AB123" s="27" t="str">
        <f t="shared" si="26"/>
        <v/>
      </c>
      <c r="AC123" s="27" t="str">
        <f t="shared" si="27"/>
        <v/>
      </c>
    </row>
    <row r="124" spans="1:29" ht="15" customHeight="1" x14ac:dyDescent="0.3">
      <c r="A124" s="22" t="s">
        <v>120</v>
      </c>
      <c r="B124" s="23" t="s">
        <v>8</v>
      </c>
      <c r="C124" s="23" t="s">
        <v>9</v>
      </c>
      <c r="D124" s="24" t="s">
        <v>10</v>
      </c>
      <c r="E124" s="24" t="s">
        <v>11</v>
      </c>
      <c r="F124" s="18">
        <v>15.0191</v>
      </c>
      <c r="G124" s="19">
        <v>17.616800000000001</v>
      </c>
      <c r="H124" s="20">
        <v>13.700200000000001</v>
      </c>
      <c r="I124" s="21">
        <v>121.4559</v>
      </c>
      <c r="J124" s="20">
        <v>162.24</v>
      </c>
      <c r="K124" s="20">
        <v>126.0534</v>
      </c>
      <c r="M124" t="str">
        <f t="shared" si="14"/>
        <v/>
      </c>
      <c r="N124" s="29" t="str">
        <f t="shared" si="15"/>
        <v xml:space="preserve"> PureAim Cleaners</v>
      </c>
      <c r="O124" t="str">
        <f t="shared" si="16"/>
        <v>TEX (PureAim Cleaners)</v>
      </c>
      <c r="P124" t="str">
        <f t="shared" si="18"/>
        <v/>
      </c>
      <c r="R124" t="str">
        <f t="shared" si="17"/>
        <v/>
      </c>
      <c r="T124" t="s">
        <v>871</v>
      </c>
      <c r="U124" t="str">
        <f t="shared" si="19"/>
        <v/>
      </c>
      <c r="V124" t="str">
        <f t="shared" si="20"/>
        <v/>
      </c>
      <c r="W124" t="str">
        <f t="shared" si="21"/>
        <v/>
      </c>
      <c r="X124" s="27" t="str">
        <f t="shared" si="22"/>
        <v/>
      </c>
      <c r="Y124" s="27" t="str">
        <f t="shared" si="23"/>
        <v/>
      </c>
      <c r="Z124" s="27" t="str">
        <f t="shared" si="24"/>
        <v/>
      </c>
      <c r="AA124" s="27" t="str">
        <f t="shared" si="25"/>
        <v/>
      </c>
      <c r="AB124" s="27" t="str">
        <f t="shared" si="26"/>
        <v/>
      </c>
      <c r="AC124" s="27" t="str">
        <f t="shared" si="27"/>
        <v/>
      </c>
    </row>
    <row r="125" spans="1:29" ht="15" customHeight="1" x14ac:dyDescent="0.3">
      <c r="A125" s="22" t="s">
        <v>121</v>
      </c>
      <c r="B125" s="23" t="s">
        <v>8</v>
      </c>
      <c r="C125" s="23" t="s">
        <v>9</v>
      </c>
      <c r="D125" s="24" t="s">
        <v>10</v>
      </c>
      <c r="E125" s="24" t="s">
        <v>99</v>
      </c>
      <c r="F125" s="18">
        <v>19.776399999999999</v>
      </c>
      <c r="G125" s="19">
        <v>13.798299999999999</v>
      </c>
      <c r="H125" s="20">
        <v>7.5656999999999996</v>
      </c>
      <c r="I125" s="21">
        <v>281.97280000000001</v>
      </c>
      <c r="J125" s="20">
        <v>222.7071</v>
      </c>
      <c r="K125" s="20">
        <v>118.9547</v>
      </c>
      <c r="M125" t="str">
        <f t="shared" si="14"/>
        <v>NIVEA BABY SOFT&amp;CREME 20 BAG</v>
      </c>
      <c r="N125" s="29" t="str">
        <f t="shared" si="15"/>
        <v xml:space="preserve"> AlpineMeadow</v>
      </c>
      <c r="O125" t="str">
        <f t="shared" si="16"/>
        <v>NIVEA (AlpineMeadow)</v>
      </c>
      <c r="P125" t="str">
        <f t="shared" si="18"/>
        <v xml:space="preserve"> AlpineMeadow</v>
      </c>
      <c r="R125" t="str">
        <f t="shared" si="17"/>
        <v>NIVEA (AlpineMeadow)</v>
      </c>
      <c r="T125" t="s">
        <v>120</v>
      </c>
      <c r="U125" t="str">
        <f t="shared" si="19"/>
        <v>BAGS</v>
      </c>
      <c r="V125" t="str">
        <f t="shared" si="20"/>
        <v>WITHOUT EXTRA PROTECTCARE INDICATION</v>
      </c>
      <c r="W125" t="str">
        <f t="shared" si="21"/>
        <v>20</v>
      </c>
      <c r="X125" s="27">
        <f t="shared" si="22"/>
        <v>15.0191</v>
      </c>
      <c r="Y125" s="27">
        <f t="shared" si="23"/>
        <v>17.616800000000001</v>
      </c>
      <c r="Z125" s="27">
        <f t="shared" si="24"/>
        <v>13.700200000000001</v>
      </c>
      <c r="AA125" s="27">
        <f t="shared" si="25"/>
        <v>121.4559</v>
      </c>
      <c r="AB125" s="27">
        <f t="shared" si="26"/>
        <v>162.24</v>
      </c>
      <c r="AC125" s="27">
        <f t="shared" si="27"/>
        <v>126.0534</v>
      </c>
    </row>
    <row r="126" spans="1:29" ht="15" customHeight="1" x14ac:dyDescent="0.3">
      <c r="A126" s="22" t="s">
        <v>122</v>
      </c>
      <c r="B126" s="23" t="s">
        <v>8</v>
      </c>
      <c r="C126" s="23" t="s">
        <v>9</v>
      </c>
      <c r="D126" s="24" t="s">
        <v>10</v>
      </c>
      <c r="E126" s="24" t="s">
        <v>123</v>
      </c>
      <c r="F126" s="18">
        <v>41.314100000000003</v>
      </c>
      <c r="G126" s="19">
        <v>32.422600000000003</v>
      </c>
      <c r="H126" s="20">
        <v>18.6829</v>
      </c>
      <c r="I126" s="21">
        <v>549.64080000000001</v>
      </c>
      <c r="J126" s="20">
        <v>416.84789999999998</v>
      </c>
      <c r="K126" s="20">
        <v>241.38910000000001</v>
      </c>
      <c r="M126" t="str">
        <f t="shared" si="14"/>
        <v>NIVEA BABY TODDIES 2IN1 60 BAG</v>
      </c>
      <c r="N126" s="29" t="str">
        <f t="shared" si="15"/>
        <v xml:space="preserve"> AlpineMeadow</v>
      </c>
      <c r="O126" t="str">
        <f t="shared" si="16"/>
        <v>NIVEA (AlpineMeadow)</v>
      </c>
      <c r="P126" t="str">
        <f t="shared" si="18"/>
        <v xml:space="preserve"> AlpineMeadow</v>
      </c>
      <c r="R126" t="str">
        <f t="shared" si="17"/>
        <v>NIVEA (AlpineMeadow)</v>
      </c>
      <c r="T126" t="s">
        <v>121</v>
      </c>
      <c r="U126" t="str">
        <f t="shared" si="19"/>
        <v>BAGS</v>
      </c>
      <c r="V126" t="str">
        <f t="shared" si="20"/>
        <v>WITHOUT EXTRA PROTECTCARE INDICATION</v>
      </c>
      <c r="W126" t="str">
        <f t="shared" si="21"/>
        <v>60</v>
      </c>
      <c r="X126" s="27">
        <f t="shared" si="22"/>
        <v>19.776399999999999</v>
      </c>
      <c r="Y126" s="27">
        <f t="shared" si="23"/>
        <v>13.798299999999999</v>
      </c>
      <c r="Z126" s="27">
        <f t="shared" si="24"/>
        <v>7.5656999999999996</v>
      </c>
      <c r="AA126" s="27">
        <f t="shared" si="25"/>
        <v>281.97280000000001</v>
      </c>
      <c r="AB126" s="27">
        <f t="shared" si="26"/>
        <v>222.7071</v>
      </c>
      <c r="AC126" s="27">
        <f t="shared" si="27"/>
        <v>118.9547</v>
      </c>
    </row>
    <row r="127" spans="1:29" ht="15" customHeight="1" x14ac:dyDescent="0.3">
      <c r="A127" s="22" t="s">
        <v>124</v>
      </c>
      <c r="B127" s="23" t="s">
        <v>8</v>
      </c>
      <c r="C127" s="23" t="s">
        <v>9</v>
      </c>
      <c r="D127" s="24" t="s">
        <v>30</v>
      </c>
      <c r="E127" s="24" t="s">
        <v>123</v>
      </c>
      <c r="F127" s="18">
        <v>10.5054</v>
      </c>
      <c r="G127" s="19">
        <v>0.496</v>
      </c>
      <c r="H127" s="20"/>
      <c r="I127" s="21">
        <v>168.06010000000001</v>
      </c>
      <c r="J127" s="20">
        <v>9.3780000000000001</v>
      </c>
      <c r="K127" s="20"/>
      <c r="M127" t="str">
        <f t="shared" si="14"/>
        <v>NIVEA BABY FRESH&amp;PURE 63 BAG</v>
      </c>
      <c r="N127" s="29" t="str">
        <f t="shared" si="15"/>
        <v xml:space="preserve"> AlpineMeadow</v>
      </c>
      <c r="O127" t="str">
        <f t="shared" si="16"/>
        <v>NIVEA (AlpineMeadow)</v>
      </c>
      <c r="P127" t="str">
        <f t="shared" si="18"/>
        <v xml:space="preserve"> AlpineMeadow</v>
      </c>
      <c r="R127" t="str">
        <f t="shared" si="17"/>
        <v>NIVEA (AlpineMeadow)</v>
      </c>
      <c r="T127" t="s">
        <v>122</v>
      </c>
      <c r="U127" t="str">
        <f t="shared" si="19"/>
        <v>BAGS</v>
      </c>
      <c r="V127" t="str">
        <f t="shared" si="20"/>
        <v>WITHOUT EXTRA PROTECTCARE INDICATION</v>
      </c>
      <c r="W127" t="str">
        <f t="shared" si="21"/>
        <v>63</v>
      </c>
      <c r="X127" s="27">
        <f t="shared" si="22"/>
        <v>41.314100000000003</v>
      </c>
      <c r="Y127" s="27">
        <f t="shared" si="23"/>
        <v>32.422600000000003</v>
      </c>
      <c r="Z127" s="27">
        <f t="shared" si="24"/>
        <v>18.6829</v>
      </c>
      <c r="AA127" s="27">
        <f t="shared" si="25"/>
        <v>549.64080000000001</v>
      </c>
      <c r="AB127" s="27">
        <f t="shared" si="26"/>
        <v>416.84789999999998</v>
      </c>
      <c r="AC127" s="27">
        <f t="shared" si="27"/>
        <v>241.38910000000001</v>
      </c>
    </row>
    <row r="128" spans="1:29" ht="15" customHeight="1" x14ac:dyDescent="0.3">
      <c r="A128" s="22" t="s">
        <v>125</v>
      </c>
      <c r="B128" s="23" t="s">
        <v>8</v>
      </c>
      <c r="C128" s="23" t="s">
        <v>9</v>
      </c>
      <c r="D128" s="24" t="s">
        <v>10</v>
      </c>
      <c r="E128" s="24" t="s">
        <v>123</v>
      </c>
      <c r="F128" s="18">
        <v>26.694099999999999</v>
      </c>
      <c r="G128" s="19">
        <v>16.9801</v>
      </c>
      <c r="H128" s="20">
        <v>8.3484999999999996</v>
      </c>
      <c r="I128" s="21">
        <v>362.30340000000001</v>
      </c>
      <c r="J128" s="20">
        <v>234.6001</v>
      </c>
      <c r="K128" s="20">
        <v>111.9991</v>
      </c>
      <c r="M128" t="str">
        <f t="shared" si="14"/>
        <v>NIVEA BABY PURE&amp;SENSITIVE 63 W BAG</v>
      </c>
      <c r="N128" s="29" t="str">
        <f t="shared" si="15"/>
        <v xml:space="preserve"> AlpineMeadow</v>
      </c>
      <c r="O128" t="str">
        <f t="shared" si="16"/>
        <v>NIVEA (AlpineMeadow)</v>
      </c>
      <c r="P128" t="str">
        <f t="shared" si="18"/>
        <v xml:space="preserve"> AlpineMeadow</v>
      </c>
      <c r="R128" t="str">
        <f t="shared" si="17"/>
        <v>NIVEA (AlpineMeadow)</v>
      </c>
      <c r="T128" t="s">
        <v>124</v>
      </c>
      <c r="U128" t="str">
        <f t="shared" si="19"/>
        <v>BAGS</v>
      </c>
      <c r="V128" t="str">
        <f t="shared" si="20"/>
        <v>ALCOHOL FREE</v>
      </c>
      <c r="W128" t="str">
        <f t="shared" si="21"/>
        <v>63</v>
      </c>
      <c r="X128" s="27">
        <f t="shared" si="22"/>
        <v>10.5054</v>
      </c>
      <c r="Y128" s="27">
        <f t="shared" si="23"/>
        <v>0.496</v>
      </c>
      <c r="Z128" s="27">
        <f t="shared" si="24"/>
        <v>0</v>
      </c>
      <c r="AA128" s="27">
        <f t="shared" si="25"/>
        <v>168.06010000000001</v>
      </c>
      <c r="AB128" s="27">
        <f t="shared" si="26"/>
        <v>9.3780000000000001</v>
      </c>
      <c r="AC128" s="27">
        <f t="shared" si="27"/>
        <v>0</v>
      </c>
    </row>
    <row r="129" spans="1:29" ht="14.25" customHeight="1" x14ac:dyDescent="0.3">
      <c r="A129" s="25" t="s">
        <v>728</v>
      </c>
      <c r="B129" s="4" t="s">
        <v>5</v>
      </c>
      <c r="C129" s="4"/>
      <c r="D129" s="5"/>
      <c r="E129" s="5"/>
      <c r="F129" s="10">
        <v>0.52039999999999997</v>
      </c>
      <c r="G129" s="11">
        <v>1.6072</v>
      </c>
      <c r="H129" s="12">
        <v>0.16420000000000001</v>
      </c>
      <c r="I129" s="13">
        <v>10.5198</v>
      </c>
      <c r="J129" s="12">
        <v>34.4998</v>
      </c>
      <c r="K129" s="12">
        <v>3.1461000000000001</v>
      </c>
      <c r="M129" t="str">
        <f t="shared" si="14"/>
        <v>NIVEA BABY SOFT&amp;CREME 63 BAG</v>
      </c>
      <c r="N129" s="29" t="str">
        <f t="shared" si="15"/>
        <v xml:space="preserve"> AlpineMeadow</v>
      </c>
      <c r="O129" t="str">
        <f t="shared" si="16"/>
        <v>NIVEA (AlpineMeadow)</v>
      </c>
      <c r="P129" t="str">
        <f t="shared" si="18"/>
        <v xml:space="preserve"> AlpineMeadow</v>
      </c>
      <c r="R129" t="str">
        <f t="shared" si="17"/>
        <v>NIVEA (AlpineMeadow)</v>
      </c>
      <c r="T129" t="s">
        <v>125</v>
      </c>
      <c r="U129" t="str">
        <f t="shared" si="19"/>
        <v>BAGS</v>
      </c>
      <c r="V129" t="str">
        <f t="shared" si="20"/>
        <v>WITHOUT EXTRA PROTECTCARE INDICATION</v>
      </c>
      <c r="W129" t="str">
        <f t="shared" si="21"/>
        <v>63</v>
      </c>
      <c r="X129" s="27">
        <f t="shared" si="22"/>
        <v>26.694099999999999</v>
      </c>
      <c r="Y129" s="27">
        <f t="shared" si="23"/>
        <v>16.9801</v>
      </c>
      <c r="Z129" s="27">
        <f t="shared" si="24"/>
        <v>8.3484999999999996</v>
      </c>
      <c r="AA129" s="27">
        <f t="shared" si="25"/>
        <v>362.30340000000001</v>
      </c>
      <c r="AB129" s="27">
        <f t="shared" si="26"/>
        <v>234.6001</v>
      </c>
      <c r="AC129" s="27">
        <f t="shared" si="27"/>
        <v>111.9991</v>
      </c>
    </row>
    <row r="130" spans="1:29" ht="15" customHeight="1" x14ac:dyDescent="0.3">
      <c r="A130" s="14" t="s">
        <v>126</v>
      </c>
      <c r="B130" s="15" t="s">
        <v>6</v>
      </c>
      <c r="C130" s="16"/>
      <c r="D130" s="17"/>
      <c r="E130" s="17"/>
      <c r="F130" s="18">
        <v>0.52039999999999997</v>
      </c>
      <c r="G130" s="19">
        <v>1.6072</v>
      </c>
      <c r="H130" s="20">
        <v>0.16420000000000001</v>
      </c>
      <c r="I130" s="21">
        <v>10.5198</v>
      </c>
      <c r="J130" s="20">
        <v>34.4998</v>
      </c>
      <c r="K130" s="20">
        <v>3.1461000000000001</v>
      </c>
      <c r="M130" t="str">
        <f t="shared" si="14"/>
        <v/>
      </c>
      <c r="N130" s="29" t="str">
        <f t="shared" si="15"/>
        <v xml:space="preserve"> AlpineMeadow</v>
      </c>
      <c r="O130" t="str">
        <f t="shared" si="16"/>
        <v>NIVEA (AlpineMeadow)</v>
      </c>
      <c r="P130" t="str">
        <f t="shared" si="18"/>
        <v/>
      </c>
      <c r="R130" t="str">
        <f t="shared" si="17"/>
        <v/>
      </c>
      <c r="T130" t="s">
        <v>871</v>
      </c>
      <c r="U130" t="str">
        <f t="shared" si="19"/>
        <v/>
      </c>
      <c r="V130" t="str">
        <f t="shared" si="20"/>
        <v/>
      </c>
      <c r="W130" t="str">
        <f t="shared" si="21"/>
        <v/>
      </c>
      <c r="X130" s="27" t="str">
        <f t="shared" si="22"/>
        <v/>
      </c>
      <c r="Y130" s="27" t="str">
        <f t="shared" si="23"/>
        <v/>
      </c>
      <c r="Z130" s="27" t="str">
        <f t="shared" si="24"/>
        <v/>
      </c>
      <c r="AA130" s="27" t="str">
        <f t="shared" si="25"/>
        <v/>
      </c>
      <c r="AB130" s="27" t="str">
        <f t="shared" si="26"/>
        <v/>
      </c>
      <c r="AC130" s="27" t="str">
        <f t="shared" si="27"/>
        <v/>
      </c>
    </row>
    <row r="131" spans="1:29" ht="15" customHeight="1" x14ac:dyDescent="0.3">
      <c r="A131" s="22" t="s">
        <v>127</v>
      </c>
      <c r="B131" s="23" t="s">
        <v>8</v>
      </c>
      <c r="C131" s="23" t="s">
        <v>9</v>
      </c>
      <c r="D131" s="24" t="s">
        <v>20</v>
      </c>
      <c r="E131" s="24" t="s">
        <v>99</v>
      </c>
      <c r="F131" s="18">
        <v>0.52039999999999997</v>
      </c>
      <c r="G131" s="19">
        <v>1.6072</v>
      </c>
      <c r="H131" s="20">
        <v>0.16420000000000001</v>
      </c>
      <c r="I131" s="21">
        <v>10.5198</v>
      </c>
      <c r="J131" s="20">
        <v>34.4998</v>
      </c>
      <c r="K131" s="20">
        <v>3.1461000000000001</v>
      </c>
      <c r="M131" t="str">
        <f t="shared" si="14"/>
        <v/>
      </c>
      <c r="N131" s="29" t="str">
        <f t="shared" si="15"/>
        <v xml:space="preserve"> AlpineMeadow</v>
      </c>
      <c r="O131" t="str">
        <f t="shared" si="16"/>
        <v>NIVEA (AlpineMeadow)</v>
      </c>
      <c r="P131" t="str">
        <f t="shared" si="18"/>
        <v/>
      </c>
      <c r="R131" t="str">
        <f t="shared" si="17"/>
        <v/>
      </c>
      <c r="T131" t="s">
        <v>871</v>
      </c>
      <c r="U131" t="str">
        <f t="shared" si="19"/>
        <v/>
      </c>
      <c r="V131" t="str">
        <f t="shared" si="20"/>
        <v/>
      </c>
      <c r="W131" t="str">
        <f t="shared" si="21"/>
        <v/>
      </c>
      <c r="X131" s="27" t="str">
        <f t="shared" si="22"/>
        <v/>
      </c>
      <c r="Y131" s="27" t="str">
        <f t="shared" si="23"/>
        <v/>
      </c>
      <c r="Z131" s="27" t="str">
        <f t="shared" si="24"/>
        <v/>
      </c>
      <c r="AA131" s="27" t="str">
        <f t="shared" si="25"/>
        <v/>
      </c>
      <c r="AB131" s="27" t="str">
        <f t="shared" si="26"/>
        <v/>
      </c>
      <c r="AC131" s="27" t="str">
        <f t="shared" si="27"/>
        <v/>
      </c>
    </row>
    <row r="132" spans="1:29" ht="14.25" customHeight="1" x14ac:dyDescent="0.3">
      <c r="A132" s="25" t="s">
        <v>729</v>
      </c>
      <c r="B132" s="4" t="s">
        <v>5</v>
      </c>
      <c r="C132" s="4"/>
      <c r="D132" s="5"/>
      <c r="E132" s="5"/>
      <c r="F132" s="10"/>
      <c r="G132" s="11"/>
      <c r="H132" s="12"/>
      <c r="I132" s="13"/>
      <c r="J132" s="12"/>
      <c r="K132" s="12"/>
      <c r="M132" t="str">
        <f t="shared" si="14"/>
        <v>SMILE ALOE&amp;CAMOMILE PH5.5 60 BAG</v>
      </c>
      <c r="N132" s="29" t="str">
        <f t="shared" si="15"/>
        <v xml:space="preserve"> BioRealm Corp</v>
      </c>
      <c r="O132" t="str">
        <f t="shared" si="16"/>
        <v>SMILE (BIOSPHERE CORP.)</v>
      </c>
      <c r="P132" t="str">
        <f t="shared" si="18"/>
        <v xml:space="preserve"> BioRealm Corp</v>
      </c>
      <c r="R132" t="str">
        <f t="shared" si="17"/>
        <v>SMILE (BIOSPHERE CORP.)</v>
      </c>
      <c r="T132" t="s">
        <v>127</v>
      </c>
      <c r="U132" t="str">
        <f t="shared" si="19"/>
        <v>BAGS</v>
      </c>
      <c r="V132" t="str">
        <f t="shared" si="20"/>
        <v>PH BALANCED</v>
      </c>
      <c r="W132" t="str">
        <f t="shared" si="21"/>
        <v>60</v>
      </c>
      <c r="X132" s="27">
        <f t="shared" si="22"/>
        <v>0.52039999999999997</v>
      </c>
      <c r="Y132" s="27">
        <f t="shared" si="23"/>
        <v>1.6072</v>
      </c>
      <c r="Z132" s="27">
        <f t="shared" si="24"/>
        <v>0.16420000000000001</v>
      </c>
      <c r="AA132" s="27">
        <f t="shared" si="25"/>
        <v>10.5198</v>
      </c>
      <c r="AB132" s="27">
        <f t="shared" si="26"/>
        <v>34.4998</v>
      </c>
      <c r="AC132" s="27">
        <f t="shared" si="27"/>
        <v>3.1461000000000001</v>
      </c>
    </row>
    <row r="133" spans="1:29" ht="15" customHeight="1" x14ac:dyDescent="0.3">
      <c r="A133" s="14" t="s">
        <v>846</v>
      </c>
      <c r="B133" s="15" t="s">
        <v>6</v>
      </c>
      <c r="C133" s="16"/>
      <c r="D133" s="17"/>
      <c r="E133" s="17"/>
      <c r="F133" s="18"/>
      <c r="G133" s="19"/>
      <c r="H133" s="20"/>
      <c r="I133" s="21"/>
      <c r="J133" s="20"/>
      <c r="K133" s="20"/>
      <c r="M133" t="str">
        <f t="shared" ref="M133:M196" si="28">IF(B132="ITEM",A132,"")</f>
        <v/>
      </c>
      <c r="N133" s="29" t="str">
        <f t="shared" si="15"/>
        <v xml:space="preserve"> BioRealm Corp</v>
      </c>
      <c r="O133" t="str">
        <f t="shared" si="16"/>
        <v>SMILE (BIOSPHERE CORP.)</v>
      </c>
      <c r="P133" t="str">
        <f t="shared" si="18"/>
        <v/>
      </c>
      <c r="R133" t="str">
        <f t="shared" si="17"/>
        <v/>
      </c>
      <c r="T133" t="s">
        <v>871</v>
      </c>
      <c r="U133" t="str">
        <f t="shared" si="19"/>
        <v/>
      </c>
      <c r="V133" t="str">
        <f t="shared" si="20"/>
        <v/>
      </c>
      <c r="W133" t="str">
        <f t="shared" si="21"/>
        <v/>
      </c>
      <c r="X133" s="27" t="str">
        <f t="shared" si="22"/>
        <v/>
      </c>
      <c r="Y133" s="27" t="str">
        <f t="shared" si="23"/>
        <v/>
      </c>
      <c r="Z133" s="27" t="str">
        <f t="shared" si="24"/>
        <v/>
      </c>
      <c r="AA133" s="27" t="str">
        <f t="shared" si="25"/>
        <v/>
      </c>
      <c r="AB133" s="27" t="str">
        <f t="shared" si="26"/>
        <v/>
      </c>
      <c r="AC133" s="27" t="str">
        <f t="shared" si="27"/>
        <v/>
      </c>
    </row>
    <row r="134" spans="1:29" ht="15" customHeight="1" x14ac:dyDescent="0.3">
      <c r="A134" s="22" t="s">
        <v>128</v>
      </c>
      <c r="B134" s="23" t="s">
        <v>8</v>
      </c>
      <c r="C134" s="23" t="s">
        <v>9</v>
      </c>
      <c r="D134" s="24" t="s">
        <v>20</v>
      </c>
      <c r="E134" s="24" t="s">
        <v>24</v>
      </c>
      <c r="F134" s="18"/>
      <c r="G134" s="19"/>
      <c r="H134" s="20"/>
      <c r="I134" s="21"/>
      <c r="J134" s="20"/>
      <c r="K134" s="20"/>
      <c r="M134" t="str">
        <f t="shared" si="28"/>
        <v/>
      </c>
      <c r="N134" s="29" t="str">
        <f t="shared" si="15"/>
        <v xml:space="preserve"> BioRealm Corp</v>
      </c>
      <c r="O134" t="str">
        <f t="shared" si="16"/>
        <v>SMILE (BIOSPHERE CORP.)</v>
      </c>
      <c r="P134" t="str">
        <f t="shared" si="18"/>
        <v/>
      </c>
      <c r="R134" t="str">
        <f t="shared" si="17"/>
        <v/>
      </c>
      <c r="T134" t="s">
        <v>871</v>
      </c>
      <c r="U134" t="str">
        <f t="shared" si="19"/>
        <v/>
      </c>
      <c r="V134" t="str">
        <f t="shared" si="20"/>
        <v/>
      </c>
      <c r="W134" t="str">
        <f t="shared" si="21"/>
        <v/>
      </c>
      <c r="X134" s="27" t="str">
        <f t="shared" si="22"/>
        <v/>
      </c>
      <c r="Y134" s="27" t="str">
        <f t="shared" si="23"/>
        <v/>
      </c>
      <c r="Z134" s="27" t="str">
        <f t="shared" si="24"/>
        <v/>
      </c>
      <c r="AA134" s="27" t="str">
        <f t="shared" si="25"/>
        <v/>
      </c>
      <c r="AB134" s="27" t="str">
        <f t="shared" si="26"/>
        <v/>
      </c>
      <c r="AC134" s="27" t="str">
        <f t="shared" si="27"/>
        <v/>
      </c>
    </row>
    <row r="135" spans="1:29" ht="14.25" customHeight="1" x14ac:dyDescent="0.3">
      <c r="A135" s="25" t="s">
        <v>730</v>
      </c>
      <c r="B135" s="4" t="s">
        <v>5</v>
      </c>
      <c r="C135" s="4"/>
      <c r="D135" s="5"/>
      <c r="E135" s="5"/>
      <c r="F135" s="10"/>
      <c r="G135" s="11">
        <v>3.7900000000000003E-2</v>
      </c>
      <c r="H135" s="12">
        <v>6.93E-2</v>
      </c>
      <c r="I135" s="13"/>
      <c r="J135" s="12">
        <v>2.3294000000000001</v>
      </c>
      <c r="K135" s="12">
        <v>4.2670000000000003</v>
      </c>
      <c r="M135" t="str">
        <f t="shared" si="28"/>
        <v>SOFTLINE FRESHERCREAMVITE PH5.5 W 120BAG</v>
      </c>
      <c r="N135" s="29" t="str">
        <f t="shared" ref="N135:N198" si="29">IF(B132="MANUFACTURER",A132,N134)</f>
        <v xml:space="preserve"> BurdenCo</v>
      </c>
      <c r="O135" t="str">
        <f t="shared" ref="O135:O198" si="30">IF(B133="BRAND",A133,O134)</f>
        <v>SOFTLINE (BurdenCo)</v>
      </c>
      <c r="P135" t="str">
        <f t="shared" si="18"/>
        <v xml:space="preserve"> BurdenCo</v>
      </c>
      <c r="R135" t="str">
        <f t="shared" ref="R135:R198" si="31">IF(B134="ITEM",O135,"")</f>
        <v>SOFTLINE (BurdenCo)</v>
      </c>
      <c r="T135" t="s">
        <v>128</v>
      </c>
      <c r="U135" t="str">
        <f t="shared" si="19"/>
        <v>BAGS</v>
      </c>
      <c r="V135" t="str">
        <f t="shared" si="20"/>
        <v>PH BALANCED</v>
      </c>
      <c r="W135" t="str">
        <f t="shared" si="21"/>
        <v>120</v>
      </c>
      <c r="X135" s="27">
        <f t="shared" si="22"/>
        <v>0</v>
      </c>
      <c r="Y135" s="27">
        <f t="shared" si="23"/>
        <v>0</v>
      </c>
      <c r="Z135" s="27">
        <f t="shared" si="24"/>
        <v>0</v>
      </c>
      <c r="AA135" s="27">
        <f t="shared" si="25"/>
        <v>0</v>
      </c>
      <c r="AB135" s="27">
        <f t="shared" si="26"/>
        <v>0</v>
      </c>
      <c r="AC135" s="27">
        <f t="shared" si="27"/>
        <v>0</v>
      </c>
    </row>
    <row r="136" spans="1:29" ht="15" customHeight="1" x14ac:dyDescent="0.3">
      <c r="A136" s="14" t="s">
        <v>847</v>
      </c>
      <c r="B136" s="15" t="s">
        <v>6</v>
      </c>
      <c r="C136" s="16"/>
      <c r="D136" s="17"/>
      <c r="E136" s="17"/>
      <c r="F136" s="18"/>
      <c r="G136" s="19">
        <v>3.7900000000000003E-2</v>
      </c>
      <c r="H136" s="20">
        <v>6.93E-2</v>
      </c>
      <c r="I136" s="21"/>
      <c r="J136" s="20">
        <v>2.3294000000000001</v>
      </c>
      <c r="K136" s="20">
        <v>4.2670000000000003</v>
      </c>
      <c r="M136" t="str">
        <f t="shared" si="28"/>
        <v/>
      </c>
      <c r="N136" s="29" t="str">
        <f t="shared" si="29"/>
        <v xml:space="preserve"> BurdenCo</v>
      </c>
      <c r="O136" t="str">
        <f t="shared" si="30"/>
        <v>SOFTLINE (BurdenCo)</v>
      </c>
      <c r="P136" t="str">
        <f t="shared" ref="P136:P199" si="32">IF(B135="ITEM",N136,"")</f>
        <v/>
      </c>
      <c r="R136" t="str">
        <f t="shared" si="31"/>
        <v/>
      </c>
      <c r="T136" t="s">
        <v>871</v>
      </c>
      <c r="U136" t="str">
        <f t="shared" ref="U136:U199" si="33">IF(B135="ITEM",C135,"")</f>
        <v/>
      </c>
      <c r="V136" t="str">
        <f t="shared" ref="V136:V199" si="34">IF(B135="ITEM",D135,"")</f>
        <v/>
      </c>
      <c r="W136" t="str">
        <f t="shared" ref="W136:W199" si="35">IF(B135="ITEM",E135,"")</f>
        <v/>
      </c>
      <c r="X136" s="27" t="str">
        <f t="shared" ref="X136:X199" si="36">IF(B135 = "ITEM",F135,"")</f>
        <v/>
      </c>
      <c r="Y136" s="27" t="str">
        <f t="shared" ref="Y136:Y199" si="37">IF(B135="ITEM",G135,"")</f>
        <v/>
      </c>
      <c r="Z136" s="27" t="str">
        <f t="shared" ref="Z136:Z199" si="38">IF(B135="ITEM",H135,"")</f>
        <v/>
      </c>
      <c r="AA136" s="27" t="str">
        <f t="shared" ref="AA136:AA199" si="39">IF(B135="ITEM",I135,"")</f>
        <v/>
      </c>
      <c r="AB136" s="27" t="str">
        <f t="shared" ref="AB136:AB199" si="40">IF(B135="ITEM",J135,"")</f>
        <v/>
      </c>
      <c r="AC136" s="27" t="str">
        <f t="shared" ref="AC136:AC199" si="41">IF(B135="ITEM",K135,"")</f>
        <v/>
      </c>
    </row>
    <row r="137" spans="1:29" ht="15" customHeight="1" x14ac:dyDescent="0.3">
      <c r="A137" s="22" t="s">
        <v>129</v>
      </c>
      <c r="B137" s="23" t="s">
        <v>8</v>
      </c>
      <c r="C137" s="23" t="s">
        <v>9</v>
      </c>
      <c r="D137" s="24" t="s">
        <v>20</v>
      </c>
      <c r="E137" s="24" t="s">
        <v>42</v>
      </c>
      <c r="F137" s="18"/>
      <c r="G137" s="19">
        <v>3.7900000000000003E-2</v>
      </c>
      <c r="H137" s="20">
        <v>6.93E-2</v>
      </c>
      <c r="I137" s="21"/>
      <c r="J137" s="20">
        <v>2.3294000000000001</v>
      </c>
      <c r="K137" s="20">
        <v>4.2670000000000003</v>
      </c>
      <c r="M137" t="str">
        <f t="shared" si="28"/>
        <v/>
      </c>
      <c r="N137" s="29" t="str">
        <f t="shared" si="29"/>
        <v xml:space="preserve"> BurdenCo</v>
      </c>
      <c r="O137" t="str">
        <f t="shared" si="30"/>
        <v>SOFTLINE (BurdenCo)</v>
      </c>
      <c r="P137" t="str">
        <f t="shared" si="32"/>
        <v/>
      </c>
      <c r="R137" t="str">
        <f t="shared" si="31"/>
        <v/>
      </c>
      <c r="T137" t="s">
        <v>871</v>
      </c>
      <c r="U137" t="str">
        <f t="shared" si="33"/>
        <v/>
      </c>
      <c r="V137" t="str">
        <f t="shared" si="34"/>
        <v/>
      </c>
      <c r="W137" t="str">
        <f t="shared" si="35"/>
        <v/>
      </c>
      <c r="X137" s="27" t="str">
        <f t="shared" si="36"/>
        <v/>
      </c>
      <c r="Y137" s="27" t="str">
        <f t="shared" si="37"/>
        <v/>
      </c>
      <c r="Z137" s="27" t="str">
        <f t="shared" si="38"/>
        <v/>
      </c>
      <c r="AA137" s="27" t="str">
        <f t="shared" si="39"/>
        <v/>
      </c>
      <c r="AB137" s="27" t="str">
        <f t="shared" si="40"/>
        <v/>
      </c>
      <c r="AC137" s="27" t="str">
        <f t="shared" si="41"/>
        <v/>
      </c>
    </row>
    <row r="138" spans="1:29" ht="14.25" customHeight="1" x14ac:dyDescent="0.3">
      <c r="A138" s="25" t="s">
        <v>731</v>
      </c>
      <c r="B138" s="4" t="s">
        <v>5</v>
      </c>
      <c r="C138" s="4"/>
      <c r="D138" s="5"/>
      <c r="E138" s="5"/>
      <c r="F138" s="10">
        <v>36.0259</v>
      </c>
      <c r="G138" s="11">
        <v>55.229399999999998</v>
      </c>
      <c r="H138" s="12">
        <v>85.139799999999994</v>
      </c>
      <c r="I138" s="13">
        <v>1024.5518</v>
      </c>
      <c r="J138" s="12">
        <v>1623.7085999999999</v>
      </c>
      <c r="K138" s="12">
        <v>2439.0855000000001</v>
      </c>
      <c r="M138" t="str">
        <f t="shared" si="28"/>
        <v>BABYCARE WITHCREAM W 80/8FREE BAG KAPAK</v>
      </c>
      <c r="N138" s="29" t="str">
        <f t="shared" si="29"/>
        <v xml:space="preserve"> TradeKing Cengiz</v>
      </c>
      <c r="O138" t="str">
        <f t="shared" si="30"/>
        <v>BABY CARE (TradeKing Cengiz)</v>
      </c>
      <c r="P138" t="str">
        <f t="shared" si="32"/>
        <v xml:space="preserve"> TradeKing Cengiz</v>
      </c>
      <c r="R138" t="str">
        <f t="shared" si="31"/>
        <v>BABY CARE (TradeKing Cengiz)</v>
      </c>
      <c r="T138" t="s">
        <v>129</v>
      </c>
      <c r="U138" t="str">
        <f t="shared" si="33"/>
        <v>BAGS</v>
      </c>
      <c r="V138" t="str">
        <f t="shared" si="34"/>
        <v>PH BALANCED</v>
      </c>
      <c r="W138" t="str">
        <f t="shared" si="35"/>
        <v>72</v>
      </c>
      <c r="X138" s="27">
        <f t="shared" si="36"/>
        <v>0</v>
      </c>
      <c r="Y138" s="27">
        <f t="shared" si="37"/>
        <v>3.7900000000000003E-2</v>
      </c>
      <c r="Z138" s="27">
        <f t="shared" si="38"/>
        <v>6.93E-2</v>
      </c>
      <c r="AA138" s="27">
        <f t="shared" si="39"/>
        <v>0</v>
      </c>
      <c r="AB138" s="27">
        <f t="shared" si="40"/>
        <v>2.3294000000000001</v>
      </c>
      <c r="AC138" s="27">
        <f t="shared" si="41"/>
        <v>4.2670000000000003</v>
      </c>
    </row>
    <row r="139" spans="1:29" ht="15" customHeight="1" x14ac:dyDescent="0.3">
      <c r="A139" s="14" t="s">
        <v>848</v>
      </c>
      <c r="B139" s="15" t="s">
        <v>6</v>
      </c>
      <c r="C139" s="16"/>
      <c r="D139" s="17"/>
      <c r="E139" s="17"/>
      <c r="F139" s="18">
        <v>36.0259</v>
      </c>
      <c r="G139" s="19">
        <v>55.229399999999998</v>
      </c>
      <c r="H139" s="20">
        <v>85.139799999999994</v>
      </c>
      <c r="I139" s="21">
        <v>1024.5518</v>
      </c>
      <c r="J139" s="20">
        <v>1623.7085999999999</v>
      </c>
      <c r="K139" s="20">
        <v>2439.0855000000001</v>
      </c>
      <c r="M139" t="str">
        <f t="shared" si="28"/>
        <v/>
      </c>
      <c r="N139" s="29" t="str">
        <f t="shared" si="29"/>
        <v xml:space="preserve"> TradeKing Cengiz</v>
      </c>
      <c r="O139" t="str">
        <f t="shared" si="30"/>
        <v>BABY CARE (TradeKing Cengiz)</v>
      </c>
      <c r="P139" t="str">
        <f t="shared" si="32"/>
        <v/>
      </c>
      <c r="R139" t="str">
        <f t="shared" si="31"/>
        <v/>
      </c>
      <c r="T139" t="s">
        <v>871</v>
      </c>
      <c r="U139" t="str">
        <f t="shared" si="33"/>
        <v/>
      </c>
      <c r="V139" t="str">
        <f t="shared" si="34"/>
        <v/>
      </c>
      <c r="W139" t="str">
        <f t="shared" si="35"/>
        <v/>
      </c>
      <c r="X139" s="27" t="str">
        <f t="shared" si="36"/>
        <v/>
      </c>
      <c r="Y139" s="27" t="str">
        <f t="shared" si="37"/>
        <v/>
      </c>
      <c r="Z139" s="27" t="str">
        <f t="shared" si="38"/>
        <v/>
      </c>
      <c r="AA139" s="27" t="str">
        <f t="shared" si="39"/>
        <v/>
      </c>
      <c r="AB139" s="27" t="str">
        <f t="shared" si="40"/>
        <v/>
      </c>
      <c r="AC139" s="27" t="str">
        <f t="shared" si="41"/>
        <v/>
      </c>
    </row>
    <row r="140" spans="1:29" ht="15" customHeight="1" x14ac:dyDescent="0.3">
      <c r="A140" s="22" t="s">
        <v>849</v>
      </c>
      <c r="B140" s="23" t="s">
        <v>8</v>
      </c>
      <c r="C140" s="23" t="s">
        <v>9</v>
      </c>
      <c r="D140" s="24" t="s">
        <v>20</v>
      </c>
      <c r="E140" s="24" t="s">
        <v>88</v>
      </c>
      <c r="F140" s="18"/>
      <c r="G140" s="19">
        <v>8.6E-3</v>
      </c>
      <c r="H140" s="20">
        <v>13.3878</v>
      </c>
      <c r="I140" s="21"/>
      <c r="J140" s="20">
        <v>0.19639999999999999</v>
      </c>
      <c r="K140" s="20">
        <v>341.02409999999998</v>
      </c>
      <c r="M140" t="str">
        <f t="shared" si="28"/>
        <v/>
      </c>
      <c r="N140" s="29" t="str">
        <f t="shared" si="29"/>
        <v xml:space="preserve"> TradeKing Cengiz</v>
      </c>
      <c r="O140" t="str">
        <f t="shared" si="30"/>
        <v>BABY CARE (TradeKing Cengiz)</v>
      </c>
      <c r="P140" t="str">
        <f t="shared" si="32"/>
        <v/>
      </c>
      <c r="R140" t="str">
        <f t="shared" si="31"/>
        <v/>
      </c>
      <c r="T140" t="s">
        <v>871</v>
      </c>
      <c r="U140" t="str">
        <f t="shared" si="33"/>
        <v/>
      </c>
      <c r="V140" t="str">
        <f t="shared" si="34"/>
        <v/>
      </c>
      <c r="W140" t="str">
        <f t="shared" si="35"/>
        <v/>
      </c>
      <c r="X140" s="27" t="str">
        <f t="shared" si="36"/>
        <v/>
      </c>
      <c r="Y140" s="27" t="str">
        <f t="shared" si="37"/>
        <v/>
      </c>
      <c r="Z140" s="27" t="str">
        <f t="shared" si="38"/>
        <v/>
      </c>
      <c r="AA140" s="27" t="str">
        <f t="shared" si="39"/>
        <v/>
      </c>
      <c r="AB140" s="27" t="str">
        <f t="shared" si="40"/>
        <v/>
      </c>
      <c r="AC140" s="27" t="str">
        <f t="shared" si="41"/>
        <v/>
      </c>
    </row>
    <row r="141" spans="1:29" ht="15" customHeight="1" x14ac:dyDescent="0.3">
      <c r="A141" s="22" t="s">
        <v>850</v>
      </c>
      <c r="B141" s="23" t="s">
        <v>8</v>
      </c>
      <c r="C141" s="23" t="s">
        <v>9</v>
      </c>
      <c r="D141" s="24" t="s">
        <v>20</v>
      </c>
      <c r="E141" s="24" t="s">
        <v>88</v>
      </c>
      <c r="F141" s="18"/>
      <c r="G141" s="19">
        <v>4.8898999999999999</v>
      </c>
      <c r="H141" s="20">
        <v>10.664400000000001</v>
      </c>
      <c r="I141" s="21"/>
      <c r="J141" s="20">
        <v>145.9169</v>
      </c>
      <c r="K141" s="20">
        <v>284.60649999999998</v>
      </c>
      <c r="M141" t="str">
        <f t="shared" si="28"/>
        <v>ClearSight BABY ALOE VERA PH5.5 W 25 BAG</v>
      </c>
      <c r="N141" s="29" t="str">
        <f t="shared" si="29"/>
        <v xml:space="preserve"> ClearSight</v>
      </c>
      <c r="O141" t="str">
        <f t="shared" si="30"/>
        <v>ClearSight (ClearSight)</v>
      </c>
      <c r="P141" t="str">
        <f t="shared" si="32"/>
        <v xml:space="preserve"> ClearSight</v>
      </c>
      <c r="R141" t="str">
        <f t="shared" si="31"/>
        <v>ClearSight (ClearSight)</v>
      </c>
      <c r="T141" t="s">
        <v>849</v>
      </c>
      <c r="U141" t="str">
        <f t="shared" si="33"/>
        <v>BAGS</v>
      </c>
      <c r="V141" t="str">
        <f t="shared" si="34"/>
        <v>PH BALANCED</v>
      </c>
      <c r="W141" t="str">
        <f t="shared" si="35"/>
        <v>25</v>
      </c>
      <c r="X141" s="27">
        <f t="shared" si="36"/>
        <v>0</v>
      </c>
      <c r="Y141" s="27">
        <f t="shared" si="37"/>
        <v>8.6E-3</v>
      </c>
      <c r="Z141" s="27">
        <f t="shared" si="38"/>
        <v>13.3878</v>
      </c>
      <c r="AA141" s="27">
        <f t="shared" si="39"/>
        <v>0</v>
      </c>
      <c r="AB141" s="27">
        <f t="shared" si="40"/>
        <v>0.19639999999999999</v>
      </c>
      <c r="AC141" s="27">
        <f t="shared" si="41"/>
        <v>341.02409999999998</v>
      </c>
    </row>
    <row r="142" spans="1:29" ht="15" customHeight="1" x14ac:dyDescent="0.3">
      <c r="A142" s="22" t="s">
        <v>851</v>
      </c>
      <c r="B142" s="23" t="s">
        <v>8</v>
      </c>
      <c r="C142" s="23" t="s">
        <v>9</v>
      </c>
      <c r="D142" s="24" t="s">
        <v>20</v>
      </c>
      <c r="E142" s="24" t="s">
        <v>88</v>
      </c>
      <c r="F142" s="18"/>
      <c r="G142" s="19">
        <v>5.8544999999999998</v>
      </c>
      <c r="H142" s="20">
        <v>9.0564</v>
      </c>
      <c r="I142" s="21"/>
      <c r="J142" s="20">
        <v>166.38579999999999</v>
      </c>
      <c r="K142" s="20">
        <v>238.54349999999999</v>
      </c>
      <c r="M142" t="str">
        <f t="shared" si="28"/>
        <v>ClearSight BABY CALENDULA PH5.5 W 25 BAG</v>
      </c>
      <c r="N142" s="29" t="str">
        <f t="shared" si="29"/>
        <v xml:space="preserve"> ClearSight</v>
      </c>
      <c r="O142" t="str">
        <f t="shared" si="30"/>
        <v>ClearSight (ClearSight)</v>
      </c>
      <c r="P142" t="str">
        <f t="shared" si="32"/>
        <v xml:space="preserve"> ClearSight</v>
      </c>
      <c r="R142" t="str">
        <f t="shared" si="31"/>
        <v>ClearSight (ClearSight)</v>
      </c>
      <c r="T142" t="s">
        <v>850</v>
      </c>
      <c r="U142" t="str">
        <f t="shared" si="33"/>
        <v>BAGS</v>
      </c>
      <c r="V142" t="str">
        <f t="shared" si="34"/>
        <v>PH BALANCED</v>
      </c>
      <c r="W142" t="str">
        <f t="shared" si="35"/>
        <v>25</v>
      </c>
      <c r="X142" s="27">
        <f t="shared" si="36"/>
        <v>0</v>
      </c>
      <c r="Y142" s="27">
        <f t="shared" si="37"/>
        <v>4.8898999999999999</v>
      </c>
      <c r="Z142" s="27">
        <f t="shared" si="38"/>
        <v>10.664400000000001</v>
      </c>
      <c r="AA142" s="27">
        <f t="shared" si="39"/>
        <v>0</v>
      </c>
      <c r="AB142" s="27">
        <f t="shared" si="40"/>
        <v>145.9169</v>
      </c>
      <c r="AC142" s="27">
        <f t="shared" si="41"/>
        <v>284.60649999999998</v>
      </c>
    </row>
    <row r="143" spans="1:29" ht="15" customHeight="1" x14ac:dyDescent="0.3">
      <c r="A143" s="22" t="s">
        <v>852</v>
      </c>
      <c r="B143" s="23" t="s">
        <v>8</v>
      </c>
      <c r="C143" s="23" t="s">
        <v>9</v>
      </c>
      <c r="D143" s="24" t="s">
        <v>20</v>
      </c>
      <c r="E143" s="24" t="s">
        <v>119</v>
      </c>
      <c r="F143" s="18"/>
      <c r="G143" s="19"/>
      <c r="H143" s="20">
        <v>0.9879</v>
      </c>
      <c r="I143" s="21"/>
      <c r="J143" s="20"/>
      <c r="K143" s="20">
        <v>34.929000000000002</v>
      </c>
      <c r="M143" t="str">
        <f t="shared" si="28"/>
        <v>ClearSight BABY CHAMOMILE PH5.5 W 25 BAG</v>
      </c>
      <c r="N143" s="29" t="str">
        <f t="shared" si="29"/>
        <v xml:space="preserve"> ClearSight</v>
      </c>
      <c r="O143" t="str">
        <f t="shared" si="30"/>
        <v>ClearSight (ClearSight)</v>
      </c>
      <c r="P143" t="str">
        <f t="shared" si="32"/>
        <v xml:space="preserve"> ClearSight</v>
      </c>
      <c r="R143" t="str">
        <f t="shared" si="31"/>
        <v>ClearSight (ClearSight)</v>
      </c>
      <c r="T143" t="s">
        <v>851</v>
      </c>
      <c r="U143" t="str">
        <f t="shared" si="33"/>
        <v>BAGS</v>
      </c>
      <c r="V143" t="str">
        <f t="shared" si="34"/>
        <v>PH BALANCED</v>
      </c>
      <c r="W143" t="str">
        <f t="shared" si="35"/>
        <v>25</v>
      </c>
      <c r="X143" s="27">
        <f t="shared" si="36"/>
        <v>0</v>
      </c>
      <c r="Y143" s="27">
        <f t="shared" si="37"/>
        <v>5.8544999999999998</v>
      </c>
      <c r="Z143" s="27">
        <f t="shared" si="38"/>
        <v>9.0564</v>
      </c>
      <c r="AA143" s="27">
        <f t="shared" si="39"/>
        <v>0</v>
      </c>
      <c r="AB143" s="27">
        <f t="shared" si="40"/>
        <v>166.38579999999999</v>
      </c>
      <c r="AC143" s="27">
        <f t="shared" si="41"/>
        <v>238.54349999999999</v>
      </c>
    </row>
    <row r="144" spans="1:29" ht="15" customHeight="1" x14ac:dyDescent="0.3">
      <c r="A144" s="22" t="s">
        <v>853</v>
      </c>
      <c r="B144" s="23" t="s">
        <v>8</v>
      </c>
      <c r="C144" s="23" t="s">
        <v>9</v>
      </c>
      <c r="D144" s="24" t="s">
        <v>20</v>
      </c>
      <c r="E144" s="24" t="s">
        <v>17</v>
      </c>
      <c r="F144" s="18">
        <v>15.267200000000001</v>
      </c>
      <c r="G144" s="19">
        <v>16.318300000000001</v>
      </c>
      <c r="H144" s="20">
        <v>16.784099999999999</v>
      </c>
      <c r="I144" s="21">
        <v>431.15870000000001</v>
      </c>
      <c r="J144" s="20">
        <v>473.67329999999998</v>
      </c>
      <c r="K144" s="20">
        <v>505.80540000000002</v>
      </c>
      <c r="M144" t="str">
        <f t="shared" si="28"/>
        <v>ClearSight BABY CHAMOMILE PH5.5 W 66 BAG</v>
      </c>
      <c r="N144" s="29" t="str">
        <f t="shared" si="29"/>
        <v xml:space="preserve"> ClearSight</v>
      </c>
      <c r="O144" t="str">
        <f t="shared" si="30"/>
        <v>ClearSight (ClearSight)</v>
      </c>
      <c r="P144" t="str">
        <f t="shared" si="32"/>
        <v xml:space="preserve"> ClearSight</v>
      </c>
      <c r="R144" t="str">
        <f t="shared" si="31"/>
        <v>ClearSight (ClearSight)</v>
      </c>
      <c r="T144" t="s">
        <v>852</v>
      </c>
      <c r="U144" t="str">
        <f t="shared" si="33"/>
        <v>BAGS</v>
      </c>
      <c r="V144" t="str">
        <f t="shared" si="34"/>
        <v>PH BALANCED</v>
      </c>
      <c r="W144" t="str">
        <f t="shared" si="35"/>
        <v>66</v>
      </c>
      <c r="X144" s="27">
        <f t="shared" si="36"/>
        <v>0</v>
      </c>
      <c r="Y144" s="27">
        <f t="shared" si="37"/>
        <v>0</v>
      </c>
      <c r="Z144" s="27">
        <f t="shared" si="38"/>
        <v>0.9879</v>
      </c>
      <c r="AA144" s="27">
        <f t="shared" si="39"/>
        <v>0</v>
      </c>
      <c r="AB144" s="27">
        <f t="shared" si="40"/>
        <v>0</v>
      </c>
      <c r="AC144" s="27">
        <f t="shared" si="41"/>
        <v>34.929000000000002</v>
      </c>
    </row>
    <row r="145" spans="1:29" ht="15" customHeight="1" x14ac:dyDescent="0.3">
      <c r="A145" s="22" t="s">
        <v>854</v>
      </c>
      <c r="B145" s="23" t="s">
        <v>8</v>
      </c>
      <c r="C145" s="23" t="s">
        <v>9</v>
      </c>
      <c r="D145" s="24" t="s">
        <v>20</v>
      </c>
      <c r="E145" s="24" t="s">
        <v>17</v>
      </c>
      <c r="F145" s="18">
        <v>9.5295000000000005</v>
      </c>
      <c r="G145" s="19">
        <v>13.395300000000001</v>
      </c>
      <c r="H145" s="20">
        <v>18.126999999999999</v>
      </c>
      <c r="I145" s="21">
        <v>274.45499999999998</v>
      </c>
      <c r="J145" s="20">
        <v>396.72109999999998</v>
      </c>
      <c r="K145" s="20">
        <v>559.59109999999998</v>
      </c>
      <c r="M145" t="str">
        <f t="shared" si="28"/>
        <v>ClearSight BABY ALOE VERA PH5.5 W 80 BAG</v>
      </c>
      <c r="N145" s="29" t="str">
        <f t="shared" si="29"/>
        <v xml:space="preserve"> ClearSight</v>
      </c>
      <c r="O145" t="str">
        <f t="shared" si="30"/>
        <v>ClearSight (ClearSight)</v>
      </c>
      <c r="P145" t="str">
        <f t="shared" si="32"/>
        <v xml:space="preserve"> ClearSight</v>
      </c>
      <c r="R145" t="str">
        <f t="shared" si="31"/>
        <v>ClearSight (ClearSight)</v>
      </c>
      <c r="T145" t="s">
        <v>853</v>
      </c>
      <c r="U145" t="str">
        <f t="shared" si="33"/>
        <v>BAGS</v>
      </c>
      <c r="V145" t="str">
        <f t="shared" si="34"/>
        <v>PH BALANCED</v>
      </c>
      <c r="W145" t="str">
        <f t="shared" si="35"/>
        <v>80</v>
      </c>
      <c r="X145" s="27">
        <f t="shared" si="36"/>
        <v>15.267200000000001</v>
      </c>
      <c r="Y145" s="27">
        <f t="shared" si="37"/>
        <v>16.318300000000001</v>
      </c>
      <c r="Z145" s="27">
        <f t="shared" si="38"/>
        <v>16.784099999999999</v>
      </c>
      <c r="AA145" s="27">
        <f t="shared" si="39"/>
        <v>431.15870000000001</v>
      </c>
      <c r="AB145" s="27">
        <f t="shared" si="40"/>
        <v>473.67329999999998</v>
      </c>
      <c r="AC145" s="27">
        <f t="shared" si="41"/>
        <v>505.80540000000002</v>
      </c>
    </row>
    <row r="146" spans="1:29" ht="15" customHeight="1" x14ac:dyDescent="0.3">
      <c r="A146" s="22" t="s">
        <v>855</v>
      </c>
      <c r="B146" s="23" t="s">
        <v>8</v>
      </c>
      <c r="C146" s="23" t="s">
        <v>9</v>
      </c>
      <c r="D146" s="24" t="s">
        <v>20</v>
      </c>
      <c r="E146" s="24" t="s">
        <v>17</v>
      </c>
      <c r="F146" s="18">
        <v>11.2293</v>
      </c>
      <c r="G146" s="19">
        <v>14.7631</v>
      </c>
      <c r="H146" s="20">
        <v>16.131900000000002</v>
      </c>
      <c r="I146" s="21">
        <v>318.93810000000002</v>
      </c>
      <c r="J146" s="20">
        <v>440.8152</v>
      </c>
      <c r="K146" s="20">
        <v>474.58569999999997</v>
      </c>
      <c r="M146" t="str">
        <f t="shared" si="28"/>
        <v>ClearSight BABY CALENDULA PH5.5 W 80 BAG</v>
      </c>
      <c r="N146" s="29" t="str">
        <f t="shared" si="29"/>
        <v xml:space="preserve"> ClearSight</v>
      </c>
      <c r="O146" t="str">
        <f t="shared" si="30"/>
        <v>ClearSight (ClearSight)</v>
      </c>
      <c r="P146" t="str">
        <f t="shared" si="32"/>
        <v xml:space="preserve"> ClearSight</v>
      </c>
      <c r="R146" t="str">
        <f t="shared" si="31"/>
        <v>ClearSight (ClearSight)</v>
      </c>
      <c r="T146" t="s">
        <v>854</v>
      </c>
      <c r="U146" t="str">
        <f t="shared" si="33"/>
        <v>BAGS</v>
      </c>
      <c r="V146" t="str">
        <f t="shared" si="34"/>
        <v>PH BALANCED</v>
      </c>
      <c r="W146" t="str">
        <f t="shared" si="35"/>
        <v>80</v>
      </c>
      <c r="X146" s="27">
        <f t="shared" si="36"/>
        <v>9.5295000000000005</v>
      </c>
      <c r="Y146" s="27">
        <f t="shared" si="37"/>
        <v>13.395300000000001</v>
      </c>
      <c r="Z146" s="27">
        <f t="shared" si="38"/>
        <v>18.126999999999999</v>
      </c>
      <c r="AA146" s="27">
        <f t="shared" si="39"/>
        <v>274.45499999999998</v>
      </c>
      <c r="AB146" s="27">
        <f t="shared" si="40"/>
        <v>396.72109999999998</v>
      </c>
      <c r="AC146" s="27">
        <f t="shared" si="41"/>
        <v>559.59109999999998</v>
      </c>
    </row>
    <row r="147" spans="1:29" ht="14.25" customHeight="1" x14ac:dyDescent="0.3">
      <c r="A147" s="25" t="s">
        <v>732</v>
      </c>
      <c r="B147" s="4" t="s">
        <v>5</v>
      </c>
      <c r="C147" s="4"/>
      <c r="D147" s="5"/>
      <c r="E147" s="5"/>
      <c r="F147" s="10">
        <v>1.03E-2</v>
      </c>
      <c r="G147" s="11"/>
      <c r="H147" s="12"/>
      <c r="I147" s="13">
        <v>0.3876</v>
      </c>
      <c r="J147" s="12"/>
      <c r="K147" s="12"/>
      <c r="M147" t="str">
        <f t="shared" si="28"/>
        <v>ClearSight BABY CHAMOMILE PH5.5 W 80 BAG</v>
      </c>
      <c r="N147" s="29" t="str">
        <f t="shared" si="29"/>
        <v xml:space="preserve"> ClearSight</v>
      </c>
      <c r="O147" t="str">
        <f t="shared" si="30"/>
        <v>ClearSight (ClearSight)</v>
      </c>
      <c r="P147" t="str">
        <f t="shared" si="32"/>
        <v xml:space="preserve"> ClearSight</v>
      </c>
      <c r="R147" t="str">
        <f t="shared" si="31"/>
        <v>ClearSight (ClearSight)</v>
      </c>
      <c r="T147" t="s">
        <v>855</v>
      </c>
      <c r="U147" t="str">
        <f t="shared" si="33"/>
        <v>BAGS</v>
      </c>
      <c r="V147" t="str">
        <f t="shared" si="34"/>
        <v>PH BALANCED</v>
      </c>
      <c r="W147" t="str">
        <f t="shared" si="35"/>
        <v>80</v>
      </c>
      <c r="X147" s="27">
        <f t="shared" si="36"/>
        <v>11.2293</v>
      </c>
      <c r="Y147" s="27">
        <f t="shared" si="37"/>
        <v>14.7631</v>
      </c>
      <c r="Z147" s="27">
        <f t="shared" si="38"/>
        <v>16.131900000000002</v>
      </c>
      <c r="AA147" s="27">
        <f t="shared" si="39"/>
        <v>318.93810000000002</v>
      </c>
      <c r="AB147" s="27">
        <f t="shared" si="40"/>
        <v>440.8152</v>
      </c>
      <c r="AC147" s="27">
        <f t="shared" si="41"/>
        <v>474.58569999999997</v>
      </c>
    </row>
    <row r="148" spans="1:29" ht="15" customHeight="1" x14ac:dyDescent="0.3">
      <c r="A148" s="14" t="s">
        <v>856</v>
      </c>
      <c r="B148" s="15" t="s">
        <v>6</v>
      </c>
      <c r="C148" s="16"/>
      <c r="D148" s="17"/>
      <c r="E148" s="17"/>
      <c r="F148" s="18">
        <v>1.03E-2</v>
      </c>
      <c r="G148" s="19"/>
      <c r="H148" s="20"/>
      <c r="I148" s="21">
        <v>0.3876</v>
      </c>
      <c r="J148" s="20"/>
      <c r="K148" s="20"/>
      <c r="M148" t="str">
        <f t="shared" si="28"/>
        <v/>
      </c>
      <c r="N148" s="29" t="str">
        <f t="shared" si="29"/>
        <v xml:space="preserve"> ClearSight</v>
      </c>
      <c r="O148" t="str">
        <f t="shared" si="30"/>
        <v>ClearSight (ClearSight)</v>
      </c>
      <c r="P148" t="str">
        <f t="shared" si="32"/>
        <v/>
      </c>
      <c r="R148" t="str">
        <f t="shared" si="31"/>
        <v/>
      </c>
      <c r="T148" t="s">
        <v>871</v>
      </c>
      <c r="U148" t="str">
        <f t="shared" si="33"/>
        <v/>
      </c>
      <c r="V148" t="str">
        <f t="shared" si="34"/>
        <v/>
      </c>
      <c r="W148" t="str">
        <f t="shared" si="35"/>
        <v/>
      </c>
      <c r="X148" s="27" t="str">
        <f t="shared" si="36"/>
        <v/>
      </c>
      <c r="Y148" s="27" t="str">
        <f t="shared" si="37"/>
        <v/>
      </c>
      <c r="Z148" s="27" t="str">
        <f t="shared" si="38"/>
        <v/>
      </c>
      <c r="AA148" s="27" t="str">
        <f t="shared" si="39"/>
        <v/>
      </c>
      <c r="AB148" s="27" t="str">
        <f t="shared" si="40"/>
        <v/>
      </c>
      <c r="AC148" s="27" t="str">
        <f t="shared" si="41"/>
        <v/>
      </c>
    </row>
    <row r="149" spans="1:29" ht="15" customHeight="1" x14ac:dyDescent="0.3">
      <c r="A149" s="22" t="s">
        <v>819</v>
      </c>
      <c r="B149" s="23" t="s">
        <v>8</v>
      </c>
      <c r="C149" s="23" t="s">
        <v>9</v>
      </c>
      <c r="D149" s="24" t="s">
        <v>10</v>
      </c>
      <c r="E149" s="24" t="s">
        <v>99</v>
      </c>
      <c r="F149" s="18">
        <v>1.03E-2</v>
      </c>
      <c r="G149" s="19"/>
      <c r="H149" s="20"/>
      <c r="I149" s="21">
        <v>0.3876</v>
      </c>
      <c r="J149" s="20"/>
      <c r="K149" s="20"/>
      <c r="M149" t="str">
        <f t="shared" si="28"/>
        <v/>
      </c>
      <c r="N149" s="29" t="str">
        <f t="shared" si="29"/>
        <v xml:space="preserve"> ClearSight</v>
      </c>
      <c r="O149" t="str">
        <f t="shared" si="30"/>
        <v>ClearSight (ClearSight)</v>
      </c>
      <c r="P149" t="str">
        <f t="shared" si="32"/>
        <v/>
      </c>
      <c r="R149" t="str">
        <f t="shared" si="31"/>
        <v/>
      </c>
      <c r="T149" t="s">
        <v>871</v>
      </c>
      <c r="U149" t="str">
        <f t="shared" si="33"/>
        <v/>
      </c>
      <c r="V149" t="str">
        <f t="shared" si="34"/>
        <v/>
      </c>
      <c r="W149" t="str">
        <f t="shared" si="35"/>
        <v/>
      </c>
      <c r="X149" s="27" t="str">
        <f t="shared" si="36"/>
        <v/>
      </c>
      <c r="Y149" s="27" t="str">
        <f t="shared" si="37"/>
        <v/>
      </c>
      <c r="Z149" s="27" t="str">
        <f t="shared" si="38"/>
        <v/>
      </c>
      <c r="AA149" s="27" t="str">
        <f t="shared" si="39"/>
        <v/>
      </c>
      <c r="AB149" s="27" t="str">
        <f t="shared" si="40"/>
        <v/>
      </c>
      <c r="AC149" s="27" t="str">
        <f t="shared" si="41"/>
        <v/>
      </c>
    </row>
    <row r="150" spans="1:29" ht="14.25" customHeight="1" x14ac:dyDescent="0.3">
      <c r="A150" s="25" t="s">
        <v>733</v>
      </c>
      <c r="B150" s="4" t="s">
        <v>5</v>
      </c>
      <c r="C150" s="4"/>
      <c r="D150" s="5"/>
      <c r="E150" s="5"/>
      <c r="F150" s="10"/>
      <c r="G150" s="11">
        <v>1.8077000000000001</v>
      </c>
      <c r="H150" s="12">
        <v>54.250700000000002</v>
      </c>
      <c r="I150" s="13"/>
      <c r="J150" s="12">
        <v>127.6024</v>
      </c>
      <c r="K150" s="12">
        <v>2956.24</v>
      </c>
      <c r="M150" t="str">
        <f t="shared" si="28"/>
        <v>OKIDOKI  FreshClean CAMOMILLA 60 BAG</v>
      </c>
      <c r="N150" s="29" t="str">
        <f t="shared" si="29"/>
        <v xml:space="preserve"> CodeInt B.V.</v>
      </c>
      <c r="O150" t="str">
        <f t="shared" si="30"/>
        <v>OKIDOKI (CodeInt B.V.)</v>
      </c>
      <c r="P150" t="str">
        <f t="shared" si="32"/>
        <v xml:space="preserve"> CodeInt B.V.</v>
      </c>
      <c r="R150" t="str">
        <f t="shared" si="31"/>
        <v>OKIDOKI (CodeInt B.V.)</v>
      </c>
      <c r="T150" t="s">
        <v>819</v>
      </c>
      <c r="U150" t="str">
        <f t="shared" si="33"/>
        <v>BAGS</v>
      </c>
      <c r="V150" t="str">
        <f t="shared" si="34"/>
        <v>WITHOUT EXTRA PROTECTCARE INDICATION</v>
      </c>
      <c r="W150" t="str">
        <f t="shared" si="35"/>
        <v>60</v>
      </c>
      <c r="X150" s="27">
        <f t="shared" si="36"/>
        <v>1.03E-2</v>
      </c>
      <c r="Y150" s="27">
        <f t="shared" si="37"/>
        <v>0</v>
      </c>
      <c r="Z150" s="27">
        <f t="shared" si="38"/>
        <v>0</v>
      </c>
      <c r="AA150" s="27">
        <f t="shared" si="39"/>
        <v>0.3876</v>
      </c>
      <c r="AB150" s="27">
        <f t="shared" si="40"/>
        <v>0</v>
      </c>
      <c r="AC150" s="27">
        <f t="shared" si="41"/>
        <v>0</v>
      </c>
    </row>
    <row r="151" spans="1:29" ht="15" customHeight="1" x14ac:dyDescent="0.3">
      <c r="A151" s="14" t="s">
        <v>857</v>
      </c>
      <c r="B151" s="15" t="s">
        <v>6</v>
      </c>
      <c r="C151" s="16"/>
      <c r="D151" s="17"/>
      <c r="E151" s="17"/>
      <c r="F151" s="18"/>
      <c r="G151" s="19">
        <v>1.8077000000000001</v>
      </c>
      <c r="H151" s="20">
        <v>54.250700000000002</v>
      </c>
      <c r="I151" s="21"/>
      <c r="J151" s="20">
        <v>127.6024</v>
      </c>
      <c r="K151" s="20">
        <v>2956.24</v>
      </c>
      <c r="M151" t="str">
        <f t="shared" si="28"/>
        <v/>
      </c>
      <c r="N151" s="29" t="str">
        <f t="shared" si="29"/>
        <v xml:space="preserve"> CodeInt B.V.</v>
      </c>
      <c r="O151" t="str">
        <f t="shared" si="30"/>
        <v>OKIDOKI (CodeInt B.V.)</v>
      </c>
      <c r="P151" t="str">
        <f t="shared" si="32"/>
        <v/>
      </c>
      <c r="R151" t="str">
        <f t="shared" si="31"/>
        <v/>
      </c>
      <c r="T151" t="s">
        <v>871</v>
      </c>
      <c r="U151" t="str">
        <f t="shared" si="33"/>
        <v/>
      </c>
      <c r="V151" t="str">
        <f t="shared" si="34"/>
        <v/>
      </c>
      <c r="W151" t="str">
        <f t="shared" si="35"/>
        <v/>
      </c>
      <c r="X151" s="27" t="str">
        <f t="shared" si="36"/>
        <v/>
      </c>
      <c r="Y151" s="27" t="str">
        <f t="shared" si="37"/>
        <v/>
      </c>
      <c r="Z151" s="27" t="str">
        <f t="shared" si="38"/>
        <v/>
      </c>
      <c r="AA151" s="27" t="str">
        <f t="shared" si="39"/>
        <v/>
      </c>
      <c r="AB151" s="27" t="str">
        <f t="shared" si="40"/>
        <v/>
      </c>
      <c r="AC151" s="27" t="str">
        <f t="shared" si="41"/>
        <v/>
      </c>
    </row>
    <row r="152" spans="1:29" ht="15" customHeight="1" x14ac:dyDescent="0.3">
      <c r="A152" s="22" t="s">
        <v>130</v>
      </c>
      <c r="B152" s="23" t="s">
        <v>8</v>
      </c>
      <c r="C152" s="23" t="s">
        <v>9</v>
      </c>
      <c r="D152" s="24" t="s">
        <v>10</v>
      </c>
      <c r="E152" s="24" t="s">
        <v>24</v>
      </c>
      <c r="F152" s="18"/>
      <c r="G152" s="19">
        <v>1.8077000000000001</v>
      </c>
      <c r="H152" s="20">
        <v>54.250700000000002</v>
      </c>
      <c r="I152" s="21"/>
      <c r="J152" s="20">
        <v>127.6024</v>
      </c>
      <c r="K152" s="20">
        <v>2956.24</v>
      </c>
      <c r="M152" t="str">
        <f t="shared" si="28"/>
        <v/>
      </c>
      <c r="N152" s="29" t="str">
        <f t="shared" si="29"/>
        <v xml:space="preserve"> CodeInt B.V.</v>
      </c>
      <c r="O152" t="str">
        <f t="shared" si="30"/>
        <v>OKIDOKI (CodeInt B.V.)</v>
      </c>
      <c r="P152" t="str">
        <f t="shared" si="32"/>
        <v/>
      </c>
      <c r="R152" t="str">
        <f t="shared" si="31"/>
        <v/>
      </c>
      <c r="T152" t="s">
        <v>871</v>
      </c>
      <c r="U152" t="str">
        <f t="shared" si="33"/>
        <v/>
      </c>
      <c r="V152" t="str">
        <f t="shared" si="34"/>
        <v/>
      </c>
      <c r="W152" t="str">
        <f t="shared" si="35"/>
        <v/>
      </c>
      <c r="X152" s="27" t="str">
        <f t="shared" si="36"/>
        <v/>
      </c>
      <c r="Y152" s="27" t="str">
        <f t="shared" si="37"/>
        <v/>
      </c>
      <c r="Z152" s="27" t="str">
        <f t="shared" si="38"/>
        <v/>
      </c>
      <c r="AA152" s="27" t="str">
        <f t="shared" si="39"/>
        <v/>
      </c>
      <c r="AB152" s="27" t="str">
        <f t="shared" si="40"/>
        <v/>
      </c>
      <c r="AC152" s="27" t="str">
        <f t="shared" si="41"/>
        <v/>
      </c>
    </row>
    <row r="153" spans="1:29" ht="14.25" customHeight="1" x14ac:dyDescent="0.3">
      <c r="A153" s="25" t="s">
        <v>734</v>
      </c>
      <c r="B153" s="4" t="s">
        <v>5</v>
      </c>
      <c r="C153" s="4"/>
      <c r="D153" s="5"/>
      <c r="E153" s="5"/>
      <c r="F153" s="10"/>
      <c r="G153" s="11">
        <v>0.1202</v>
      </c>
      <c r="H153" s="12"/>
      <c r="I153" s="13"/>
      <c r="J153" s="12">
        <v>2.4085999999999999</v>
      </c>
      <c r="K153" s="12"/>
      <c r="M153" t="str">
        <f t="shared" si="28"/>
        <v>BABY WISH VITE&amp;PROVITAMINB5 W 120 BAG</v>
      </c>
      <c r="N153" s="29" t="str">
        <f t="shared" si="29"/>
        <v xml:space="preserve"> ChillClean</v>
      </c>
      <c r="O153" t="str">
        <f t="shared" si="30"/>
        <v>BABY WISH (ChillClean)</v>
      </c>
      <c r="P153" t="str">
        <f t="shared" si="32"/>
        <v xml:space="preserve"> ChillClean</v>
      </c>
      <c r="R153" t="str">
        <f t="shared" si="31"/>
        <v>BABY WISH (ChillClean)</v>
      </c>
      <c r="T153" t="s">
        <v>130</v>
      </c>
      <c r="U153" t="str">
        <f t="shared" si="33"/>
        <v>BAGS</v>
      </c>
      <c r="V153" t="str">
        <f t="shared" si="34"/>
        <v>WITHOUT EXTRA PROTECTCARE INDICATION</v>
      </c>
      <c r="W153" t="str">
        <f t="shared" si="35"/>
        <v>120</v>
      </c>
      <c r="X153" s="27">
        <f t="shared" si="36"/>
        <v>0</v>
      </c>
      <c r="Y153" s="27">
        <f t="shared" si="37"/>
        <v>1.8077000000000001</v>
      </c>
      <c r="Z153" s="27">
        <f t="shared" si="38"/>
        <v>54.250700000000002</v>
      </c>
      <c r="AA153" s="27">
        <f t="shared" si="39"/>
        <v>0</v>
      </c>
      <c r="AB153" s="27">
        <f t="shared" si="40"/>
        <v>127.6024</v>
      </c>
      <c r="AC153" s="27">
        <f t="shared" si="41"/>
        <v>2956.24</v>
      </c>
    </row>
    <row r="154" spans="1:29" ht="15" customHeight="1" x14ac:dyDescent="0.3">
      <c r="A154" s="14" t="s">
        <v>131</v>
      </c>
      <c r="B154" s="15" t="s">
        <v>6</v>
      </c>
      <c r="C154" s="16"/>
      <c r="D154" s="17"/>
      <c r="E154" s="17"/>
      <c r="F154" s="18"/>
      <c r="G154" s="19">
        <v>0.1202</v>
      </c>
      <c r="H154" s="20"/>
      <c r="I154" s="21"/>
      <c r="J154" s="20">
        <v>2.4085999999999999</v>
      </c>
      <c r="K154" s="20"/>
      <c r="M154" t="str">
        <f t="shared" si="28"/>
        <v/>
      </c>
      <c r="N154" s="29" t="str">
        <f t="shared" si="29"/>
        <v xml:space="preserve"> ChillClean</v>
      </c>
      <c r="O154" t="str">
        <f t="shared" si="30"/>
        <v>BABY WISH (ChillClean)</v>
      </c>
      <c r="P154" t="str">
        <f t="shared" si="32"/>
        <v/>
      </c>
      <c r="R154" t="str">
        <f t="shared" si="31"/>
        <v/>
      </c>
      <c r="T154" t="s">
        <v>871</v>
      </c>
      <c r="U154" t="str">
        <f t="shared" si="33"/>
        <v/>
      </c>
      <c r="V154" t="str">
        <f t="shared" si="34"/>
        <v/>
      </c>
      <c r="W154" t="str">
        <f t="shared" si="35"/>
        <v/>
      </c>
      <c r="X154" s="27" t="str">
        <f t="shared" si="36"/>
        <v/>
      </c>
      <c r="Y154" s="27" t="str">
        <f t="shared" si="37"/>
        <v/>
      </c>
      <c r="Z154" s="27" t="str">
        <f t="shared" si="38"/>
        <v/>
      </c>
      <c r="AA154" s="27" t="str">
        <f t="shared" si="39"/>
        <v/>
      </c>
      <c r="AB154" s="27" t="str">
        <f t="shared" si="40"/>
        <v/>
      </c>
      <c r="AC154" s="27" t="str">
        <f t="shared" si="41"/>
        <v/>
      </c>
    </row>
    <row r="155" spans="1:29" ht="15" customHeight="1" x14ac:dyDescent="0.3">
      <c r="A155" s="22" t="s">
        <v>132</v>
      </c>
      <c r="B155" s="23" t="s">
        <v>8</v>
      </c>
      <c r="C155" s="23" t="s">
        <v>9</v>
      </c>
      <c r="D155" s="24" t="s">
        <v>10</v>
      </c>
      <c r="E155" s="24" t="s">
        <v>11</v>
      </c>
      <c r="F155" s="18"/>
      <c r="G155" s="19">
        <v>0.1202</v>
      </c>
      <c r="H155" s="20"/>
      <c r="I155" s="21"/>
      <c r="J155" s="20">
        <v>2.4085999999999999</v>
      </c>
      <c r="K155" s="20"/>
      <c r="M155" t="str">
        <f t="shared" si="28"/>
        <v/>
      </c>
      <c r="N155" s="29" t="str">
        <f t="shared" si="29"/>
        <v xml:space="preserve"> ChillClean</v>
      </c>
      <c r="O155" t="str">
        <f t="shared" si="30"/>
        <v>BABY WISH (ChillClean)</v>
      </c>
      <c r="P155" t="str">
        <f t="shared" si="32"/>
        <v/>
      </c>
      <c r="R155" t="str">
        <f t="shared" si="31"/>
        <v/>
      </c>
      <c r="T155" t="s">
        <v>871</v>
      </c>
      <c r="U155" t="str">
        <f t="shared" si="33"/>
        <v/>
      </c>
      <c r="V155" t="str">
        <f t="shared" si="34"/>
        <v/>
      </c>
      <c r="W155" t="str">
        <f t="shared" si="35"/>
        <v/>
      </c>
      <c r="X155" s="27" t="str">
        <f t="shared" si="36"/>
        <v/>
      </c>
      <c r="Y155" s="27" t="str">
        <f t="shared" si="37"/>
        <v/>
      </c>
      <c r="Z155" s="27" t="str">
        <f t="shared" si="38"/>
        <v/>
      </c>
      <c r="AA155" s="27" t="str">
        <f t="shared" si="39"/>
        <v/>
      </c>
      <c r="AB155" s="27" t="str">
        <f t="shared" si="40"/>
        <v/>
      </c>
      <c r="AC155" s="27" t="str">
        <f t="shared" si="41"/>
        <v/>
      </c>
    </row>
    <row r="156" spans="1:29" ht="14.25" customHeight="1" x14ac:dyDescent="0.3">
      <c r="A156" s="25" t="s">
        <v>735</v>
      </c>
      <c r="B156" s="4" t="s">
        <v>5</v>
      </c>
      <c r="C156" s="4"/>
      <c r="D156" s="5"/>
      <c r="E156" s="5"/>
      <c r="F156" s="10">
        <v>212.42590000000001</v>
      </c>
      <c r="G156" s="11">
        <v>118.93340000000001</v>
      </c>
      <c r="H156" s="12">
        <v>32.276800000000001</v>
      </c>
      <c r="I156" s="13">
        <v>11963.103999999999</v>
      </c>
      <c r="J156" s="12">
        <v>6284.8913000000002</v>
      </c>
      <c r="K156" s="12">
        <v>1340.7376999999999</v>
      </c>
      <c r="M156" t="str">
        <f t="shared" si="28"/>
        <v>COSMI BABY ARGAN W 20 BAG</v>
      </c>
      <c r="N156" s="29" t="str">
        <f t="shared" si="29"/>
        <v xml:space="preserve"> Cosmopolitan Italy</v>
      </c>
      <c r="O156" t="str">
        <f t="shared" si="30"/>
        <v>COSMI</v>
      </c>
      <c r="P156" t="str">
        <f t="shared" si="32"/>
        <v xml:space="preserve"> Cosmopolitan Italy</v>
      </c>
      <c r="R156" t="str">
        <f t="shared" si="31"/>
        <v>COSMI</v>
      </c>
      <c r="T156" t="s">
        <v>132</v>
      </c>
      <c r="U156" t="str">
        <f t="shared" si="33"/>
        <v>BAGS</v>
      </c>
      <c r="V156" t="str">
        <f t="shared" si="34"/>
        <v>WITHOUT EXTRA PROTECTCARE INDICATION</v>
      </c>
      <c r="W156" t="str">
        <f t="shared" si="35"/>
        <v>20</v>
      </c>
      <c r="X156" s="27">
        <f t="shared" si="36"/>
        <v>0</v>
      </c>
      <c r="Y156" s="27">
        <f t="shared" si="37"/>
        <v>0.1202</v>
      </c>
      <c r="Z156" s="27">
        <f t="shared" si="38"/>
        <v>0</v>
      </c>
      <c r="AA156" s="27">
        <f t="shared" si="39"/>
        <v>0</v>
      </c>
      <c r="AB156" s="27">
        <f t="shared" si="40"/>
        <v>2.4085999999999999</v>
      </c>
      <c r="AC156" s="27">
        <f t="shared" si="41"/>
        <v>0</v>
      </c>
    </row>
    <row r="157" spans="1:29" ht="15" customHeight="1" x14ac:dyDescent="0.3">
      <c r="A157" s="14" t="s">
        <v>858</v>
      </c>
      <c r="B157" s="15" t="s">
        <v>6</v>
      </c>
      <c r="C157" s="16"/>
      <c r="D157" s="17"/>
      <c r="E157" s="17"/>
      <c r="F157" s="18">
        <v>57.485300000000002</v>
      </c>
      <c r="G157" s="19">
        <v>39.476199999999999</v>
      </c>
      <c r="H157" s="20">
        <v>6.7363999999999997</v>
      </c>
      <c r="I157" s="21">
        <v>3117.2665999999999</v>
      </c>
      <c r="J157" s="20">
        <v>2098.0985000000001</v>
      </c>
      <c r="K157" s="20">
        <v>314.59030000000001</v>
      </c>
      <c r="M157" t="str">
        <f t="shared" si="28"/>
        <v/>
      </c>
      <c r="N157" s="29" t="str">
        <f t="shared" si="29"/>
        <v xml:space="preserve"> Cosmopolitan Italy</v>
      </c>
      <c r="O157" t="str">
        <f t="shared" si="30"/>
        <v>COSMI</v>
      </c>
      <c r="P157" t="str">
        <f t="shared" si="32"/>
        <v/>
      </c>
      <c r="R157" t="str">
        <f t="shared" si="31"/>
        <v/>
      </c>
      <c r="T157" t="s">
        <v>871</v>
      </c>
      <c r="U157" t="str">
        <f t="shared" si="33"/>
        <v/>
      </c>
      <c r="V157" t="str">
        <f t="shared" si="34"/>
        <v/>
      </c>
      <c r="W157" t="str">
        <f t="shared" si="35"/>
        <v/>
      </c>
      <c r="X157" s="27" t="str">
        <f t="shared" si="36"/>
        <v/>
      </c>
      <c r="Y157" s="27" t="str">
        <f t="shared" si="37"/>
        <v/>
      </c>
      <c r="Z157" s="27" t="str">
        <f t="shared" si="38"/>
        <v/>
      </c>
      <c r="AA157" s="27" t="str">
        <f t="shared" si="39"/>
        <v/>
      </c>
      <c r="AB157" s="27" t="str">
        <f t="shared" si="40"/>
        <v/>
      </c>
      <c r="AC157" s="27" t="str">
        <f t="shared" si="41"/>
        <v/>
      </c>
    </row>
    <row r="158" spans="1:29" ht="15" customHeight="1" x14ac:dyDescent="0.3">
      <c r="A158" s="22" t="s">
        <v>133</v>
      </c>
      <c r="B158" s="23" t="s">
        <v>8</v>
      </c>
      <c r="C158" s="23" t="s">
        <v>9</v>
      </c>
      <c r="D158" s="24" t="s">
        <v>20</v>
      </c>
      <c r="E158" s="24" t="s">
        <v>24</v>
      </c>
      <c r="F158" s="18">
        <v>28.356999999999999</v>
      </c>
      <c r="G158" s="19">
        <v>20.580200000000001</v>
      </c>
      <c r="H158" s="20">
        <v>0.78890000000000005</v>
      </c>
      <c r="I158" s="21">
        <v>1646.7402</v>
      </c>
      <c r="J158" s="20">
        <v>1088.8000999999999</v>
      </c>
      <c r="K158" s="20">
        <v>38.968699999999998</v>
      </c>
      <c r="M158" t="str">
        <f t="shared" si="28"/>
        <v/>
      </c>
      <c r="N158" s="29" t="str">
        <f t="shared" si="29"/>
        <v xml:space="preserve"> Cosmopolitan Italy</v>
      </c>
      <c r="O158" t="str">
        <f t="shared" si="30"/>
        <v>COSMI</v>
      </c>
      <c r="P158" t="str">
        <f t="shared" si="32"/>
        <v/>
      </c>
      <c r="R158" t="str">
        <f t="shared" si="31"/>
        <v/>
      </c>
      <c r="T158" t="s">
        <v>871</v>
      </c>
      <c r="U158" t="str">
        <f t="shared" si="33"/>
        <v/>
      </c>
      <c r="V158" t="str">
        <f t="shared" si="34"/>
        <v/>
      </c>
      <c r="W158" t="str">
        <f t="shared" si="35"/>
        <v/>
      </c>
      <c r="X158" s="27" t="str">
        <f t="shared" si="36"/>
        <v/>
      </c>
      <c r="Y158" s="27" t="str">
        <f t="shared" si="37"/>
        <v/>
      </c>
      <c r="Z158" s="27" t="str">
        <f t="shared" si="38"/>
        <v/>
      </c>
      <c r="AA158" s="27" t="str">
        <f t="shared" si="39"/>
        <v/>
      </c>
      <c r="AB158" s="27" t="str">
        <f t="shared" si="40"/>
        <v/>
      </c>
      <c r="AC158" s="27" t="str">
        <f t="shared" si="41"/>
        <v/>
      </c>
    </row>
    <row r="159" spans="1:29" ht="15" customHeight="1" x14ac:dyDescent="0.3">
      <c r="A159" s="22" t="s">
        <v>134</v>
      </c>
      <c r="B159" s="23" t="s">
        <v>8</v>
      </c>
      <c r="C159" s="23" t="s">
        <v>9</v>
      </c>
      <c r="D159" s="24" t="s">
        <v>30</v>
      </c>
      <c r="E159" s="24" t="s">
        <v>24</v>
      </c>
      <c r="F159" s="18">
        <v>12.003299999999999</v>
      </c>
      <c r="G159" s="19">
        <v>12.0252</v>
      </c>
      <c r="H159" s="20">
        <v>1.8045</v>
      </c>
      <c r="I159" s="21">
        <v>643.41989999999998</v>
      </c>
      <c r="J159" s="20">
        <v>689.18370000000004</v>
      </c>
      <c r="K159" s="20">
        <v>98.837400000000002</v>
      </c>
      <c r="M159" t="str">
        <f t="shared" si="28"/>
        <v>AQUELLA BABY AMUR WITH CREAM W 120 BAG</v>
      </c>
      <c r="N159" s="29" t="str">
        <f t="shared" si="29"/>
        <v xml:space="preserve"> CottonUnion</v>
      </c>
      <c r="O159" t="str">
        <f t="shared" si="30"/>
        <v>AQUELLA ( CottonUnion)</v>
      </c>
      <c r="P159" t="str">
        <f t="shared" si="32"/>
        <v xml:space="preserve"> CottonUnion</v>
      </c>
      <c r="R159" t="str">
        <f t="shared" si="31"/>
        <v>AQUELLA ( CottonUnion)</v>
      </c>
      <c r="T159" t="s">
        <v>133</v>
      </c>
      <c r="U159" t="str">
        <f t="shared" si="33"/>
        <v>BAGS</v>
      </c>
      <c r="V159" t="str">
        <f t="shared" si="34"/>
        <v>PH BALANCED</v>
      </c>
      <c r="W159" t="str">
        <f t="shared" si="35"/>
        <v>120</v>
      </c>
      <c r="X159" s="27">
        <f t="shared" si="36"/>
        <v>28.356999999999999</v>
      </c>
      <c r="Y159" s="27">
        <f t="shared" si="37"/>
        <v>20.580200000000001</v>
      </c>
      <c r="Z159" s="27">
        <f t="shared" si="38"/>
        <v>0.78890000000000005</v>
      </c>
      <c r="AA159" s="27">
        <f t="shared" si="39"/>
        <v>1646.7402</v>
      </c>
      <c r="AB159" s="27">
        <f t="shared" si="40"/>
        <v>1088.8000999999999</v>
      </c>
      <c r="AC159" s="27">
        <f t="shared" si="41"/>
        <v>38.968699999999998</v>
      </c>
    </row>
    <row r="160" spans="1:29" ht="15" customHeight="1" x14ac:dyDescent="0.3">
      <c r="A160" s="22" t="s">
        <v>135</v>
      </c>
      <c r="B160" s="23" t="s">
        <v>8</v>
      </c>
      <c r="C160" s="23" t="s">
        <v>9</v>
      </c>
      <c r="D160" s="24" t="s">
        <v>30</v>
      </c>
      <c r="E160" s="24" t="s">
        <v>24</v>
      </c>
      <c r="F160" s="18">
        <v>0.11600000000000001</v>
      </c>
      <c r="G160" s="19"/>
      <c r="H160" s="20"/>
      <c r="I160" s="21">
        <v>6.96</v>
      </c>
      <c r="J160" s="20"/>
      <c r="K160" s="20"/>
      <c r="M160" t="str">
        <f t="shared" si="28"/>
        <v>AQUELLA BABY ULTRA SOFT CREAM W 120 BAG</v>
      </c>
      <c r="N160" s="29" t="str">
        <f t="shared" si="29"/>
        <v xml:space="preserve"> CottonUnion</v>
      </c>
      <c r="O160" t="str">
        <f t="shared" si="30"/>
        <v>AQUELLA ( CottonUnion)</v>
      </c>
      <c r="P160" t="str">
        <f t="shared" si="32"/>
        <v xml:space="preserve"> CottonUnion</v>
      </c>
      <c r="R160" t="str">
        <f t="shared" si="31"/>
        <v>AQUELLA ( CottonUnion)</v>
      </c>
      <c r="T160" t="s">
        <v>134</v>
      </c>
      <c r="U160" t="str">
        <f t="shared" si="33"/>
        <v>BAGS</v>
      </c>
      <c r="V160" t="str">
        <f t="shared" si="34"/>
        <v>ALCOHOL FREE</v>
      </c>
      <c r="W160" t="str">
        <f t="shared" si="35"/>
        <v>120</v>
      </c>
      <c r="X160" s="27">
        <f t="shared" si="36"/>
        <v>12.003299999999999</v>
      </c>
      <c r="Y160" s="27">
        <f t="shared" si="37"/>
        <v>12.0252</v>
      </c>
      <c r="Z160" s="27">
        <f t="shared" si="38"/>
        <v>1.8045</v>
      </c>
      <c r="AA160" s="27">
        <f t="shared" si="39"/>
        <v>643.41989999999998</v>
      </c>
      <c r="AB160" s="27">
        <f t="shared" si="40"/>
        <v>689.18370000000004</v>
      </c>
      <c r="AC160" s="27">
        <f t="shared" si="41"/>
        <v>98.837400000000002</v>
      </c>
    </row>
    <row r="161" spans="1:29" ht="15" customHeight="1" x14ac:dyDescent="0.3">
      <c r="A161" s="22" t="s">
        <v>136</v>
      </c>
      <c r="B161" s="23" t="s">
        <v>8</v>
      </c>
      <c r="C161" s="23" t="s">
        <v>9</v>
      </c>
      <c r="D161" s="24" t="s">
        <v>20</v>
      </c>
      <c r="E161" s="24" t="s">
        <v>99</v>
      </c>
      <c r="F161" s="18">
        <v>4.6429999999999998</v>
      </c>
      <c r="G161" s="19">
        <v>2.3708</v>
      </c>
      <c r="H161" s="20">
        <v>3.8805999999999998</v>
      </c>
      <c r="I161" s="21">
        <v>208.76240000000001</v>
      </c>
      <c r="J161" s="20">
        <v>99.124899999999997</v>
      </c>
      <c r="K161" s="20">
        <v>163.75460000000001</v>
      </c>
      <c r="M161" t="str">
        <f t="shared" si="28"/>
        <v>AQUELLA TROPIC ALC.FREE W 120 BAG</v>
      </c>
      <c r="N161" s="29" t="str">
        <f t="shared" si="29"/>
        <v xml:space="preserve"> CottonUnion</v>
      </c>
      <c r="O161" t="str">
        <f t="shared" si="30"/>
        <v>AQUELLA ( CottonUnion)</v>
      </c>
      <c r="P161" t="str">
        <f t="shared" si="32"/>
        <v xml:space="preserve"> CottonUnion</v>
      </c>
      <c r="R161" t="str">
        <f t="shared" si="31"/>
        <v>AQUELLA ( CottonUnion)</v>
      </c>
      <c r="T161" t="s">
        <v>135</v>
      </c>
      <c r="U161" t="str">
        <f t="shared" si="33"/>
        <v>BAGS</v>
      </c>
      <c r="V161" t="str">
        <f t="shared" si="34"/>
        <v>ALCOHOL FREE</v>
      </c>
      <c r="W161" t="str">
        <f t="shared" si="35"/>
        <v>120</v>
      </c>
      <c r="X161" s="27">
        <f t="shared" si="36"/>
        <v>0.11600000000000001</v>
      </c>
      <c r="Y161" s="27">
        <f t="shared" si="37"/>
        <v>0</v>
      </c>
      <c r="Z161" s="27">
        <f t="shared" si="38"/>
        <v>0</v>
      </c>
      <c r="AA161" s="27">
        <f t="shared" si="39"/>
        <v>6.96</v>
      </c>
      <c r="AB161" s="27">
        <f t="shared" si="40"/>
        <v>0</v>
      </c>
      <c r="AC161" s="27">
        <f t="shared" si="41"/>
        <v>0</v>
      </c>
    </row>
    <row r="162" spans="1:29" ht="15" customHeight="1" x14ac:dyDescent="0.3">
      <c r="A162" s="22" t="s">
        <v>137</v>
      </c>
      <c r="B162" s="23" t="s">
        <v>8</v>
      </c>
      <c r="C162" s="23" t="s">
        <v>9</v>
      </c>
      <c r="D162" s="24" t="s">
        <v>30</v>
      </c>
      <c r="E162" s="24" t="s">
        <v>42</v>
      </c>
      <c r="F162" s="18">
        <v>8.5853000000000002</v>
      </c>
      <c r="G162" s="19">
        <v>4.2140000000000004</v>
      </c>
      <c r="H162" s="20">
        <v>0.26250000000000001</v>
      </c>
      <c r="I162" s="21">
        <v>402.53930000000003</v>
      </c>
      <c r="J162" s="20">
        <v>207.43709999999999</v>
      </c>
      <c r="K162" s="20">
        <v>13.0296</v>
      </c>
      <c r="M162" t="str">
        <f t="shared" si="28"/>
        <v>AQUELLA KIDS BABY ALOEVERA&amp;CREAM W 60BAG</v>
      </c>
      <c r="N162" s="29" t="str">
        <f t="shared" si="29"/>
        <v xml:space="preserve"> CottonUnion</v>
      </c>
      <c r="O162" t="str">
        <f t="shared" si="30"/>
        <v>AQUELLA ( CottonUnion)</v>
      </c>
      <c r="P162" t="str">
        <f t="shared" si="32"/>
        <v xml:space="preserve"> CottonUnion</v>
      </c>
      <c r="R162" t="str">
        <f t="shared" si="31"/>
        <v>AQUELLA ( CottonUnion)</v>
      </c>
      <c r="T162" t="s">
        <v>136</v>
      </c>
      <c r="U162" t="str">
        <f t="shared" si="33"/>
        <v>BAGS</v>
      </c>
      <c r="V162" t="str">
        <f t="shared" si="34"/>
        <v>PH BALANCED</v>
      </c>
      <c r="W162" t="str">
        <f t="shared" si="35"/>
        <v>60</v>
      </c>
      <c r="X162" s="27">
        <f t="shared" si="36"/>
        <v>4.6429999999999998</v>
      </c>
      <c r="Y162" s="27">
        <f t="shared" si="37"/>
        <v>2.3708</v>
      </c>
      <c r="Z162" s="27">
        <f t="shared" si="38"/>
        <v>3.8805999999999998</v>
      </c>
      <c r="AA162" s="27">
        <f t="shared" si="39"/>
        <v>208.76240000000001</v>
      </c>
      <c r="AB162" s="27">
        <f t="shared" si="40"/>
        <v>99.124899999999997</v>
      </c>
      <c r="AC162" s="27">
        <f t="shared" si="41"/>
        <v>163.75460000000001</v>
      </c>
    </row>
    <row r="163" spans="1:29" ht="15" customHeight="1" x14ac:dyDescent="0.3">
      <c r="A163" s="22" t="s">
        <v>138</v>
      </c>
      <c r="B163" s="23" t="s">
        <v>8</v>
      </c>
      <c r="C163" s="23" t="s">
        <v>9</v>
      </c>
      <c r="D163" s="24" t="s">
        <v>20</v>
      </c>
      <c r="E163" s="24" t="s">
        <v>42</v>
      </c>
      <c r="F163" s="18">
        <v>0.83140000000000003</v>
      </c>
      <c r="G163" s="19">
        <v>1.5299999999999999E-2</v>
      </c>
      <c r="H163" s="20"/>
      <c r="I163" s="21">
        <v>39.196399999999997</v>
      </c>
      <c r="J163" s="20">
        <v>0.64800000000000002</v>
      </c>
      <c r="K163" s="20"/>
      <c r="M163" t="str">
        <f t="shared" si="28"/>
        <v>AQUELLA BABY VIT E&amp;PRO B5 W 72 BAG</v>
      </c>
      <c r="N163" s="29" t="str">
        <f t="shared" si="29"/>
        <v xml:space="preserve"> CottonUnion</v>
      </c>
      <c r="O163" t="str">
        <f t="shared" si="30"/>
        <v>AQUELLA ( CottonUnion)</v>
      </c>
      <c r="P163" t="str">
        <f t="shared" si="32"/>
        <v xml:space="preserve"> CottonUnion</v>
      </c>
      <c r="R163" t="str">
        <f t="shared" si="31"/>
        <v>AQUELLA ( CottonUnion)</v>
      </c>
      <c r="T163" t="s">
        <v>137</v>
      </c>
      <c r="U163" t="str">
        <f t="shared" si="33"/>
        <v>BAGS</v>
      </c>
      <c r="V163" t="str">
        <f t="shared" si="34"/>
        <v>ALCOHOL FREE</v>
      </c>
      <c r="W163" t="str">
        <f t="shared" si="35"/>
        <v>72</v>
      </c>
      <c r="X163" s="27">
        <f t="shared" si="36"/>
        <v>8.5853000000000002</v>
      </c>
      <c r="Y163" s="27">
        <f t="shared" si="37"/>
        <v>4.2140000000000004</v>
      </c>
      <c r="Z163" s="27">
        <f t="shared" si="38"/>
        <v>0.26250000000000001</v>
      </c>
      <c r="AA163" s="27">
        <f t="shared" si="39"/>
        <v>402.53930000000003</v>
      </c>
      <c r="AB163" s="27">
        <f t="shared" si="40"/>
        <v>207.43709999999999</v>
      </c>
      <c r="AC163" s="27">
        <f t="shared" si="41"/>
        <v>13.0296</v>
      </c>
    </row>
    <row r="164" spans="1:29" ht="15" customHeight="1" x14ac:dyDescent="0.3">
      <c r="A164" s="22" t="s">
        <v>139</v>
      </c>
      <c r="B164" s="23" t="s">
        <v>8</v>
      </c>
      <c r="C164" s="23" t="s">
        <v>9</v>
      </c>
      <c r="D164" s="24" t="s">
        <v>20</v>
      </c>
      <c r="E164" s="24" t="s">
        <v>68</v>
      </c>
      <c r="F164" s="18">
        <v>2.9493999999999998</v>
      </c>
      <c r="G164" s="19">
        <v>0.27079999999999999</v>
      </c>
      <c r="H164" s="20"/>
      <c r="I164" s="21">
        <v>169.64840000000001</v>
      </c>
      <c r="J164" s="20">
        <v>12.904400000000001</v>
      </c>
      <c r="K164" s="20"/>
      <c r="M164" t="str">
        <f t="shared" si="28"/>
        <v>AQUELLA KIDS BABY PH5.5 W 72 BAG</v>
      </c>
      <c r="N164" s="29" t="str">
        <f t="shared" si="29"/>
        <v xml:space="preserve"> CottonUnion</v>
      </c>
      <c r="O164" t="str">
        <f t="shared" si="30"/>
        <v>AQUELLA ( CottonUnion)</v>
      </c>
      <c r="P164" t="str">
        <f t="shared" si="32"/>
        <v xml:space="preserve"> CottonUnion</v>
      </c>
      <c r="R164" t="str">
        <f t="shared" si="31"/>
        <v>AQUELLA ( CottonUnion)</v>
      </c>
      <c r="T164" t="s">
        <v>138</v>
      </c>
      <c r="U164" t="str">
        <f t="shared" si="33"/>
        <v>BAGS</v>
      </c>
      <c r="V164" t="str">
        <f t="shared" si="34"/>
        <v>PH BALANCED</v>
      </c>
      <c r="W164" t="str">
        <f t="shared" si="35"/>
        <v>72</v>
      </c>
      <c r="X164" s="27">
        <f t="shared" si="36"/>
        <v>0.83140000000000003</v>
      </c>
      <c r="Y164" s="27">
        <f t="shared" si="37"/>
        <v>1.5299999999999999E-2</v>
      </c>
      <c r="Z164" s="27">
        <f t="shared" si="38"/>
        <v>0</v>
      </c>
      <c r="AA164" s="27">
        <f t="shared" si="39"/>
        <v>39.196399999999997</v>
      </c>
      <c r="AB164" s="27">
        <f t="shared" si="40"/>
        <v>0.64800000000000002</v>
      </c>
      <c r="AC164" s="27">
        <f t="shared" si="41"/>
        <v>0</v>
      </c>
    </row>
    <row r="165" spans="1:29" ht="15" customHeight="1" x14ac:dyDescent="0.3">
      <c r="A165" s="14" t="s">
        <v>859</v>
      </c>
      <c r="B165" s="15" t="s">
        <v>6</v>
      </c>
      <c r="C165" s="16"/>
      <c r="D165" s="17"/>
      <c r="E165" s="17"/>
      <c r="F165" s="18">
        <v>4.0544000000000002</v>
      </c>
      <c r="G165" s="19"/>
      <c r="H165" s="20"/>
      <c r="I165" s="21">
        <v>233.119</v>
      </c>
      <c r="J165" s="20"/>
      <c r="K165" s="20"/>
      <c r="M165" t="str">
        <f t="shared" si="28"/>
        <v>AQUELLA BABY VIT E&amp;PRO B5 W 90 BAG KAPAK</v>
      </c>
      <c r="N165" s="29" t="str">
        <f t="shared" si="29"/>
        <v xml:space="preserve"> CottonUnion</v>
      </c>
      <c r="O165" t="str">
        <f t="shared" si="30"/>
        <v>AQUELLA ( CottonUnion)</v>
      </c>
      <c r="P165" t="str">
        <f t="shared" si="32"/>
        <v xml:space="preserve"> CottonUnion</v>
      </c>
      <c r="R165" t="str">
        <f t="shared" si="31"/>
        <v>AQUELLA ( CottonUnion)</v>
      </c>
      <c r="T165" t="s">
        <v>139</v>
      </c>
      <c r="U165" t="str">
        <f t="shared" si="33"/>
        <v>BAGS</v>
      </c>
      <c r="V165" t="str">
        <f t="shared" si="34"/>
        <v>PH BALANCED</v>
      </c>
      <c r="W165" t="str">
        <f t="shared" si="35"/>
        <v>90</v>
      </c>
      <c r="X165" s="27">
        <f t="shared" si="36"/>
        <v>2.9493999999999998</v>
      </c>
      <c r="Y165" s="27">
        <f t="shared" si="37"/>
        <v>0.27079999999999999</v>
      </c>
      <c r="Z165" s="27">
        <f t="shared" si="38"/>
        <v>0</v>
      </c>
      <c r="AA165" s="27">
        <f t="shared" si="39"/>
        <v>169.64840000000001</v>
      </c>
      <c r="AB165" s="27">
        <f t="shared" si="40"/>
        <v>12.904400000000001</v>
      </c>
      <c r="AC165" s="27">
        <f t="shared" si="41"/>
        <v>0</v>
      </c>
    </row>
    <row r="166" spans="1:29" ht="15" customHeight="1" x14ac:dyDescent="0.3">
      <c r="A166" s="22" t="s">
        <v>140</v>
      </c>
      <c r="B166" s="23" t="s">
        <v>8</v>
      </c>
      <c r="C166" s="23" t="s">
        <v>9</v>
      </c>
      <c r="D166" s="24" t="s">
        <v>69</v>
      </c>
      <c r="E166" s="24" t="s">
        <v>21</v>
      </c>
      <c r="F166" s="18">
        <v>4.0140000000000002</v>
      </c>
      <c r="G166" s="19"/>
      <c r="H166" s="20"/>
      <c r="I166" s="21">
        <v>230.286</v>
      </c>
      <c r="J166" s="20"/>
      <c r="K166" s="20"/>
      <c r="M166" t="str">
        <f t="shared" si="28"/>
        <v/>
      </c>
      <c r="N166" s="29" t="str">
        <f t="shared" si="29"/>
        <v xml:space="preserve"> CottonUnion</v>
      </c>
      <c r="O166" t="str">
        <f t="shared" si="30"/>
        <v>AQUELLA ( CottonUnion)</v>
      </c>
      <c r="P166" t="str">
        <f t="shared" si="32"/>
        <v/>
      </c>
      <c r="R166" t="str">
        <f t="shared" si="31"/>
        <v/>
      </c>
      <c r="T166" t="s">
        <v>871</v>
      </c>
      <c r="U166" t="str">
        <f t="shared" si="33"/>
        <v/>
      </c>
      <c r="V166" t="str">
        <f t="shared" si="34"/>
        <v/>
      </c>
      <c r="W166" t="str">
        <f t="shared" si="35"/>
        <v/>
      </c>
      <c r="X166" s="27" t="str">
        <f t="shared" si="36"/>
        <v/>
      </c>
      <c r="Y166" s="27" t="str">
        <f t="shared" si="37"/>
        <v/>
      </c>
      <c r="Z166" s="27" t="str">
        <f t="shared" si="38"/>
        <v/>
      </c>
      <c r="AA166" s="27" t="str">
        <f t="shared" si="39"/>
        <v/>
      </c>
      <c r="AB166" s="27" t="str">
        <f t="shared" si="40"/>
        <v/>
      </c>
      <c r="AC166" s="27" t="str">
        <f t="shared" si="41"/>
        <v/>
      </c>
    </row>
    <row r="167" spans="1:29" ht="15" customHeight="1" x14ac:dyDescent="0.3">
      <c r="A167" s="22" t="s">
        <v>141</v>
      </c>
      <c r="B167" s="23" t="s">
        <v>8</v>
      </c>
      <c r="C167" s="23" t="s">
        <v>9</v>
      </c>
      <c r="D167" s="24" t="s">
        <v>10</v>
      </c>
      <c r="E167" s="24" t="s">
        <v>123</v>
      </c>
      <c r="F167" s="18">
        <v>4.0500000000000001E-2</v>
      </c>
      <c r="G167" s="19"/>
      <c r="H167" s="20"/>
      <c r="I167" s="21">
        <v>2.8330000000000002</v>
      </c>
      <c r="J167" s="20"/>
      <c r="K167" s="20"/>
      <c r="M167" t="str">
        <f t="shared" si="28"/>
        <v>AURA ULTRA COMF. COTTON HYPOALL. W 100 B</v>
      </c>
      <c r="N167" s="29" t="str">
        <f t="shared" si="29"/>
        <v xml:space="preserve"> CottonUnion</v>
      </c>
      <c r="O167" t="str">
        <f t="shared" si="30"/>
        <v>AURA ( CottonUnion)</v>
      </c>
      <c r="P167" t="str">
        <f t="shared" si="32"/>
        <v xml:space="preserve"> CottonUnion</v>
      </c>
      <c r="R167" t="str">
        <f t="shared" si="31"/>
        <v>AURA ( CottonUnion)</v>
      </c>
      <c r="T167" t="s">
        <v>140</v>
      </c>
      <c r="U167" t="str">
        <f t="shared" si="33"/>
        <v>BAGS</v>
      </c>
      <c r="V167" t="str">
        <f t="shared" si="34"/>
        <v>HYPOALLERGENIC</v>
      </c>
      <c r="W167" t="str">
        <f t="shared" si="35"/>
        <v>100</v>
      </c>
      <c r="X167" s="27">
        <f t="shared" si="36"/>
        <v>4.0140000000000002</v>
      </c>
      <c r="Y167" s="27">
        <f t="shared" si="37"/>
        <v>0</v>
      </c>
      <c r="Z167" s="27">
        <f t="shared" si="38"/>
        <v>0</v>
      </c>
      <c r="AA167" s="27">
        <f t="shared" si="39"/>
        <v>230.286</v>
      </c>
      <c r="AB167" s="27">
        <f t="shared" si="40"/>
        <v>0</v>
      </c>
      <c r="AC167" s="27">
        <f t="shared" si="41"/>
        <v>0</v>
      </c>
    </row>
    <row r="168" spans="1:29" ht="15" customHeight="1" x14ac:dyDescent="0.3">
      <c r="A168" s="14" t="s">
        <v>860</v>
      </c>
      <c r="B168" s="15" t="s">
        <v>6</v>
      </c>
      <c r="C168" s="16"/>
      <c r="D168" s="17"/>
      <c r="E168" s="17"/>
      <c r="F168" s="18">
        <v>1.6357999999999999</v>
      </c>
      <c r="G168" s="19"/>
      <c r="H168" s="20"/>
      <c r="I168" s="21">
        <v>89.7791</v>
      </c>
      <c r="J168" s="20"/>
      <c r="K168" s="20"/>
      <c r="M168" t="str">
        <f t="shared" si="28"/>
        <v>AURA ULTRA COMFORT COTTON W 63 BAG</v>
      </c>
      <c r="N168" s="29" t="str">
        <f t="shared" si="29"/>
        <v xml:space="preserve"> CottonUnion</v>
      </c>
      <c r="O168" t="str">
        <f t="shared" si="30"/>
        <v>AURA ( CottonUnion)</v>
      </c>
      <c r="P168" t="str">
        <f t="shared" si="32"/>
        <v xml:space="preserve"> CottonUnion</v>
      </c>
      <c r="R168" t="str">
        <f t="shared" si="31"/>
        <v>AURA ( CottonUnion)</v>
      </c>
      <c r="T168" t="s">
        <v>141</v>
      </c>
      <c r="U168" t="str">
        <f t="shared" si="33"/>
        <v>BAGS</v>
      </c>
      <c r="V168" t="str">
        <f t="shared" si="34"/>
        <v>WITHOUT EXTRA PROTECTCARE INDICATION</v>
      </c>
      <c r="W168" t="str">
        <f t="shared" si="35"/>
        <v>63</v>
      </c>
      <c r="X168" s="27">
        <f t="shared" si="36"/>
        <v>4.0500000000000001E-2</v>
      </c>
      <c r="Y168" s="27">
        <f t="shared" si="37"/>
        <v>0</v>
      </c>
      <c r="Z168" s="27">
        <f t="shared" si="38"/>
        <v>0</v>
      </c>
      <c r="AA168" s="27">
        <f t="shared" si="39"/>
        <v>2.8330000000000002</v>
      </c>
      <c r="AB168" s="27">
        <f t="shared" si="40"/>
        <v>0</v>
      </c>
      <c r="AC168" s="27">
        <f t="shared" si="41"/>
        <v>0</v>
      </c>
    </row>
    <row r="169" spans="1:29" ht="15" customHeight="1" x14ac:dyDescent="0.3">
      <c r="A169" s="22" t="s">
        <v>142</v>
      </c>
      <c r="B169" s="23" t="s">
        <v>8</v>
      </c>
      <c r="C169" s="23" t="s">
        <v>9</v>
      </c>
      <c r="D169" s="24" t="s">
        <v>30</v>
      </c>
      <c r="E169" s="24" t="s">
        <v>24</v>
      </c>
      <c r="F169" s="18">
        <v>0.76770000000000005</v>
      </c>
      <c r="G169" s="19"/>
      <c r="H169" s="20"/>
      <c r="I169" s="21">
        <v>46.441400000000002</v>
      </c>
      <c r="J169" s="20"/>
      <c r="K169" s="20"/>
      <c r="M169" t="str">
        <f t="shared" si="28"/>
        <v/>
      </c>
      <c r="N169" s="29" t="str">
        <f t="shared" si="29"/>
        <v xml:space="preserve"> CottonUnion</v>
      </c>
      <c r="O169" t="str">
        <f t="shared" si="30"/>
        <v>AURA ( CottonUnion)</v>
      </c>
      <c r="P169" t="str">
        <f t="shared" si="32"/>
        <v/>
      </c>
      <c r="R169" t="str">
        <f t="shared" si="31"/>
        <v/>
      </c>
      <c r="T169" t="s">
        <v>871</v>
      </c>
      <c r="U169" t="str">
        <f t="shared" si="33"/>
        <v/>
      </c>
      <c r="V169" t="str">
        <f t="shared" si="34"/>
        <v/>
      </c>
      <c r="W169" t="str">
        <f t="shared" si="35"/>
        <v/>
      </c>
      <c r="X169" s="27" t="str">
        <f t="shared" si="36"/>
        <v/>
      </c>
      <c r="Y169" s="27" t="str">
        <f t="shared" si="37"/>
        <v/>
      </c>
      <c r="Z169" s="27" t="str">
        <f t="shared" si="38"/>
        <v/>
      </c>
      <c r="AA169" s="27" t="str">
        <f t="shared" si="39"/>
        <v/>
      </c>
      <c r="AB169" s="27" t="str">
        <f t="shared" si="40"/>
        <v/>
      </c>
      <c r="AC169" s="27" t="str">
        <f t="shared" si="41"/>
        <v/>
      </c>
    </row>
    <row r="170" spans="1:29" ht="15" customHeight="1" x14ac:dyDescent="0.3">
      <c r="A170" s="22" t="s">
        <v>143</v>
      </c>
      <c r="B170" s="23" t="s">
        <v>8</v>
      </c>
      <c r="C170" s="23" t="s">
        <v>9</v>
      </c>
      <c r="D170" s="24" t="s">
        <v>20</v>
      </c>
      <c r="E170" s="24" t="s">
        <v>68</v>
      </c>
      <c r="F170" s="18">
        <v>0.86809999999999998</v>
      </c>
      <c r="G170" s="19"/>
      <c r="H170" s="20"/>
      <c r="I170" s="21">
        <v>43.337600000000002</v>
      </c>
      <c r="J170" s="20"/>
      <c r="K170" s="20"/>
      <c r="M170" t="str">
        <f t="shared" si="28"/>
        <v>COTTON BABY UL.SOFT CREAM ALC.FREE W 120</v>
      </c>
      <c r="N170" s="29" t="str">
        <f t="shared" si="29"/>
        <v xml:space="preserve"> CottonUnion</v>
      </c>
      <c r="O170" t="str">
        <f t="shared" si="30"/>
        <v>COTTON BABY ( CottonUnion)</v>
      </c>
      <c r="P170" t="str">
        <f t="shared" si="32"/>
        <v xml:space="preserve"> CottonUnion</v>
      </c>
      <c r="R170" t="str">
        <f t="shared" si="31"/>
        <v>COTTON BABY ( CottonUnion)</v>
      </c>
      <c r="T170" t="s">
        <v>142</v>
      </c>
      <c r="U170" t="str">
        <f t="shared" si="33"/>
        <v>BAGS</v>
      </c>
      <c r="V170" t="str">
        <f t="shared" si="34"/>
        <v>ALCOHOL FREE</v>
      </c>
      <c r="W170" t="str">
        <f t="shared" si="35"/>
        <v>120</v>
      </c>
      <c r="X170" s="27">
        <f t="shared" si="36"/>
        <v>0.76770000000000005</v>
      </c>
      <c r="Y170" s="27">
        <f t="shared" si="37"/>
        <v>0</v>
      </c>
      <c r="Z170" s="27">
        <f t="shared" si="38"/>
        <v>0</v>
      </c>
      <c r="AA170" s="27">
        <f t="shared" si="39"/>
        <v>46.441400000000002</v>
      </c>
      <c r="AB170" s="27">
        <f t="shared" si="40"/>
        <v>0</v>
      </c>
      <c r="AC170" s="27">
        <f t="shared" si="41"/>
        <v>0</v>
      </c>
    </row>
    <row r="171" spans="1:29" ht="15" customHeight="1" x14ac:dyDescent="0.3">
      <c r="A171" s="14" t="s">
        <v>861</v>
      </c>
      <c r="B171" s="15" t="s">
        <v>6</v>
      </c>
      <c r="C171" s="16"/>
      <c r="D171" s="17"/>
      <c r="E171" s="17"/>
      <c r="F171" s="18">
        <v>9.5548999999999999</v>
      </c>
      <c r="G171" s="19">
        <v>16.797000000000001</v>
      </c>
      <c r="H171" s="20">
        <v>14.8012</v>
      </c>
      <c r="I171" s="21">
        <v>338.9522</v>
      </c>
      <c r="J171" s="20">
        <v>643.8528</v>
      </c>
      <c r="K171" s="20">
        <v>454.05590000000001</v>
      </c>
      <c r="M171" t="str">
        <f t="shared" si="28"/>
        <v>COTTON BABY PH5.5 AL.FREE W 90 BAG KAPAK</v>
      </c>
      <c r="N171" s="29" t="str">
        <f t="shared" si="29"/>
        <v xml:space="preserve"> CottonUnion</v>
      </c>
      <c r="O171" t="str">
        <f t="shared" si="30"/>
        <v>COTTON BABY ( CottonUnion)</v>
      </c>
      <c r="P171" t="str">
        <f t="shared" si="32"/>
        <v xml:space="preserve"> CottonUnion</v>
      </c>
      <c r="R171" t="str">
        <f t="shared" si="31"/>
        <v>COTTON BABY ( CottonUnion)</v>
      </c>
      <c r="T171" t="s">
        <v>143</v>
      </c>
      <c r="U171" t="str">
        <f t="shared" si="33"/>
        <v>BAGS</v>
      </c>
      <c r="V171" t="str">
        <f t="shared" si="34"/>
        <v>PH BALANCED</v>
      </c>
      <c r="W171" t="str">
        <f t="shared" si="35"/>
        <v>90</v>
      </c>
      <c r="X171" s="27">
        <f t="shared" si="36"/>
        <v>0.86809999999999998</v>
      </c>
      <c r="Y171" s="27">
        <f t="shared" si="37"/>
        <v>0</v>
      </c>
      <c r="Z171" s="27">
        <f t="shared" si="38"/>
        <v>0</v>
      </c>
      <c r="AA171" s="27">
        <f t="shared" si="39"/>
        <v>43.337600000000002</v>
      </c>
      <c r="AB171" s="27">
        <f t="shared" si="40"/>
        <v>0</v>
      </c>
      <c r="AC171" s="27">
        <f t="shared" si="41"/>
        <v>0</v>
      </c>
    </row>
    <row r="172" spans="1:29" ht="15" customHeight="1" x14ac:dyDescent="0.3">
      <c r="A172" s="22" t="s">
        <v>144</v>
      </c>
      <c r="B172" s="23" t="s">
        <v>8</v>
      </c>
      <c r="C172" s="23" t="s">
        <v>9</v>
      </c>
      <c r="D172" s="24" t="s">
        <v>20</v>
      </c>
      <c r="E172" s="24" t="s">
        <v>26</v>
      </c>
      <c r="F172" s="18">
        <v>9.5548999999999999</v>
      </c>
      <c r="G172" s="19">
        <v>16.797000000000001</v>
      </c>
      <c r="H172" s="20">
        <v>14.8012</v>
      </c>
      <c r="I172" s="21">
        <v>338.9522</v>
      </c>
      <c r="J172" s="20">
        <v>643.8528</v>
      </c>
      <c r="K172" s="20">
        <v>454.05590000000001</v>
      </c>
      <c r="M172" t="str">
        <f t="shared" si="28"/>
        <v/>
      </c>
      <c r="N172" s="29" t="str">
        <f t="shared" si="29"/>
        <v xml:space="preserve"> CottonUnion</v>
      </c>
      <c r="O172" t="str">
        <f t="shared" si="30"/>
        <v>COTTON BABY ( CottonUnion)</v>
      </c>
      <c r="P172" t="str">
        <f t="shared" si="32"/>
        <v/>
      </c>
      <c r="R172" t="str">
        <f t="shared" si="31"/>
        <v/>
      </c>
      <c r="T172" t="s">
        <v>871</v>
      </c>
      <c r="U172" t="str">
        <f t="shared" si="33"/>
        <v/>
      </c>
      <c r="V172" t="str">
        <f t="shared" si="34"/>
        <v/>
      </c>
      <c r="W172" t="str">
        <f t="shared" si="35"/>
        <v/>
      </c>
      <c r="X172" s="27" t="str">
        <f t="shared" si="36"/>
        <v/>
      </c>
      <c r="Y172" s="27" t="str">
        <f t="shared" si="37"/>
        <v/>
      </c>
      <c r="Z172" s="27" t="str">
        <f t="shared" si="38"/>
        <v/>
      </c>
      <c r="AA172" s="27" t="str">
        <f t="shared" si="39"/>
        <v/>
      </c>
      <c r="AB172" s="27" t="str">
        <f t="shared" si="40"/>
        <v/>
      </c>
      <c r="AC172" s="27" t="str">
        <f t="shared" si="41"/>
        <v/>
      </c>
    </row>
    <row r="173" spans="1:29" ht="15" customHeight="1" x14ac:dyDescent="0.3">
      <c r="A173" s="14" t="s">
        <v>862</v>
      </c>
      <c r="B173" s="15" t="s">
        <v>6</v>
      </c>
      <c r="C173" s="16"/>
      <c r="D173" s="17"/>
      <c r="E173" s="17"/>
      <c r="F173" s="18">
        <v>80.961600000000004</v>
      </c>
      <c r="G173" s="19">
        <v>26.590599999999998</v>
      </c>
      <c r="H173" s="20">
        <v>4.7952000000000004</v>
      </c>
      <c r="I173" s="21">
        <v>4767.0126</v>
      </c>
      <c r="J173" s="20">
        <v>1476.0722000000001</v>
      </c>
      <c r="K173" s="20">
        <v>260.76119999999997</v>
      </c>
      <c r="M173" t="str">
        <f t="shared" si="28"/>
        <v>MIMI NICE BABY PH5.5 W 15 BAG</v>
      </c>
      <c r="N173" s="29" t="str">
        <f t="shared" si="29"/>
        <v xml:space="preserve"> CottonUnion</v>
      </c>
      <c r="O173" t="str">
        <f t="shared" si="30"/>
        <v>MIMI ( CottonUnion)</v>
      </c>
      <c r="P173" t="str">
        <f t="shared" si="32"/>
        <v xml:space="preserve"> CottonUnion</v>
      </c>
      <c r="R173" t="str">
        <f t="shared" si="31"/>
        <v>MIMI ( CottonUnion)</v>
      </c>
      <c r="T173" t="s">
        <v>144</v>
      </c>
      <c r="U173" t="str">
        <f t="shared" si="33"/>
        <v>BAGS</v>
      </c>
      <c r="V173" t="str">
        <f t="shared" si="34"/>
        <v>PH BALANCED</v>
      </c>
      <c r="W173" t="str">
        <f t="shared" si="35"/>
        <v>15</v>
      </c>
      <c r="X173" s="27">
        <f t="shared" si="36"/>
        <v>9.5548999999999999</v>
      </c>
      <c r="Y173" s="27">
        <f t="shared" si="37"/>
        <v>16.797000000000001</v>
      </c>
      <c r="Z173" s="27">
        <f t="shared" si="38"/>
        <v>14.8012</v>
      </c>
      <c r="AA173" s="27">
        <f t="shared" si="39"/>
        <v>338.9522</v>
      </c>
      <c r="AB173" s="27">
        <f t="shared" si="40"/>
        <v>643.8528</v>
      </c>
      <c r="AC173" s="27">
        <f t="shared" si="41"/>
        <v>454.05590000000001</v>
      </c>
    </row>
    <row r="174" spans="1:29" ht="15" customHeight="1" x14ac:dyDescent="0.3">
      <c r="A174" s="22" t="s">
        <v>145</v>
      </c>
      <c r="B174" s="23" t="s">
        <v>8</v>
      </c>
      <c r="C174" s="23" t="s">
        <v>9</v>
      </c>
      <c r="D174" s="24" t="s">
        <v>20</v>
      </c>
      <c r="E174" s="24" t="s">
        <v>24</v>
      </c>
      <c r="F174" s="18">
        <v>21.0763</v>
      </c>
      <c r="G174" s="19">
        <v>7.9172000000000002</v>
      </c>
      <c r="H174" s="20">
        <v>0.35720000000000002</v>
      </c>
      <c r="I174" s="21">
        <v>1178.5386000000001</v>
      </c>
      <c r="J174" s="20">
        <v>421.82799999999997</v>
      </c>
      <c r="K174" s="20">
        <v>19.481100000000001</v>
      </c>
      <c r="M174" t="str">
        <f t="shared" si="28"/>
        <v/>
      </c>
      <c r="N174" s="29" t="str">
        <f t="shared" si="29"/>
        <v xml:space="preserve"> CottonUnion</v>
      </c>
      <c r="O174" t="str">
        <f t="shared" si="30"/>
        <v>MIMI ( CottonUnion)</v>
      </c>
      <c r="P174" t="str">
        <f t="shared" si="32"/>
        <v/>
      </c>
      <c r="R174" t="str">
        <f t="shared" si="31"/>
        <v/>
      </c>
      <c r="T174" t="s">
        <v>871</v>
      </c>
      <c r="U174" t="str">
        <f t="shared" si="33"/>
        <v/>
      </c>
      <c r="V174" t="str">
        <f t="shared" si="34"/>
        <v/>
      </c>
      <c r="W174" t="str">
        <f t="shared" si="35"/>
        <v/>
      </c>
      <c r="X174" s="27" t="str">
        <f t="shared" si="36"/>
        <v/>
      </c>
      <c r="Y174" s="27" t="str">
        <f t="shared" si="37"/>
        <v/>
      </c>
      <c r="Z174" s="27" t="str">
        <f t="shared" si="38"/>
        <v/>
      </c>
      <c r="AA174" s="27" t="str">
        <f t="shared" si="39"/>
        <v/>
      </c>
      <c r="AB174" s="27" t="str">
        <f t="shared" si="40"/>
        <v/>
      </c>
      <c r="AC174" s="27" t="str">
        <f t="shared" si="41"/>
        <v/>
      </c>
    </row>
    <row r="175" spans="1:29" ht="15" customHeight="1" x14ac:dyDescent="0.3">
      <c r="A175" s="22" t="s">
        <v>146</v>
      </c>
      <c r="B175" s="23" t="s">
        <v>8</v>
      </c>
      <c r="C175" s="23" t="s">
        <v>9</v>
      </c>
      <c r="D175" s="24" t="s">
        <v>30</v>
      </c>
      <c r="E175" s="24" t="s">
        <v>24</v>
      </c>
      <c r="F175" s="18">
        <v>59.8855</v>
      </c>
      <c r="G175" s="19">
        <v>18.673500000000001</v>
      </c>
      <c r="H175" s="20">
        <v>4.4382000000000001</v>
      </c>
      <c r="I175" s="21">
        <v>3588.4739</v>
      </c>
      <c r="J175" s="20">
        <v>1054.2443000000001</v>
      </c>
      <c r="K175" s="20">
        <v>241.28020000000001</v>
      </c>
      <c r="M175" t="str">
        <f t="shared" si="28"/>
        <v>MY COMFORT BABY ANGEL PH5.5 W 120 BAG</v>
      </c>
      <c r="N175" s="29" t="str">
        <f t="shared" si="29"/>
        <v xml:space="preserve"> CottonUnion</v>
      </c>
      <c r="O175" t="str">
        <f t="shared" si="30"/>
        <v>MY COMFORT ( CottonUnion)</v>
      </c>
      <c r="P175" t="str">
        <f t="shared" si="32"/>
        <v xml:space="preserve"> CottonUnion</v>
      </c>
      <c r="R175" t="str">
        <f t="shared" si="31"/>
        <v>MY COMFORT ( CottonUnion)</v>
      </c>
      <c r="T175" t="s">
        <v>145</v>
      </c>
      <c r="U175" t="str">
        <f t="shared" si="33"/>
        <v>BAGS</v>
      </c>
      <c r="V175" t="str">
        <f t="shared" si="34"/>
        <v>PH BALANCED</v>
      </c>
      <c r="W175" t="str">
        <f t="shared" si="35"/>
        <v>120</v>
      </c>
      <c r="X175" s="27">
        <f t="shared" si="36"/>
        <v>21.0763</v>
      </c>
      <c r="Y175" s="27">
        <f t="shared" si="37"/>
        <v>7.9172000000000002</v>
      </c>
      <c r="Z175" s="27">
        <f t="shared" si="38"/>
        <v>0.35720000000000002</v>
      </c>
      <c r="AA175" s="27">
        <f t="shared" si="39"/>
        <v>1178.5386000000001</v>
      </c>
      <c r="AB175" s="27">
        <f t="shared" si="40"/>
        <v>421.82799999999997</v>
      </c>
      <c r="AC175" s="27">
        <f t="shared" si="41"/>
        <v>19.481100000000001</v>
      </c>
    </row>
    <row r="176" spans="1:29" ht="15" customHeight="1" x14ac:dyDescent="0.3">
      <c r="A176" s="14" t="s">
        <v>863</v>
      </c>
      <c r="B176" s="15" t="s">
        <v>6</v>
      </c>
      <c r="C176" s="16"/>
      <c r="D176" s="17"/>
      <c r="E176" s="17"/>
      <c r="F176" s="18">
        <v>37.596899999999998</v>
      </c>
      <c r="G176" s="19">
        <v>28.031099999999999</v>
      </c>
      <c r="H176" s="20">
        <v>1.2394000000000001</v>
      </c>
      <c r="I176" s="21">
        <v>2231.0284000000001</v>
      </c>
      <c r="J176" s="20">
        <v>1606.1090999999999</v>
      </c>
      <c r="K176" s="20">
        <v>64.665899999999993</v>
      </c>
      <c r="M176" t="str">
        <f t="shared" si="28"/>
        <v>MY COMFORT BABY ARGAN ALK.FREE W 120 BAG</v>
      </c>
      <c r="N176" s="29" t="str">
        <f t="shared" si="29"/>
        <v xml:space="preserve"> CottonUnion</v>
      </c>
      <c r="O176" t="str">
        <f t="shared" si="30"/>
        <v>MY COMFORT ( CottonUnion)</v>
      </c>
      <c r="P176" t="str">
        <f t="shared" si="32"/>
        <v xml:space="preserve"> CottonUnion</v>
      </c>
      <c r="R176" t="str">
        <f t="shared" si="31"/>
        <v>MY COMFORT ( CottonUnion)</v>
      </c>
      <c r="T176" t="s">
        <v>146</v>
      </c>
      <c r="U176" t="str">
        <f t="shared" si="33"/>
        <v>BAGS</v>
      </c>
      <c r="V176" t="str">
        <f t="shared" si="34"/>
        <v>ALCOHOL FREE</v>
      </c>
      <c r="W176" t="str">
        <f t="shared" si="35"/>
        <v>120</v>
      </c>
      <c r="X176" s="27">
        <f t="shared" si="36"/>
        <v>59.8855</v>
      </c>
      <c r="Y176" s="27">
        <f t="shared" si="37"/>
        <v>18.673500000000001</v>
      </c>
      <c r="Z176" s="27">
        <f t="shared" si="38"/>
        <v>4.4382000000000001</v>
      </c>
      <c r="AA176" s="27">
        <f t="shared" si="39"/>
        <v>3588.4739</v>
      </c>
      <c r="AB176" s="27">
        <f t="shared" si="40"/>
        <v>1054.2443000000001</v>
      </c>
      <c r="AC176" s="27">
        <f t="shared" si="41"/>
        <v>241.28020000000001</v>
      </c>
    </row>
    <row r="177" spans="1:29" ht="15" customHeight="1" x14ac:dyDescent="0.3">
      <c r="A177" s="22" t="s">
        <v>147</v>
      </c>
      <c r="B177" s="23" t="s">
        <v>8</v>
      </c>
      <c r="C177" s="23" t="s">
        <v>9</v>
      </c>
      <c r="D177" s="24" t="s">
        <v>20</v>
      </c>
      <c r="E177" s="24" t="s">
        <v>24</v>
      </c>
      <c r="F177" s="18">
        <v>37.596899999999998</v>
      </c>
      <c r="G177" s="19">
        <v>28.031099999999999</v>
      </c>
      <c r="H177" s="20">
        <v>1.2394000000000001</v>
      </c>
      <c r="I177" s="21">
        <v>2231.0284000000001</v>
      </c>
      <c r="J177" s="20">
        <v>1606.1090999999999</v>
      </c>
      <c r="K177" s="20">
        <v>64.665899999999993</v>
      </c>
      <c r="M177" t="str">
        <f t="shared" si="28"/>
        <v/>
      </c>
      <c r="N177" s="29" t="str">
        <f t="shared" si="29"/>
        <v xml:space="preserve"> CottonUnion</v>
      </c>
      <c r="O177" t="str">
        <f t="shared" si="30"/>
        <v>MY COMFORT ( CottonUnion)</v>
      </c>
      <c r="P177" t="str">
        <f t="shared" si="32"/>
        <v/>
      </c>
      <c r="R177" t="str">
        <f t="shared" si="31"/>
        <v/>
      </c>
      <c r="T177" t="s">
        <v>871</v>
      </c>
      <c r="U177" t="str">
        <f t="shared" si="33"/>
        <v/>
      </c>
      <c r="V177" t="str">
        <f t="shared" si="34"/>
        <v/>
      </c>
      <c r="W177" t="str">
        <f t="shared" si="35"/>
        <v/>
      </c>
      <c r="X177" s="27" t="str">
        <f t="shared" si="36"/>
        <v/>
      </c>
      <c r="Y177" s="27" t="str">
        <f t="shared" si="37"/>
        <v/>
      </c>
      <c r="Z177" s="27" t="str">
        <f t="shared" si="38"/>
        <v/>
      </c>
      <c r="AA177" s="27" t="str">
        <f t="shared" si="39"/>
        <v/>
      </c>
      <c r="AB177" s="27" t="str">
        <f t="shared" si="40"/>
        <v/>
      </c>
      <c r="AC177" s="27" t="str">
        <f t="shared" si="41"/>
        <v/>
      </c>
    </row>
    <row r="178" spans="1:29" ht="15" customHeight="1" x14ac:dyDescent="0.3">
      <c r="A178" s="14" t="s">
        <v>864</v>
      </c>
      <c r="B178" s="15" t="s">
        <v>6</v>
      </c>
      <c r="C178" s="16"/>
      <c r="D178" s="17"/>
      <c r="E178" s="17"/>
      <c r="F178" s="18">
        <v>21.1371</v>
      </c>
      <c r="G178" s="19">
        <v>8.0383999999999993</v>
      </c>
      <c r="H178" s="20">
        <v>4.7045000000000003</v>
      </c>
      <c r="I178" s="21">
        <v>1185.9459999999999</v>
      </c>
      <c r="J178" s="20">
        <v>460.75880000000001</v>
      </c>
      <c r="K178" s="20">
        <v>246.6643</v>
      </c>
      <c r="M178" t="str">
        <f t="shared" si="28"/>
        <v>NICEBABY PROVITB5&amp;VITE PH5.5 W 120 BAG</v>
      </c>
      <c r="N178" s="29" t="str">
        <f t="shared" si="29"/>
        <v xml:space="preserve"> CottonUnion</v>
      </c>
      <c r="O178" t="str">
        <f t="shared" si="30"/>
        <v>NICE BABY ( CottonUnion)</v>
      </c>
      <c r="P178" t="str">
        <f t="shared" si="32"/>
        <v xml:space="preserve"> CottonUnion</v>
      </c>
      <c r="R178" t="str">
        <f t="shared" si="31"/>
        <v>NICE BABY ( CottonUnion)</v>
      </c>
      <c r="T178" t="s">
        <v>147</v>
      </c>
      <c r="U178" t="str">
        <f t="shared" si="33"/>
        <v>BAGS</v>
      </c>
      <c r="V178" t="str">
        <f t="shared" si="34"/>
        <v>PH BALANCED</v>
      </c>
      <c r="W178" t="str">
        <f t="shared" si="35"/>
        <v>120</v>
      </c>
      <c r="X178" s="27">
        <f t="shared" si="36"/>
        <v>37.596899999999998</v>
      </c>
      <c r="Y178" s="27">
        <f t="shared" si="37"/>
        <v>28.031099999999999</v>
      </c>
      <c r="Z178" s="27">
        <f t="shared" si="38"/>
        <v>1.2394000000000001</v>
      </c>
      <c r="AA178" s="27">
        <f t="shared" si="39"/>
        <v>2231.0284000000001</v>
      </c>
      <c r="AB178" s="27">
        <f t="shared" si="40"/>
        <v>1606.1090999999999</v>
      </c>
      <c r="AC178" s="27">
        <f t="shared" si="41"/>
        <v>64.665899999999993</v>
      </c>
    </row>
    <row r="179" spans="1:29" ht="15" customHeight="1" x14ac:dyDescent="0.3">
      <c r="A179" s="22" t="s">
        <v>148</v>
      </c>
      <c r="B179" s="23" t="s">
        <v>8</v>
      </c>
      <c r="C179" s="23" t="s">
        <v>9</v>
      </c>
      <c r="D179" s="24" t="s">
        <v>20</v>
      </c>
      <c r="E179" s="24" t="s">
        <v>42</v>
      </c>
      <c r="F179" s="18">
        <v>4.1798000000000002</v>
      </c>
      <c r="G179" s="19"/>
      <c r="H179" s="20"/>
      <c r="I179" s="21">
        <v>212.80930000000001</v>
      </c>
      <c r="J179" s="20"/>
      <c r="K179" s="20"/>
      <c r="M179" t="str">
        <f t="shared" si="28"/>
        <v/>
      </c>
      <c r="N179" s="29" t="str">
        <f t="shared" si="29"/>
        <v xml:space="preserve"> CottonUnion</v>
      </c>
      <c r="O179" t="str">
        <f t="shared" si="30"/>
        <v>NICE BABY ( CottonUnion)</v>
      </c>
      <c r="P179" t="str">
        <f t="shared" si="32"/>
        <v/>
      </c>
      <c r="R179" t="str">
        <f t="shared" si="31"/>
        <v/>
      </c>
      <c r="T179" t="s">
        <v>871</v>
      </c>
      <c r="U179" t="str">
        <f t="shared" si="33"/>
        <v/>
      </c>
      <c r="V179" t="str">
        <f t="shared" si="34"/>
        <v/>
      </c>
      <c r="W179" t="str">
        <f t="shared" si="35"/>
        <v/>
      </c>
      <c r="X179" s="27" t="str">
        <f t="shared" si="36"/>
        <v/>
      </c>
      <c r="Y179" s="27" t="str">
        <f t="shared" si="37"/>
        <v/>
      </c>
      <c r="Z179" s="27" t="str">
        <f t="shared" si="38"/>
        <v/>
      </c>
      <c r="AA179" s="27" t="str">
        <f t="shared" si="39"/>
        <v/>
      </c>
      <c r="AB179" s="27" t="str">
        <f t="shared" si="40"/>
        <v/>
      </c>
      <c r="AC179" s="27" t="str">
        <f t="shared" si="41"/>
        <v/>
      </c>
    </row>
    <row r="180" spans="1:29" ht="15" customHeight="1" x14ac:dyDescent="0.3">
      <c r="A180" s="22" t="s">
        <v>149</v>
      </c>
      <c r="B180" s="23" t="s">
        <v>8</v>
      </c>
      <c r="C180" s="23" t="s">
        <v>9</v>
      </c>
      <c r="D180" s="24" t="s">
        <v>20</v>
      </c>
      <c r="E180" s="24" t="s">
        <v>42</v>
      </c>
      <c r="F180" s="18">
        <v>16.9573</v>
      </c>
      <c r="G180" s="19">
        <v>8.0383999999999993</v>
      </c>
      <c r="H180" s="20">
        <v>4.7045000000000003</v>
      </c>
      <c r="I180" s="21">
        <v>973.13670000000002</v>
      </c>
      <c r="J180" s="20">
        <v>460.75880000000001</v>
      </c>
      <c r="K180" s="20">
        <v>246.6643</v>
      </c>
      <c r="M180" t="str">
        <f t="shared" si="28"/>
        <v>WINEX BABY PH5.5 W 72 BAG</v>
      </c>
      <c r="N180" s="29" t="str">
        <f t="shared" si="29"/>
        <v xml:space="preserve"> CottonUnion</v>
      </c>
      <c r="O180" t="str">
        <f t="shared" si="30"/>
        <v>WINEX ( CottonUnion)</v>
      </c>
      <c r="P180" t="str">
        <f t="shared" si="32"/>
        <v xml:space="preserve"> CottonUnion</v>
      </c>
      <c r="R180" t="str">
        <f t="shared" si="31"/>
        <v>WINEX ( CottonUnion)</v>
      </c>
      <c r="T180" t="s">
        <v>148</v>
      </c>
      <c r="U180" t="str">
        <f t="shared" si="33"/>
        <v>BAGS</v>
      </c>
      <c r="V180" t="str">
        <f t="shared" si="34"/>
        <v>PH BALANCED</v>
      </c>
      <c r="W180" t="str">
        <f t="shared" si="35"/>
        <v>72</v>
      </c>
      <c r="X180" s="27">
        <f t="shared" si="36"/>
        <v>4.1798000000000002</v>
      </c>
      <c r="Y180" s="27">
        <f t="shared" si="37"/>
        <v>0</v>
      </c>
      <c r="Z180" s="27">
        <f t="shared" si="38"/>
        <v>0</v>
      </c>
      <c r="AA180" s="27">
        <f t="shared" si="39"/>
        <v>212.80930000000001</v>
      </c>
      <c r="AB180" s="27">
        <f t="shared" si="40"/>
        <v>0</v>
      </c>
      <c r="AC180" s="27">
        <f t="shared" si="41"/>
        <v>0</v>
      </c>
    </row>
    <row r="181" spans="1:29" ht="14.25" customHeight="1" x14ac:dyDescent="0.3">
      <c r="A181" s="25" t="s">
        <v>736</v>
      </c>
      <c r="B181" s="4" t="s">
        <v>5</v>
      </c>
      <c r="C181" s="4"/>
      <c r="D181" s="5"/>
      <c r="E181" s="5"/>
      <c r="F181" s="10"/>
      <c r="G181" s="11"/>
      <c r="H181" s="12"/>
      <c r="I181" s="13"/>
      <c r="J181" s="12"/>
      <c r="K181" s="12"/>
      <c r="M181" t="str">
        <f t="shared" si="28"/>
        <v>WINEX BABY PROVITB5&amp;VIT.F PH5.5 W 72 BAG</v>
      </c>
      <c r="N181" s="29" t="str">
        <f t="shared" si="29"/>
        <v xml:space="preserve"> CottonUnion</v>
      </c>
      <c r="O181" t="str">
        <f t="shared" si="30"/>
        <v>WINEX ( CottonUnion)</v>
      </c>
      <c r="P181" t="str">
        <f t="shared" si="32"/>
        <v xml:space="preserve"> CottonUnion</v>
      </c>
      <c r="R181" t="str">
        <f t="shared" si="31"/>
        <v>WINEX ( CottonUnion)</v>
      </c>
      <c r="T181" t="s">
        <v>149</v>
      </c>
      <c r="U181" t="str">
        <f t="shared" si="33"/>
        <v>BAGS</v>
      </c>
      <c r="V181" t="str">
        <f t="shared" si="34"/>
        <v>PH BALANCED</v>
      </c>
      <c r="W181" t="str">
        <f t="shared" si="35"/>
        <v>72</v>
      </c>
      <c r="X181" s="27">
        <f t="shared" si="36"/>
        <v>16.9573</v>
      </c>
      <c r="Y181" s="27">
        <f t="shared" si="37"/>
        <v>8.0383999999999993</v>
      </c>
      <c r="Z181" s="27">
        <f t="shared" si="38"/>
        <v>4.7045000000000003</v>
      </c>
      <c r="AA181" s="27">
        <f t="shared" si="39"/>
        <v>973.13670000000002</v>
      </c>
      <c r="AB181" s="27">
        <f t="shared" si="40"/>
        <v>460.75880000000001</v>
      </c>
      <c r="AC181" s="27">
        <f t="shared" si="41"/>
        <v>246.6643</v>
      </c>
    </row>
    <row r="182" spans="1:29" ht="15" customHeight="1" x14ac:dyDescent="0.3">
      <c r="A182" s="14" t="s">
        <v>865</v>
      </c>
      <c r="B182" s="15" t="s">
        <v>6</v>
      </c>
      <c r="C182" s="16"/>
      <c r="D182" s="17"/>
      <c r="E182" s="17"/>
      <c r="F182" s="18"/>
      <c r="G182" s="19"/>
      <c r="H182" s="20"/>
      <c r="I182" s="21"/>
      <c r="J182" s="20"/>
      <c r="K182" s="20"/>
      <c r="M182" t="str">
        <f t="shared" si="28"/>
        <v/>
      </c>
      <c r="N182" s="29" t="str">
        <f t="shared" si="29"/>
        <v xml:space="preserve"> CottonUnion</v>
      </c>
      <c r="O182" t="str">
        <f t="shared" si="30"/>
        <v>WINEX ( CottonUnion)</v>
      </c>
      <c r="P182" t="str">
        <f t="shared" si="32"/>
        <v/>
      </c>
      <c r="R182" t="str">
        <f t="shared" si="31"/>
        <v/>
      </c>
      <c r="T182" t="s">
        <v>871</v>
      </c>
      <c r="U182" t="str">
        <f t="shared" si="33"/>
        <v/>
      </c>
      <c r="V182" t="str">
        <f t="shared" si="34"/>
        <v/>
      </c>
      <c r="W182" t="str">
        <f t="shared" si="35"/>
        <v/>
      </c>
      <c r="X182" s="27" t="str">
        <f t="shared" si="36"/>
        <v/>
      </c>
      <c r="Y182" s="27" t="str">
        <f t="shared" si="37"/>
        <v/>
      </c>
      <c r="Z182" s="27" t="str">
        <f t="shared" si="38"/>
        <v/>
      </c>
      <c r="AA182" s="27" t="str">
        <f t="shared" si="39"/>
        <v/>
      </c>
      <c r="AB182" s="27" t="str">
        <f t="shared" si="40"/>
        <v/>
      </c>
      <c r="AC182" s="27" t="str">
        <f t="shared" si="41"/>
        <v/>
      </c>
    </row>
    <row r="183" spans="1:29" ht="15" customHeight="1" x14ac:dyDescent="0.3">
      <c r="A183" s="22" t="s">
        <v>150</v>
      </c>
      <c r="B183" s="23" t="s">
        <v>8</v>
      </c>
      <c r="C183" s="23" t="s">
        <v>9</v>
      </c>
      <c r="D183" s="24" t="s">
        <v>20</v>
      </c>
      <c r="E183" s="24" t="s">
        <v>42</v>
      </c>
      <c r="F183" s="18"/>
      <c r="G183" s="19"/>
      <c r="H183" s="20"/>
      <c r="I183" s="21"/>
      <c r="J183" s="20"/>
      <c r="K183" s="20"/>
      <c r="M183" t="str">
        <f t="shared" si="28"/>
        <v/>
      </c>
      <c r="N183" s="29" t="str">
        <f t="shared" si="29"/>
        <v xml:space="preserve"> CottonUnion</v>
      </c>
      <c r="O183" t="str">
        <f t="shared" si="30"/>
        <v>WINEX ( CottonUnion)</v>
      </c>
      <c r="P183" t="str">
        <f t="shared" si="32"/>
        <v/>
      </c>
      <c r="R183" t="str">
        <f t="shared" si="31"/>
        <v/>
      </c>
      <c r="T183" t="s">
        <v>871</v>
      </c>
      <c r="U183" t="str">
        <f t="shared" si="33"/>
        <v/>
      </c>
      <c r="V183" t="str">
        <f t="shared" si="34"/>
        <v/>
      </c>
      <c r="W183" t="str">
        <f t="shared" si="35"/>
        <v/>
      </c>
      <c r="X183" s="27" t="str">
        <f t="shared" si="36"/>
        <v/>
      </c>
      <c r="Y183" s="27" t="str">
        <f t="shared" si="37"/>
        <v/>
      </c>
      <c r="Z183" s="27" t="str">
        <f t="shared" si="38"/>
        <v/>
      </c>
      <c r="AA183" s="27" t="str">
        <f t="shared" si="39"/>
        <v/>
      </c>
      <c r="AB183" s="27" t="str">
        <f t="shared" si="40"/>
        <v/>
      </c>
      <c r="AC183" s="27" t="str">
        <f t="shared" si="41"/>
        <v/>
      </c>
    </row>
    <row r="184" spans="1:29" ht="14.25" customHeight="1" x14ac:dyDescent="0.3">
      <c r="A184" s="25" t="s">
        <v>737</v>
      </c>
      <c r="B184" s="4" t="s">
        <v>5</v>
      </c>
      <c r="C184" s="4"/>
      <c r="D184" s="5"/>
      <c r="E184" s="5"/>
      <c r="F184" s="10">
        <v>8.9794</v>
      </c>
      <c r="G184" s="11"/>
      <c r="H184" s="12"/>
      <c r="I184" s="13">
        <v>618.46879999999999</v>
      </c>
      <c r="J184" s="12"/>
      <c r="K184" s="12"/>
      <c r="M184" t="str">
        <f t="shared" si="28"/>
        <v>FOMEX PH5.5 ALC.FREE W 72 BAG KAPAK</v>
      </c>
      <c r="N184" s="29" t="str">
        <f t="shared" si="29"/>
        <v xml:space="preserve"> EastChem</v>
      </c>
      <c r="O184" t="str">
        <f t="shared" si="30"/>
        <v>FOMEX (EastChem)</v>
      </c>
      <c r="P184" t="str">
        <f t="shared" si="32"/>
        <v xml:space="preserve"> EastChem</v>
      </c>
      <c r="R184" t="str">
        <f t="shared" si="31"/>
        <v>FOMEX (EastChem)</v>
      </c>
      <c r="T184" t="s">
        <v>150</v>
      </c>
      <c r="U184" t="str">
        <f t="shared" si="33"/>
        <v>BAGS</v>
      </c>
      <c r="V184" t="str">
        <f t="shared" si="34"/>
        <v>PH BALANCED</v>
      </c>
      <c r="W184" t="str">
        <f t="shared" si="35"/>
        <v>72</v>
      </c>
      <c r="X184" s="27">
        <f t="shared" si="36"/>
        <v>0</v>
      </c>
      <c r="Y184" s="27">
        <f t="shared" si="37"/>
        <v>0</v>
      </c>
      <c r="Z184" s="27">
        <f t="shared" si="38"/>
        <v>0</v>
      </c>
      <c r="AA184" s="27">
        <f t="shared" si="39"/>
        <v>0</v>
      </c>
      <c r="AB184" s="27">
        <f t="shared" si="40"/>
        <v>0</v>
      </c>
      <c r="AC184" s="27">
        <f t="shared" si="41"/>
        <v>0</v>
      </c>
    </row>
    <row r="185" spans="1:29" ht="15" customHeight="1" x14ac:dyDescent="0.3">
      <c r="A185" s="14" t="s">
        <v>151</v>
      </c>
      <c r="B185" s="15" t="s">
        <v>6</v>
      </c>
      <c r="C185" s="16"/>
      <c r="D185" s="17"/>
      <c r="E185" s="17"/>
      <c r="F185" s="18">
        <v>8.9794</v>
      </c>
      <c r="G185" s="19"/>
      <c r="H185" s="20"/>
      <c r="I185" s="21">
        <v>618.46879999999999</v>
      </c>
      <c r="J185" s="20"/>
      <c r="K185" s="20"/>
      <c r="M185" t="str">
        <f t="shared" si="28"/>
        <v/>
      </c>
      <c r="N185" s="29" t="str">
        <f t="shared" si="29"/>
        <v xml:space="preserve"> EastChem</v>
      </c>
      <c r="O185" t="str">
        <f t="shared" si="30"/>
        <v>FOMEX (EastChem)</v>
      </c>
      <c r="P185" t="str">
        <f t="shared" si="32"/>
        <v/>
      </c>
      <c r="R185" t="str">
        <f t="shared" si="31"/>
        <v/>
      </c>
      <c r="T185" t="s">
        <v>871</v>
      </c>
      <c r="U185" t="str">
        <f t="shared" si="33"/>
        <v/>
      </c>
      <c r="V185" t="str">
        <f t="shared" si="34"/>
        <v/>
      </c>
      <c r="W185" t="str">
        <f t="shared" si="35"/>
        <v/>
      </c>
      <c r="X185" s="27" t="str">
        <f t="shared" si="36"/>
        <v/>
      </c>
      <c r="Y185" s="27" t="str">
        <f t="shared" si="37"/>
        <v/>
      </c>
      <c r="Z185" s="27" t="str">
        <f t="shared" si="38"/>
        <v/>
      </c>
      <c r="AA185" s="27" t="str">
        <f t="shared" si="39"/>
        <v/>
      </c>
      <c r="AB185" s="27" t="str">
        <f t="shared" si="40"/>
        <v/>
      </c>
      <c r="AC185" s="27" t="str">
        <f t="shared" si="41"/>
        <v/>
      </c>
    </row>
    <row r="186" spans="1:29" ht="15" customHeight="1" x14ac:dyDescent="0.3">
      <c r="A186" s="22" t="s">
        <v>152</v>
      </c>
      <c r="B186" s="23" t="s">
        <v>8</v>
      </c>
      <c r="C186" s="23" t="s">
        <v>9</v>
      </c>
      <c r="D186" s="24" t="s">
        <v>30</v>
      </c>
      <c r="E186" s="24" t="s">
        <v>24</v>
      </c>
      <c r="F186" s="18">
        <v>8.9794</v>
      </c>
      <c r="G186" s="19"/>
      <c r="H186" s="20"/>
      <c r="I186" s="21">
        <v>618.46879999999999</v>
      </c>
      <c r="J186" s="20"/>
      <c r="K186" s="20"/>
      <c r="M186" t="str">
        <f t="shared" si="28"/>
        <v/>
      </c>
      <c r="N186" s="29" t="str">
        <f t="shared" si="29"/>
        <v xml:space="preserve"> EastChem</v>
      </c>
      <c r="O186" t="str">
        <f t="shared" si="30"/>
        <v>FOMEX (EastChem)</v>
      </c>
      <c r="P186" t="str">
        <f t="shared" si="32"/>
        <v/>
      </c>
      <c r="R186" t="str">
        <f t="shared" si="31"/>
        <v/>
      </c>
      <c r="T186" t="s">
        <v>871</v>
      </c>
      <c r="U186" t="str">
        <f t="shared" si="33"/>
        <v/>
      </c>
      <c r="V186" t="str">
        <f t="shared" si="34"/>
        <v/>
      </c>
      <c r="W186" t="str">
        <f t="shared" si="35"/>
        <v/>
      </c>
      <c r="X186" s="27" t="str">
        <f t="shared" si="36"/>
        <v/>
      </c>
      <c r="Y186" s="27" t="str">
        <f t="shared" si="37"/>
        <v/>
      </c>
      <c r="Z186" s="27" t="str">
        <f t="shared" si="38"/>
        <v/>
      </c>
      <c r="AA186" s="27" t="str">
        <f t="shared" si="39"/>
        <v/>
      </c>
      <c r="AB186" s="27" t="str">
        <f t="shared" si="40"/>
        <v/>
      </c>
      <c r="AC186" s="27" t="str">
        <f t="shared" si="41"/>
        <v/>
      </c>
    </row>
    <row r="187" spans="1:29" ht="15" customHeight="1" x14ac:dyDescent="0.3">
      <c r="A187" s="22" t="s">
        <v>153</v>
      </c>
      <c r="B187" s="23" t="s">
        <v>8</v>
      </c>
      <c r="C187" s="23" t="s">
        <v>9</v>
      </c>
      <c r="D187" s="24" t="s">
        <v>30</v>
      </c>
      <c r="E187" s="24" t="s">
        <v>17</v>
      </c>
      <c r="F187" s="18"/>
      <c r="G187" s="19"/>
      <c r="H187" s="20"/>
      <c r="I187" s="21"/>
      <c r="J187" s="20"/>
      <c r="K187" s="20"/>
      <c r="M187" t="str">
        <f t="shared" si="28"/>
        <v>PADDLERS SOFT&amp;CREAM PROVITB5&amp;VITE W 120</v>
      </c>
      <c r="N187" s="29" t="str">
        <f t="shared" si="29"/>
        <v xml:space="preserve"> EnkaHygiene</v>
      </c>
      <c r="O187" t="str">
        <f t="shared" si="30"/>
        <v>PADDLERS (ENKA HIJYUEN)</v>
      </c>
      <c r="P187" t="str">
        <f t="shared" si="32"/>
        <v xml:space="preserve"> EnkaHygiene</v>
      </c>
      <c r="R187" t="str">
        <f t="shared" si="31"/>
        <v>PADDLERS (ENKA HIJYUEN)</v>
      </c>
      <c r="T187" t="s">
        <v>152</v>
      </c>
      <c r="U187" t="str">
        <f t="shared" si="33"/>
        <v>BAGS</v>
      </c>
      <c r="V187" t="str">
        <f t="shared" si="34"/>
        <v>ALCOHOL FREE</v>
      </c>
      <c r="W187" t="str">
        <f t="shared" si="35"/>
        <v>120</v>
      </c>
      <c r="X187" s="27">
        <f t="shared" si="36"/>
        <v>8.9794</v>
      </c>
      <c r="Y187" s="27">
        <f t="shared" si="37"/>
        <v>0</v>
      </c>
      <c r="Z187" s="27">
        <f t="shared" si="38"/>
        <v>0</v>
      </c>
      <c r="AA187" s="27">
        <f t="shared" si="39"/>
        <v>618.46879999999999</v>
      </c>
      <c r="AB187" s="27">
        <f t="shared" si="40"/>
        <v>0</v>
      </c>
      <c r="AC187" s="27">
        <f t="shared" si="41"/>
        <v>0</v>
      </c>
    </row>
    <row r="188" spans="1:29" ht="14.25" customHeight="1" x14ac:dyDescent="0.3">
      <c r="A188" s="25" t="s">
        <v>738</v>
      </c>
      <c r="B188" s="4" t="s">
        <v>5</v>
      </c>
      <c r="C188" s="4"/>
      <c r="D188" s="5"/>
      <c r="E188" s="5"/>
      <c r="F188" s="10">
        <v>28.101500000000001</v>
      </c>
      <c r="G188" s="11">
        <v>242.1942</v>
      </c>
      <c r="H188" s="12">
        <v>67.606399999999994</v>
      </c>
      <c r="I188" s="13">
        <v>1283.3091999999999</v>
      </c>
      <c r="J188" s="12">
        <v>13602.248900000001</v>
      </c>
      <c r="K188" s="12">
        <v>3938.0097000000001</v>
      </c>
      <c r="M188" t="str">
        <f t="shared" si="28"/>
        <v>PADDLERS SOFT&amp;CREAM PROVITB5&amp;VITE W 80</v>
      </c>
      <c r="N188" s="29" t="str">
        <f t="shared" si="29"/>
        <v xml:space="preserve"> EnkaHygiene</v>
      </c>
      <c r="O188" t="str">
        <f t="shared" si="30"/>
        <v>PADDLERS (ENKA HIJYUEN)</v>
      </c>
      <c r="P188" t="str">
        <f t="shared" si="32"/>
        <v xml:space="preserve"> EnkaHygiene</v>
      </c>
      <c r="R188" t="str">
        <f t="shared" si="31"/>
        <v>PADDLERS (ENKA HIJYUEN)</v>
      </c>
      <c r="T188" t="s">
        <v>153</v>
      </c>
      <c r="U188" t="str">
        <f t="shared" si="33"/>
        <v>BAGS</v>
      </c>
      <c r="V188" t="str">
        <f t="shared" si="34"/>
        <v>ALCOHOL FREE</v>
      </c>
      <c r="W188" t="str">
        <f t="shared" si="35"/>
        <v>80</v>
      </c>
      <c r="X188" s="27">
        <f t="shared" si="36"/>
        <v>0</v>
      </c>
      <c r="Y188" s="27">
        <f t="shared" si="37"/>
        <v>0</v>
      </c>
      <c r="Z188" s="27">
        <f t="shared" si="38"/>
        <v>0</v>
      </c>
      <c r="AA188" s="27">
        <f t="shared" si="39"/>
        <v>0</v>
      </c>
      <c r="AB188" s="27">
        <f t="shared" si="40"/>
        <v>0</v>
      </c>
      <c r="AC188" s="27">
        <f t="shared" si="41"/>
        <v>0</v>
      </c>
    </row>
    <row r="189" spans="1:29" ht="15" customHeight="1" x14ac:dyDescent="0.3">
      <c r="A189" s="14" t="s">
        <v>866</v>
      </c>
      <c r="B189" s="15" t="s">
        <v>6</v>
      </c>
      <c r="C189" s="16"/>
      <c r="D189" s="17"/>
      <c r="E189" s="17"/>
      <c r="F189" s="18"/>
      <c r="G189" s="19">
        <v>9.4999999999999998E-3</v>
      </c>
      <c r="H189" s="20"/>
      <c r="I189" s="21"/>
      <c r="J189" s="20">
        <v>0.51649999999999996</v>
      </c>
      <c r="K189" s="20"/>
      <c r="M189" t="str">
        <f t="shared" si="28"/>
        <v/>
      </c>
      <c r="N189" s="29" t="str">
        <f t="shared" si="29"/>
        <v xml:space="preserve"> EnkaHygiene</v>
      </c>
      <c r="O189" t="str">
        <f t="shared" si="30"/>
        <v>PADDLERS (ENKA HIJYUEN)</v>
      </c>
      <c r="P189" t="str">
        <f t="shared" si="32"/>
        <v/>
      </c>
      <c r="R189" t="str">
        <f t="shared" si="31"/>
        <v/>
      </c>
      <c r="T189" t="s">
        <v>871</v>
      </c>
      <c r="U189" t="str">
        <f t="shared" si="33"/>
        <v/>
      </c>
      <c r="V189" t="str">
        <f t="shared" si="34"/>
        <v/>
      </c>
      <c r="W189" t="str">
        <f t="shared" si="35"/>
        <v/>
      </c>
      <c r="X189" s="27" t="str">
        <f t="shared" si="36"/>
        <v/>
      </c>
      <c r="Y189" s="27" t="str">
        <f t="shared" si="37"/>
        <v/>
      </c>
      <c r="Z189" s="27" t="str">
        <f t="shared" si="38"/>
        <v/>
      </c>
      <c r="AA189" s="27" t="str">
        <f t="shared" si="39"/>
        <v/>
      </c>
      <c r="AB189" s="27" t="str">
        <f t="shared" si="40"/>
        <v/>
      </c>
      <c r="AC189" s="27" t="str">
        <f t="shared" si="41"/>
        <v/>
      </c>
    </row>
    <row r="190" spans="1:29" ht="15" customHeight="1" x14ac:dyDescent="0.3">
      <c r="A190" s="22" t="s">
        <v>154</v>
      </c>
      <c r="B190" s="23" t="s">
        <v>8</v>
      </c>
      <c r="C190" s="23" t="s">
        <v>9</v>
      </c>
      <c r="D190" s="24" t="s">
        <v>20</v>
      </c>
      <c r="E190" s="24" t="s">
        <v>24</v>
      </c>
      <c r="F190" s="18"/>
      <c r="G190" s="19">
        <v>9.4999999999999998E-3</v>
      </c>
      <c r="H190" s="20"/>
      <c r="I190" s="21"/>
      <c r="J190" s="20">
        <v>0.51649999999999996</v>
      </c>
      <c r="K190" s="20"/>
      <c r="M190" t="str">
        <f t="shared" si="28"/>
        <v/>
      </c>
      <c r="N190" s="29" t="str">
        <f t="shared" si="29"/>
        <v xml:space="preserve"> EnkaHygiene</v>
      </c>
      <c r="O190" t="str">
        <f t="shared" si="30"/>
        <v>PADDLERS (ENKA HIJYUEN)</v>
      </c>
      <c r="P190" t="str">
        <f t="shared" si="32"/>
        <v/>
      </c>
      <c r="R190" t="str">
        <f t="shared" si="31"/>
        <v/>
      </c>
      <c r="T190" t="s">
        <v>871</v>
      </c>
      <c r="U190" t="str">
        <f t="shared" si="33"/>
        <v/>
      </c>
      <c r="V190" t="str">
        <f t="shared" si="34"/>
        <v/>
      </c>
      <c r="W190" t="str">
        <f t="shared" si="35"/>
        <v/>
      </c>
      <c r="X190" s="27" t="str">
        <f t="shared" si="36"/>
        <v/>
      </c>
      <c r="Y190" s="27" t="str">
        <f t="shared" si="37"/>
        <v/>
      </c>
      <c r="Z190" s="27" t="str">
        <f t="shared" si="38"/>
        <v/>
      </c>
      <c r="AA190" s="27" t="str">
        <f t="shared" si="39"/>
        <v/>
      </c>
      <c r="AB190" s="27" t="str">
        <f t="shared" si="40"/>
        <v/>
      </c>
      <c r="AC190" s="27" t="str">
        <f t="shared" si="41"/>
        <v/>
      </c>
    </row>
    <row r="191" spans="1:29" ht="15" customHeight="1" x14ac:dyDescent="0.3">
      <c r="A191" s="14" t="s">
        <v>867</v>
      </c>
      <c r="B191" s="15" t="s">
        <v>6</v>
      </c>
      <c r="C191" s="16"/>
      <c r="D191" s="17"/>
      <c r="E191" s="17"/>
      <c r="F191" s="18">
        <v>27.842099999999999</v>
      </c>
      <c r="G191" s="19">
        <v>189.22739999999999</v>
      </c>
      <c r="H191" s="20">
        <v>44.134900000000002</v>
      </c>
      <c r="I191" s="21">
        <v>1267.7428</v>
      </c>
      <c r="J191" s="20">
        <v>11056.5895</v>
      </c>
      <c r="K191" s="20">
        <v>2900.9742999999999</v>
      </c>
      <c r="M191" t="str">
        <f t="shared" si="28"/>
        <v>PURE BABY JUMBO PH5.5 W 120 BAG</v>
      </c>
      <c r="N191" s="29" t="str">
        <f t="shared" si="29"/>
        <v xml:space="preserve"> ErusHealth Products</v>
      </c>
      <c r="O191" t="str">
        <f t="shared" si="30"/>
        <v>PURE ( ErusHealth Products)</v>
      </c>
      <c r="P191" t="str">
        <f t="shared" si="32"/>
        <v xml:space="preserve"> ErusHealth Products</v>
      </c>
      <c r="R191" t="str">
        <f t="shared" si="31"/>
        <v>PURE ( ErusHealth Products)</v>
      </c>
      <c r="T191" t="s">
        <v>154</v>
      </c>
      <c r="U191" t="str">
        <f t="shared" si="33"/>
        <v>BAGS</v>
      </c>
      <c r="V191" t="str">
        <f t="shared" si="34"/>
        <v>PH BALANCED</v>
      </c>
      <c r="W191" t="str">
        <f t="shared" si="35"/>
        <v>120</v>
      </c>
      <c r="X191" s="27">
        <f t="shared" si="36"/>
        <v>0</v>
      </c>
      <c r="Y191" s="27">
        <f t="shared" si="37"/>
        <v>9.4999999999999998E-3</v>
      </c>
      <c r="Z191" s="27">
        <f t="shared" si="38"/>
        <v>0</v>
      </c>
      <c r="AA191" s="27">
        <f t="shared" si="39"/>
        <v>0</v>
      </c>
      <c r="AB191" s="27">
        <f t="shared" si="40"/>
        <v>0.51649999999999996</v>
      </c>
      <c r="AC191" s="27">
        <f t="shared" si="41"/>
        <v>0</v>
      </c>
    </row>
    <row r="192" spans="1:29" ht="15" customHeight="1" x14ac:dyDescent="0.3">
      <c r="A192" s="22" t="s">
        <v>155</v>
      </c>
      <c r="B192" s="23" t="s">
        <v>8</v>
      </c>
      <c r="C192" s="23" t="s">
        <v>9</v>
      </c>
      <c r="D192" s="24" t="s">
        <v>64</v>
      </c>
      <c r="E192" s="24" t="s">
        <v>156</v>
      </c>
      <c r="F192" s="18">
        <v>0.34189999999999998</v>
      </c>
      <c r="G192" s="19"/>
      <c r="H192" s="20"/>
      <c r="I192" s="21">
        <v>17.095199999999998</v>
      </c>
      <c r="J192" s="20"/>
      <c r="K192" s="20"/>
      <c r="M192" t="str">
        <f t="shared" si="28"/>
        <v/>
      </c>
      <c r="N192" s="29" t="str">
        <f t="shared" si="29"/>
        <v xml:space="preserve"> ErusHealth Products</v>
      </c>
      <c r="O192" t="str">
        <f t="shared" si="30"/>
        <v>PURE ( ErusHealth Products)</v>
      </c>
      <c r="P192" t="str">
        <f t="shared" si="32"/>
        <v/>
      </c>
      <c r="R192" t="str">
        <f t="shared" si="31"/>
        <v/>
      </c>
      <c r="T192" t="s">
        <v>871</v>
      </c>
      <c r="U192" t="str">
        <f t="shared" si="33"/>
        <v/>
      </c>
      <c r="V192" t="str">
        <f t="shared" si="34"/>
        <v/>
      </c>
      <c r="W192" t="str">
        <f t="shared" si="35"/>
        <v/>
      </c>
      <c r="X192" s="27" t="str">
        <f t="shared" si="36"/>
        <v/>
      </c>
      <c r="Y192" s="27" t="str">
        <f t="shared" si="37"/>
        <v/>
      </c>
      <c r="Z192" s="27" t="str">
        <f t="shared" si="38"/>
        <v/>
      </c>
      <c r="AA192" s="27" t="str">
        <f t="shared" si="39"/>
        <v/>
      </c>
      <c r="AB192" s="27" t="str">
        <f t="shared" si="40"/>
        <v/>
      </c>
      <c r="AC192" s="27" t="str">
        <f t="shared" si="41"/>
        <v/>
      </c>
    </row>
    <row r="193" spans="1:29" ht="15" customHeight="1" x14ac:dyDescent="0.3">
      <c r="A193" s="22" t="s">
        <v>157</v>
      </c>
      <c r="B193" s="23" t="s">
        <v>8</v>
      </c>
      <c r="C193" s="23" t="s">
        <v>9</v>
      </c>
      <c r="D193" s="24" t="s">
        <v>30</v>
      </c>
      <c r="E193" s="24" t="s">
        <v>24</v>
      </c>
      <c r="F193" s="18"/>
      <c r="G193" s="19">
        <v>36.513300000000001</v>
      </c>
      <c r="H193" s="20">
        <v>9.9184000000000001</v>
      </c>
      <c r="I193" s="21"/>
      <c r="J193" s="20">
        <v>2225.7903999999999</v>
      </c>
      <c r="K193" s="20">
        <v>665.84569999999997</v>
      </c>
      <c r="M193" t="str">
        <f t="shared" si="28"/>
        <v>SLEEPY BABY SENSITIVE 110 W BAG KAPAK</v>
      </c>
      <c r="N193" s="29" t="str">
        <f t="shared" si="29"/>
        <v xml:space="preserve"> ErusHealth Products</v>
      </c>
      <c r="O193" t="str">
        <f t="shared" si="30"/>
        <v>SLEEPY ( ErusHealth Products)</v>
      </c>
      <c r="P193" t="str">
        <f t="shared" si="32"/>
        <v xml:space="preserve"> ErusHealth Products</v>
      </c>
      <c r="R193" t="str">
        <f t="shared" si="31"/>
        <v>SLEEPY ( ErusHealth Products)</v>
      </c>
      <c r="T193" t="s">
        <v>155</v>
      </c>
      <c r="U193" t="str">
        <f t="shared" si="33"/>
        <v>BAGS</v>
      </c>
      <c r="V193" t="str">
        <f t="shared" si="34"/>
        <v>SENSITIVE</v>
      </c>
      <c r="W193" t="str">
        <f t="shared" si="35"/>
        <v>110</v>
      </c>
      <c r="X193" s="27">
        <f t="shared" si="36"/>
        <v>0.34189999999999998</v>
      </c>
      <c r="Y193" s="27">
        <f t="shared" si="37"/>
        <v>0</v>
      </c>
      <c r="Z193" s="27">
        <f t="shared" si="38"/>
        <v>0</v>
      </c>
      <c r="AA193" s="27">
        <f t="shared" si="39"/>
        <v>17.095199999999998</v>
      </c>
      <c r="AB193" s="27">
        <f t="shared" si="40"/>
        <v>0</v>
      </c>
      <c r="AC193" s="27">
        <f t="shared" si="41"/>
        <v>0</v>
      </c>
    </row>
    <row r="194" spans="1:29" ht="15" customHeight="1" x14ac:dyDescent="0.3">
      <c r="A194" s="22" t="s">
        <v>158</v>
      </c>
      <c r="B194" s="23" t="s">
        <v>8</v>
      </c>
      <c r="C194" s="23" t="s">
        <v>9</v>
      </c>
      <c r="D194" s="24" t="s">
        <v>30</v>
      </c>
      <c r="E194" s="24" t="s">
        <v>24</v>
      </c>
      <c r="F194" s="18"/>
      <c r="G194" s="19">
        <v>28.314</v>
      </c>
      <c r="H194" s="20">
        <v>9.1574000000000009</v>
      </c>
      <c r="I194" s="21"/>
      <c r="J194" s="20">
        <v>1712.6693</v>
      </c>
      <c r="K194" s="20">
        <v>592.38390000000004</v>
      </c>
      <c r="M194" t="str">
        <f t="shared" si="28"/>
        <v>SLEEPY BABY APPLE AL.FREE W 120 BAG</v>
      </c>
      <c r="N194" s="29" t="str">
        <f t="shared" si="29"/>
        <v xml:space="preserve"> ErusHealth Products</v>
      </c>
      <c r="O194" t="str">
        <f t="shared" si="30"/>
        <v>SLEEPY ( ErusHealth Products)</v>
      </c>
      <c r="P194" t="str">
        <f t="shared" si="32"/>
        <v xml:space="preserve"> ErusHealth Products</v>
      </c>
      <c r="R194" t="str">
        <f t="shared" si="31"/>
        <v>SLEEPY ( ErusHealth Products)</v>
      </c>
      <c r="T194" t="s">
        <v>157</v>
      </c>
      <c r="U194" t="str">
        <f t="shared" si="33"/>
        <v>BAGS</v>
      </c>
      <c r="V194" t="str">
        <f t="shared" si="34"/>
        <v>ALCOHOL FREE</v>
      </c>
      <c r="W194" t="str">
        <f t="shared" si="35"/>
        <v>120</v>
      </c>
      <c r="X194" s="27">
        <f t="shared" si="36"/>
        <v>0</v>
      </c>
      <c r="Y194" s="27">
        <f t="shared" si="37"/>
        <v>36.513300000000001</v>
      </c>
      <c r="Z194" s="27">
        <f t="shared" si="38"/>
        <v>9.9184000000000001</v>
      </c>
      <c r="AA194" s="27">
        <f t="shared" si="39"/>
        <v>0</v>
      </c>
      <c r="AB194" s="27">
        <f t="shared" si="40"/>
        <v>2225.7903999999999</v>
      </c>
      <c r="AC194" s="27">
        <f t="shared" si="41"/>
        <v>665.84569999999997</v>
      </c>
    </row>
    <row r="195" spans="1:29" ht="15" customHeight="1" x14ac:dyDescent="0.3">
      <c r="A195" s="22" t="s">
        <v>159</v>
      </c>
      <c r="B195" s="23" t="s">
        <v>8</v>
      </c>
      <c r="C195" s="23" t="s">
        <v>9</v>
      </c>
      <c r="D195" s="24" t="s">
        <v>30</v>
      </c>
      <c r="E195" s="24" t="s">
        <v>24</v>
      </c>
      <c r="F195" s="18"/>
      <c r="G195" s="19">
        <v>24.999500000000001</v>
      </c>
      <c r="H195" s="20">
        <v>5.0659999999999998</v>
      </c>
      <c r="I195" s="21"/>
      <c r="J195" s="20">
        <v>1534.4268</v>
      </c>
      <c r="K195" s="20">
        <v>349.95659999999998</v>
      </c>
      <c r="M195" t="str">
        <f t="shared" si="28"/>
        <v>SLEEPY BABY LEMON AL.FREE W 120 BAG</v>
      </c>
      <c r="N195" s="29" t="str">
        <f t="shared" si="29"/>
        <v xml:space="preserve"> ErusHealth Products</v>
      </c>
      <c r="O195" t="str">
        <f t="shared" si="30"/>
        <v>SLEEPY ( ErusHealth Products)</v>
      </c>
      <c r="P195" t="str">
        <f t="shared" si="32"/>
        <v xml:space="preserve"> ErusHealth Products</v>
      </c>
      <c r="R195" t="str">
        <f t="shared" si="31"/>
        <v>SLEEPY ( ErusHealth Products)</v>
      </c>
      <c r="T195" t="s">
        <v>158</v>
      </c>
      <c r="U195" t="str">
        <f t="shared" si="33"/>
        <v>BAGS</v>
      </c>
      <c r="V195" t="str">
        <f t="shared" si="34"/>
        <v>ALCOHOL FREE</v>
      </c>
      <c r="W195" t="str">
        <f t="shared" si="35"/>
        <v>120</v>
      </c>
      <c r="X195" s="27">
        <f t="shared" si="36"/>
        <v>0</v>
      </c>
      <c r="Y195" s="27">
        <f t="shared" si="37"/>
        <v>28.314</v>
      </c>
      <c r="Z195" s="27">
        <f t="shared" si="38"/>
        <v>9.1574000000000009</v>
      </c>
      <c r="AA195" s="27">
        <f t="shared" si="39"/>
        <v>0</v>
      </c>
      <c r="AB195" s="27">
        <f t="shared" si="40"/>
        <v>1712.6693</v>
      </c>
      <c r="AC195" s="27">
        <f t="shared" si="41"/>
        <v>592.38390000000004</v>
      </c>
    </row>
    <row r="196" spans="1:29" ht="15" customHeight="1" x14ac:dyDescent="0.3">
      <c r="A196" s="22" t="s">
        <v>160</v>
      </c>
      <c r="B196" s="23" t="s">
        <v>8</v>
      </c>
      <c r="C196" s="23" t="s">
        <v>9</v>
      </c>
      <c r="D196" s="24" t="s">
        <v>20</v>
      </c>
      <c r="E196" s="24" t="s">
        <v>24</v>
      </c>
      <c r="F196" s="18">
        <v>25.1</v>
      </c>
      <c r="G196" s="19">
        <v>61.22</v>
      </c>
      <c r="H196" s="20">
        <v>8.9021000000000008</v>
      </c>
      <c r="I196" s="21">
        <v>1136.2986000000001</v>
      </c>
      <c r="J196" s="20">
        <v>3402.5661</v>
      </c>
      <c r="K196" s="20">
        <v>613.3809</v>
      </c>
      <c r="M196" t="str">
        <f t="shared" si="28"/>
        <v>SLEEPY BABY ORANGE AL.FREE W 120 BAG</v>
      </c>
      <c r="N196" s="29" t="str">
        <f t="shared" si="29"/>
        <v xml:space="preserve"> ErusHealth Products</v>
      </c>
      <c r="O196" t="str">
        <f t="shared" si="30"/>
        <v>SLEEPY ( ErusHealth Products)</v>
      </c>
      <c r="P196" t="str">
        <f t="shared" si="32"/>
        <v xml:space="preserve"> ErusHealth Products</v>
      </c>
      <c r="R196" t="str">
        <f t="shared" si="31"/>
        <v>SLEEPY ( ErusHealth Products)</v>
      </c>
      <c r="T196" t="s">
        <v>159</v>
      </c>
      <c r="U196" t="str">
        <f t="shared" si="33"/>
        <v>BAGS</v>
      </c>
      <c r="V196" t="str">
        <f t="shared" si="34"/>
        <v>ALCOHOL FREE</v>
      </c>
      <c r="W196" t="str">
        <f t="shared" si="35"/>
        <v>120</v>
      </c>
      <c r="X196" s="27">
        <f t="shared" si="36"/>
        <v>0</v>
      </c>
      <c r="Y196" s="27">
        <f t="shared" si="37"/>
        <v>24.999500000000001</v>
      </c>
      <c r="Z196" s="27">
        <f t="shared" si="38"/>
        <v>5.0659999999999998</v>
      </c>
      <c r="AA196" s="27">
        <f t="shared" si="39"/>
        <v>0</v>
      </c>
      <c r="AB196" s="27">
        <f t="shared" si="40"/>
        <v>1534.4268</v>
      </c>
      <c r="AC196" s="27">
        <f t="shared" si="41"/>
        <v>349.95659999999998</v>
      </c>
    </row>
    <row r="197" spans="1:29" ht="15" customHeight="1" x14ac:dyDescent="0.3">
      <c r="A197" s="22" t="s">
        <v>161</v>
      </c>
      <c r="B197" s="23" t="s">
        <v>8</v>
      </c>
      <c r="C197" s="23" t="s">
        <v>9</v>
      </c>
      <c r="D197" s="24" t="s">
        <v>30</v>
      </c>
      <c r="E197" s="24" t="s">
        <v>24</v>
      </c>
      <c r="F197" s="18"/>
      <c r="G197" s="19">
        <v>18.822399999999998</v>
      </c>
      <c r="H197" s="20">
        <v>7.1738</v>
      </c>
      <c r="I197" s="21"/>
      <c r="J197" s="20">
        <v>1176.8929000000001</v>
      </c>
      <c r="K197" s="20">
        <v>487.85019999999997</v>
      </c>
      <c r="M197" t="str">
        <f t="shared" ref="M197:M260" si="42">IF(B196="ITEM",A196,"")</f>
        <v>SLEEPY BABY PH5.5 120 W BAG KAPAK</v>
      </c>
      <c r="N197" s="29" t="str">
        <f t="shared" si="29"/>
        <v xml:space="preserve"> ErusHealth Products</v>
      </c>
      <c r="O197" t="str">
        <f t="shared" si="30"/>
        <v>SLEEPY ( ErusHealth Products)</v>
      </c>
      <c r="P197" t="str">
        <f t="shared" si="32"/>
        <v xml:space="preserve"> ErusHealth Products</v>
      </c>
      <c r="R197" t="str">
        <f t="shared" si="31"/>
        <v>SLEEPY ( ErusHealth Products)</v>
      </c>
      <c r="T197" t="s">
        <v>160</v>
      </c>
      <c r="U197" t="str">
        <f t="shared" si="33"/>
        <v>BAGS</v>
      </c>
      <c r="V197" t="str">
        <f t="shared" si="34"/>
        <v>PH BALANCED</v>
      </c>
      <c r="W197" t="str">
        <f t="shared" si="35"/>
        <v>120</v>
      </c>
      <c r="X197" s="27">
        <f t="shared" si="36"/>
        <v>25.1</v>
      </c>
      <c r="Y197" s="27">
        <f t="shared" si="37"/>
        <v>61.22</v>
      </c>
      <c r="Z197" s="27">
        <f t="shared" si="38"/>
        <v>8.9021000000000008</v>
      </c>
      <c r="AA197" s="27">
        <f t="shared" si="39"/>
        <v>1136.2986000000001</v>
      </c>
      <c r="AB197" s="27">
        <f t="shared" si="40"/>
        <v>3402.5661</v>
      </c>
      <c r="AC197" s="27">
        <f t="shared" si="41"/>
        <v>613.3809</v>
      </c>
    </row>
    <row r="198" spans="1:29" ht="15" customHeight="1" x14ac:dyDescent="0.3">
      <c r="A198" s="22" t="s">
        <v>162</v>
      </c>
      <c r="B198" s="23" t="s">
        <v>8</v>
      </c>
      <c r="C198" s="23" t="s">
        <v>9</v>
      </c>
      <c r="D198" s="24" t="s">
        <v>20</v>
      </c>
      <c r="E198" s="24" t="s">
        <v>26</v>
      </c>
      <c r="F198" s="18">
        <v>1.24</v>
      </c>
      <c r="G198" s="19">
        <v>2.9891000000000001</v>
      </c>
      <c r="H198" s="20">
        <v>0.81240000000000001</v>
      </c>
      <c r="I198" s="21">
        <v>69.486800000000002</v>
      </c>
      <c r="J198" s="20">
        <v>154.24979999999999</v>
      </c>
      <c r="K198" s="20">
        <v>41.637500000000003</v>
      </c>
      <c r="M198" t="str">
        <f t="shared" si="42"/>
        <v>SLEEPY STRAWBERRY BABY AL.FREE 120 W BAG</v>
      </c>
      <c r="N198" s="29" t="str">
        <f t="shared" si="29"/>
        <v xml:space="preserve"> ErusHealth Products</v>
      </c>
      <c r="O198" t="str">
        <f t="shared" si="30"/>
        <v>SLEEPY ( ErusHealth Products)</v>
      </c>
      <c r="P198" t="str">
        <f t="shared" si="32"/>
        <v xml:space="preserve"> ErusHealth Products</v>
      </c>
      <c r="R198" t="str">
        <f t="shared" si="31"/>
        <v>SLEEPY ( ErusHealth Products)</v>
      </c>
      <c r="T198" t="s">
        <v>161</v>
      </c>
      <c r="U198" t="str">
        <f t="shared" si="33"/>
        <v>BAGS</v>
      </c>
      <c r="V198" t="str">
        <f t="shared" si="34"/>
        <v>ALCOHOL FREE</v>
      </c>
      <c r="W198" t="str">
        <f t="shared" si="35"/>
        <v>120</v>
      </c>
      <c r="X198" s="27">
        <f t="shared" si="36"/>
        <v>0</v>
      </c>
      <c r="Y198" s="27">
        <f t="shared" si="37"/>
        <v>18.822399999999998</v>
      </c>
      <c r="Z198" s="27">
        <f t="shared" si="38"/>
        <v>7.1738</v>
      </c>
      <c r="AA198" s="27">
        <f t="shared" si="39"/>
        <v>0</v>
      </c>
      <c r="AB198" s="27">
        <f t="shared" si="40"/>
        <v>1176.8929000000001</v>
      </c>
      <c r="AC198" s="27">
        <f t="shared" si="41"/>
        <v>487.85019999999997</v>
      </c>
    </row>
    <row r="199" spans="1:29" ht="15" customHeight="1" x14ac:dyDescent="0.3">
      <c r="A199" s="22" t="s">
        <v>163</v>
      </c>
      <c r="B199" s="23" t="s">
        <v>8</v>
      </c>
      <c r="C199" s="23" t="s">
        <v>9</v>
      </c>
      <c r="D199" s="24" t="s">
        <v>20</v>
      </c>
      <c r="E199" s="24" t="s">
        <v>103</v>
      </c>
      <c r="F199" s="18">
        <v>1.1599999999999999</v>
      </c>
      <c r="G199" s="19">
        <v>1.8923000000000001</v>
      </c>
      <c r="H199" s="20"/>
      <c r="I199" s="21">
        <v>44.862200000000001</v>
      </c>
      <c r="J199" s="20">
        <v>87.694800000000001</v>
      </c>
      <c r="K199" s="20"/>
      <c r="M199" t="str">
        <f t="shared" si="42"/>
        <v>SLEEPY BABY MIXED FRUIT PH5.5 15 W BAG</v>
      </c>
      <c r="N199" s="29" t="str">
        <f t="shared" ref="N199:N262" si="43">IF(B196="MANUFACTURER",A196,N198)</f>
        <v xml:space="preserve"> ErusHealth Products</v>
      </c>
      <c r="O199" t="str">
        <f t="shared" ref="O199:O262" si="44">IF(B197="BRAND",A197,O198)</f>
        <v>SLEEPY ( ErusHealth Products)</v>
      </c>
      <c r="P199" t="str">
        <f t="shared" si="32"/>
        <v xml:space="preserve"> ErusHealth Products</v>
      </c>
      <c r="R199" t="str">
        <f t="shared" ref="R199:R262" si="45">IF(B198="ITEM",O199,"")</f>
        <v>SLEEPY ( ErusHealth Products)</v>
      </c>
      <c r="T199" t="s">
        <v>162</v>
      </c>
      <c r="U199" t="str">
        <f t="shared" si="33"/>
        <v>BAGS</v>
      </c>
      <c r="V199" t="str">
        <f t="shared" si="34"/>
        <v>PH BALANCED</v>
      </c>
      <c r="W199" t="str">
        <f t="shared" si="35"/>
        <v>15</v>
      </c>
      <c r="X199" s="27">
        <f t="shared" si="36"/>
        <v>1.24</v>
      </c>
      <c r="Y199" s="27">
        <f t="shared" si="37"/>
        <v>2.9891000000000001</v>
      </c>
      <c r="Z199" s="27">
        <f t="shared" si="38"/>
        <v>0.81240000000000001</v>
      </c>
      <c r="AA199" s="27">
        <f t="shared" si="39"/>
        <v>69.486800000000002</v>
      </c>
      <c r="AB199" s="27">
        <f t="shared" si="40"/>
        <v>154.24979999999999</v>
      </c>
      <c r="AC199" s="27">
        <f t="shared" si="41"/>
        <v>41.637500000000003</v>
      </c>
    </row>
    <row r="200" spans="1:29" ht="15" customHeight="1" x14ac:dyDescent="0.3">
      <c r="A200" s="22" t="s">
        <v>820</v>
      </c>
      <c r="B200" s="23" t="s">
        <v>8</v>
      </c>
      <c r="C200" s="23" t="s">
        <v>9</v>
      </c>
      <c r="D200" s="24" t="s">
        <v>10</v>
      </c>
      <c r="E200" s="24" t="s">
        <v>68</v>
      </c>
      <c r="F200" s="18"/>
      <c r="G200" s="19">
        <v>14.477</v>
      </c>
      <c r="H200" s="20">
        <v>3.1046999999999998</v>
      </c>
      <c r="I200" s="21"/>
      <c r="J200" s="20">
        <v>762.29949999999997</v>
      </c>
      <c r="K200" s="20">
        <v>149.91970000000001</v>
      </c>
      <c r="M200" t="str">
        <f t="shared" si="42"/>
        <v>SLEEPY BABY PH5.5 70 W BAG</v>
      </c>
      <c r="N200" s="29" t="str">
        <f t="shared" si="43"/>
        <v xml:space="preserve"> ErusHealth Products</v>
      </c>
      <c r="O200" t="str">
        <f t="shared" si="44"/>
        <v>SLEEPY ( ErusHealth Products)</v>
      </c>
      <c r="P200" t="str">
        <f t="shared" ref="P200:P263" si="46">IF(B199="ITEM",N200,"")</f>
        <v xml:space="preserve"> ErusHealth Products</v>
      </c>
      <c r="R200" t="str">
        <f t="shared" si="45"/>
        <v>SLEEPY ( ErusHealth Products)</v>
      </c>
      <c r="T200" t="s">
        <v>163</v>
      </c>
      <c r="U200" t="str">
        <f t="shared" ref="U200:U263" si="47">IF(B199="ITEM",C199,"")</f>
        <v>BAGS</v>
      </c>
      <c r="V200" t="str">
        <f t="shared" ref="V200:V263" si="48">IF(B199="ITEM",D199,"")</f>
        <v>PH BALANCED</v>
      </c>
      <c r="W200" t="str">
        <f t="shared" ref="W200:W263" si="49">IF(B199="ITEM",E199,"")</f>
        <v>70</v>
      </c>
      <c r="X200" s="27">
        <f t="shared" ref="X200:X263" si="50">IF(B199 = "ITEM",F199,"")</f>
        <v>1.1599999999999999</v>
      </c>
      <c r="Y200" s="27">
        <f t="shared" ref="Y200:Y263" si="51">IF(B199="ITEM",G199,"")</f>
        <v>1.8923000000000001</v>
      </c>
      <c r="Z200" s="27">
        <f t="shared" ref="Z200:Z263" si="52">IF(B199="ITEM",H199,"")</f>
        <v>0</v>
      </c>
      <c r="AA200" s="27">
        <f t="shared" ref="AA200:AA263" si="53">IF(B199="ITEM",I199,"")</f>
        <v>44.862200000000001</v>
      </c>
      <c r="AB200" s="27">
        <f t="shared" ref="AB200:AB263" si="54">IF(B199="ITEM",J199,"")</f>
        <v>87.694800000000001</v>
      </c>
      <c r="AC200" s="27">
        <f t="shared" ref="AC200:AC263" si="55">IF(B199="ITEM",K199,"")</f>
        <v>0</v>
      </c>
    </row>
    <row r="201" spans="1:29" ht="15" customHeight="1" x14ac:dyDescent="0.3">
      <c r="A201" s="14" t="s">
        <v>164</v>
      </c>
      <c r="B201" s="15" t="s">
        <v>6</v>
      </c>
      <c r="C201" s="16"/>
      <c r="D201" s="17"/>
      <c r="E201" s="17"/>
      <c r="F201" s="18">
        <v>0.25940000000000002</v>
      </c>
      <c r="G201" s="19">
        <v>52.957299999999996</v>
      </c>
      <c r="H201" s="20">
        <v>23.471399999999999</v>
      </c>
      <c r="I201" s="21">
        <v>15.5664</v>
      </c>
      <c r="J201" s="20">
        <v>2545.1428999999998</v>
      </c>
      <c r="K201" s="20">
        <v>1037.0354</v>
      </c>
      <c r="M201" t="str">
        <f t="shared" si="42"/>
        <v>SLEEPY  FreshClean 90 W BAG KAPAK</v>
      </c>
      <c r="N201" s="29" t="str">
        <f t="shared" si="43"/>
        <v xml:space="preserve"> ErusHealth Products</v>
      </c>
      <c r="O201" t="str">
        <f t="shared" si="44"/>
        <v>SLEEPY ( ErusHealth Products)</v>
      </c>
      <c r="P201" t="str">
        <f t="shared" si="46"/>
        <v xml:space="preserve"> ErusHealth Products</v>
      </c>
      <c r="R201" t="str">
        <f t="shared" si="45"/>
        <v>SLEEPY ( ErusHealth Products)</v>
      </c>
      <c r="T201" t="s">
        <v>820</v>
      </c>
      <c r="U201" t="str">
        <f t="shared" si="47"/>
        <v>BAGS</v>
      </c>
      <c r="V201" t="str">
        <f t="shared" si="48"/>
        <v>WITHOUT EXTRA PROTECTCARE INDICATION</v>
      </c>
      <c r="W201" t="str">
        <f t="shared" si="49"/>
        <v>90</v>
      </c>
      <c r="X201" s="27">
        <f t="shared" si="50"/>
        <v>0</v>
      </c>
      <c r="Y201" s="27">
        <f t="shared" si="51"/>
        <v>14.477</v>
      </c>
      <c r="Z201" s="27">
        <f t="shared" si="52"/>
        <v>3.1046999999999998</v>
      </c>
      <c r="AA201" s="27">
        <f t="shared" si="53"/>
        <v>0</v>
      </c>
      <c r="AB201" s="27">
        <f t="shared" si="54"/>
        <v>762.29949999999997</v>
      </c>
      <c r="AC201" s="27">
        <f t="shared" si="55"/>
        <v>149.91970000000001</v>
      </c>
    </row>
    <row r="202" spans="1:29" ht="15" customHeight="1" x14ac:dyDescent="0.3">
      <c r="A202" s="22" t="s">
        <v>165</v>
      </c>
      <c r="B202" s="23" t="s">
        <v>8</v>
      </c>
      <c r="C202" s="23" t="s">
        <v>9</v>
      </c>
      <c r="D202" s="24" t="s">
        <v>30</v>
      </c>
      <c r="E202" s="24" t="s">
        <v>24</v>
      </c>
      <c r="F202" s="18">
        <v>0.25940000000000002</v>
      </c>
      <c r="G202" s="19">
        <v>47.287300000000002</v>
      </c>
      <c r="H202" s="20">
        <v>13.3363</v>
      </c>
      <c r="I202" s="21">
        <v>15.5664</v>
      </c>
      <c r="J202" s="20">
        <v>2338.1842000000001</v>
      </c>
      <c r="K202" s="20">
        <v>671.9117</v>
      </c>
      <c r="M202" t="str">
        <f t="shared" si="42"/>
        <v/>
      </c>
      <c r="N202" s="29" t="str">
        <f t="shared" si="43"/>
        <v xml:space="preserve"> ErusHealth Products</v>
      </c>
      <c r="O202" t="str">
        <f t="shared" si="44"/>
        <v>SLEEPY ( ErusHealth Products)</v>
      </c>
      <c r="P202" t="str">
        <f t="shared" si="46"/>
        <v/>
      </c>
      <c r="R202" t="str">
        <f t="shared" si="45"/>
        <v/>
      </c>
      <c r="T202" t="s">
        <v>871</v>
      </c>
      <c r="U202" t="str">
        <f t="shared" si="47"/>
        <v/>
      </c>
      <c r="V202" t="str">
        <f t="shared" si="48"/>
        <v/>
      </c>
      <c r="W202" t="str">
        <f t="shared" si="49"/>
        <v/>
      </c>
      <c r="X202" s="27" t="str">
        <f t="shared" si="50"/>
        <v/>
      </c>
      <c r="Y202" s="27" t="str">
        <f t="shared" si="51"/>
        <v/>
      </c>
      <c r="Z202" s="27" t="str">
        <f t="shared" si="52"/>
        <v/>
      </c>
      <c r="AA202" s="27" t="str">
        <f t="shared" si="53"/>
        <v/>
      </c>
      <c r="AB202" s="27" t="str">
        <f t="shared" si="54"/>
        <v/>
      </c>
      <c r="AC202" s="27" t="str">
        <f t="shared" si="55"/>
        <v/>
      </c>
    </row>
    <row r="203" spans="1:29" ht="15" customHeight="1" x14ac:dyDescent="0.3">
      <c r="A203" s="22" t="s">
        <v>166</v>
      </c>
      <c r="B203" s="23" t="s">
        <v>8</v>
      </c>
      <c r="C203" s="23" t="s">
        <v>9</v>
      </c>
      <c r="D203" s="24" t="s">
        <v>30</v>
      </c>
      <c r="E203" s="24" t="s">
        <v>26</v>
      </c>
      <c r="F203" s="18"/>
      <c r="G203" s="19">
        <v>5.6702000000000004</v>
      </c>
      <c r="H203" s="20">
        <v>10.135199999999999</v>
      </c>
      <c r="I203" s="21"/>
      <c r="J203" s="20">
        <v>206.95869999999999</v>
      </c>
      <c r="K203" s="20">
        <v>365.12360000000001</v>
      </c>
      <c r="M203" t="str">
        <f t="shared" si="42"/>
        <v>YESS BABY ALC.FREE W 120 BAG</v>
      </c>
      <c r="N203" s="29" t="str">
        <f t="shared" si="43"/>
        <v xml:space="preserve"> ErusHealth Products</v>
      </c>
      <c r="O203" t="str">
        <f t="shared" si="44"/>
        <v>YESS BABY (ERUSLU)</v>
      </c>
      <c r="P203" t="str">
        <f t="shared" si="46"/>
        <v xml:space="preserve"> ErusHealth Products</v>
      </c>
      <c r="R203" t="str">
        <f t="shared" si="45"/>
        <v>YESS BABY (ERUSLU)</v>
      </c>
      <c r="T203" t="s">
        <v>165</v>
      </c>
      <c r="U203" t="str">
        <f t="shared" si="47"/>
        <v>BAGS</v>
      </c>
      <c r="V203" t="str">
        <f t="shared" si="48"/>
        <v>ALCOHOL FREE</v>
      </c>
      <c r="W203" t="str">
        <f t="shared" si="49"/>
        <v>120</v>
      </c>
      <c r="X203" s="27">
        <f t="shared" si="50"/>
        <v>0.25940000000000002</v>
      </c>
      <c r="Y203" s="27">
        <f t="shared" si="51"/>
        <v>47.287300000000002</v>
      </c>
      <c r="Z203" s="27">
        <f t="shared" si="52"/>
        <v>13.3363</v>
      </c>
      <c r="AA203" s="27">
        <f t="shared" si="53"/>
        <v>15.5664</v>
      </c>
      <c r="AB203" s="27">
        <f t="shared" si="54"/>
        <v>2338.1842000000001</v>
      </c>
      <c r="AC203" s="27">
        <f t="shared" si="55"/>
        <v>671.9117</v>
      </c>
    </row>
    <row r="204" spans="1:29" ht="14.25" customHeight="1" x14ac:dyDescent="0.3">
      <c r="A204" s="25" t="s">
        <v>739</v>
      </c>
      <c r="B204" s="4" t="s">
        <v>5</v>
      </c>
      <c r="C204" s="4"/>
      <c r="D204" s="5"/>
      <c r="E204" s="5"/>
      <c r="F204" s="10"/>
      <c r="G204" s="11">
        <v>170.6652</v>
      </c>
      <c r="H204" s="12">
        <v>101.533</v>
      </c>
      <c r="I204" s="13"/>
      <c r="J204" s="12">
        <v>10947.355799999999</v>
      </c>
      <c r="K204" s="12">
        <v>5713.8589000000002</v>
      </c>
      <c r="M204" t="str">
        <f t="shared" si="42"/>
        <v>YESS BABY ALC.FREE W 15 BAG</v>
      </c>
      <c r="N204" s="29" t="str">
        <f t="shared" si="43"/>
        <v xml:space="preserve"> ErusHealth Products</v>
      </c>
      <c r="O204" t="str">
        <f t="shared" si="44"/>
        <v>YESS BABY (ERUSLU)</v>
      </c>
      <c r="P204" t="str">
        <f t="shared" si="46"/>
        <v xml:space="preserve"> ErusHealth Products</v>
      </c>
      <c r="R204" t="str">
        <f t="shared" si="45"/>
        <v>YESS BABY (ERUSLU)</v>
      </c>
      <c r="T204" t="s">
        <v>166</v>
      </c>
      <c r="U204" t="str">
        <f t="shared" si="47"/>
        <v>BAGS</v>
      </c>
      <c r="V204" t="str">
        <f t="shared" si="48"/>
        <v>ALCOHOL FREE</v>
      </c>
      <c r="W204" t="str">
        <f t="shared" si="49"/>
        <v>15</v>
      </c>
      <c r="X204" s="27">
        <f t="shared" si="50"/>
        <v>0</v>
      </c>
      <c r="Y204" s="27">
        <f t="shared" si="51"/>
        <v>5.6702000000000004</v>
      </c>
      <c r="Z204" s="27">
        <f t="shared" si="52"/>
        <v>10.135199999999999</v>
      </c>
      <c r="AA204" s="27">
        <f t="shared" si="53"/>
        <v>0</v>
      </c>
      <c r="AB204" s="27">
        <f t="shared" si="54"/>
        <v>206.95869999999999</v>
      </c>
      <c r="AC204" s="27">
        <f t="shared" si="55"/>
        <v>365.12360000000001</v>
      </c>
    </row>
    <row r="205" spans="1:29" ht="15" customHeight="1" x14ac:dyDescent="0.3">
      <c r="A205" s="14" t="s">
        <v>868</v>
      </c>
      <c r="B205" s="15" t="s">
        <v>6</v>
      </c>
      <c r="C205" s="16"/>
      <c r="D205" s="17"/>
      <c r="E205" s="17"/>
      <c r="F205" s="18"/>
      <c r="G205" s="19">
        <v>170.6652</v>
      </c>
      <c r="H205" s="20">
        <v>101.533</v>
      </c>
      <c r="I205" s="21"/>
      <c r="J205" s="20">
        <v>10947.355799999999</v>
      </c>
      <c r="K205" s="20">
        <v>5713.8589000000002</v>
      </c>
      <c r="M205" t="str">
        <f t="shared" si="42"/>
        <v/>
      </c>
      <c r="N205" s="29" t="str">
        <f t="shared" si="43"/>
        <v xml:space="preserve"> ErusHealth Products</v>
      </c>
      <c r="O205" t="str">
        <f t="shared" si="44"/>
        <v>YESS BABY (ERUSLU)</v>
      </c>
      <c r="P205" t="str">
        <f t="shared" si="46"/>
        <v/>
      </c>
      <c r="R205" t="str">
        <f t="shared" si="45"/>
        <v/>
      </c>
      <c r="T205" t="s">
        <v>871</v>
      </c>
      <c r="U205" t="str">
        <f t="shared" si="47"/>
        <v/>
      </c>
      <c r="V205" t="str">
        <f t="shared" si="48"/>
        <v/>
      </c>
      <c r="W205" t="str">
        <f t="shared" si="49"/>
        <v/>
      </c>
      <c r="X205" s="27" t="str">
        <f t="shared" si="50"/>
        <v/>
      </c>
      <c r="Y205" s="27" t="str">
        <f t="shared" si="51"/>
        <v/>
      </c>
      <c r="Z205" s="27" t="str">
        <f t="shared" si="52"/>
        <v/>
      </c>
      <c r="AA205" s="27" t="str">
        <f t="shared" si="53"/>
        <v/>
      </c>
      <c r="AB205" s="27" t="str">
        <f t="shared" si="54"/>
        <v/>
      </c>
      <c r="AC205" s="27" t="str">
        <f t="shared" si="55"/>
        <v/>
      </c>
    </row>
    <row r="206" spans="1:29" ht="15" customHeight="1" x14ac:dyDescent="0.3">
      <c r="A206" s="22" t="s">
        <v>167</v>
      </c>
      <c r="B206" s="23" t="s">
        <v>8</v>
      </c>
      <c r="C206" s="23" t="s">
        <v>9</v>
      </c>
      <c r="D206" s="24" t="s">
        <v>64</v>
      </c>
      <c r="E206" s="24" t="s">
        <v>24</v>
      </c>
      <c r="F206" s="18"/>
      <c r="G206" s="19">
        <v>82.250100000000003</v>
      </c>
      <c r="H206" s="20">
        <v>55.842500000000001</v>
      </c>
      <c r="I206" s="21"/>
      <c r="J206" s="20">
        <v>5284.8972000000003</v>
      </c>
      <c r="K206" s="20">
        <v>3137.2123999999999</v>
      </c>
      <c r="M206" t="str">
        <f t="shared" si="42"/>
        <v/>
      </c>
      <c r="N206" s="29" t="str">
        <f t="shared" si="43"/>
        <v xml:space="preserve"> ErusHealth Products</v>
      </c>
      <c r="O206" t="str">
        <f t="shared" si="44"/>
        <v>YESS BABY (ERUSLU)</v>
      </c>
      <c r="P206" t="str">
        <f t="shared" si="46"/>
        <v/>
      </c>
      <c r="R206" t="str">
        <f t="shared" si="45"/>
        <v/>
      </c>
      <c r="T206" t="s">
        <v>871</v>
      </c>
      <c r="U206" t="str">
        <f t="shared" si="47"/>
        <v/>
      </c>
      <c r="V206" t="str">
        <f t="shared" si="48"/>
        <v/>
      </c>
      <c r="W206" t="str">
        <f t="shared" si="49"/>
        <v/>
      </c>
      <c r="X206" s="27" t="str">
        <f t="shared" si="50"/>
        <v/>
      </c>
      <c r="Y206" s="27" t="str">
        <f t="shared" si="51"/>
        <v/>
      </c>
      <c r="Z206" s="27" t="str">
        <f t="shared" si="52"/>
        <v/>
      </c>
      <c r="AA206" s="27" t="str">
        <f t="shared" si="53"/>
        <v/>
      </c>
      <c r="AB206" s="27" t="str">
        <f t="shared" si="54"/>
        <v/>
      </c>
      <c r="AC206" s="27" t="str">
        <f t="shared" si="55"/>
        <v/>
      </c>
    </row>
    <row r="207" spans="1:29" ht="15" customHeight="1" x14ac:dyDescent="0.3">
      <c r="A207" s="22" t="s">
        <v>168</v>
      </c>
      <c r="B207" s="23" t="s">
        <v>8</v>
      </c>
      <c r="C207" s="23" t="s">
        <v>9</v>
      </c>
      <c r="D207" s="24" t="s">
        <v>64</v>
      </c>
      <c r="E207" s="24" t="s">
        <v>24</v>
      </c>
      <c r="F207" s="18"/>
      <c r="G207" s="19">
        <v>88.414900000000003</v>
      </c>
      <c r="H207" s="20">
        <v>45.6905</v>
      </c>
      <c r="I207" s="21"/>
      <c r="J207" s="20">
        <v>5662.4585999999999</v>
      </c>
      <c r="K207" s="20">
        <v>2576.6464000000001</v>
      </c>
      <c r="M207" t="str">
        <f t="shared" si="42"/>
        <v>ELAN SENS.CREAM LOTION W 120 BAG ZELENI</v>
      </c>
      <c r="N207" s="29" t="str">
        <f t="shared" si="43"/>
        <v xml:space="preserve"> Esburg Health</v>
      </c>
      <c r="O207" t="str">
        <f t="shared" si="44"/>
        <v>ELAN (Esburg Health)</v>
      </c>
      <c r="P207" t="str">
        <f t="shared" si="46"/>
        <v xml:space="preserve"> Esburg Health</v>
      </c>
      <c r="R207" t="str">
        <f t="shared" si="45"/>
        <v>ELAN (Esburg Health)</v>
      </c>
      <c r="T207" t="s">
        <v>167</v>
      </c>
      <c r="U207" t="str">
        <f t="shared" si="47"/>
        <v>BAGS</v>
      </c>
      <c r="V207" t="str">
        <f t="shared" si="48"/>
        <v>SENSITIVE</v>
      </c>
      <c r="W207" t="str">
        <f t="shared" si="49"/>
        <v>120</v>
      </c>
      <c r="X207" s="27">
        <f t="shared" si="50"/>
        <v>0</v>
      </c>
      <c r="Y207" s="27">
        <f t="shared" si="51"/>
        <v>82.250100000000003</v>
      </c>
      <c r="Z207" s="27">
        <f t="shared" si="52"/>
        <v>55.842500000000001</v>
      </c>
      <c r="AA207" s="27">
        <f t="shared" si="53"/>
        <v>0</v>
      </c>
      <c r="AB207" s="27">
        <f t="shared" si="54"/>
        <v>5284.8972000000003</v>
      </c>
      <c r="AC207" s="27">
        <f t="shared" si="55"/>
        <v>3137.2123999999999</v>
      </c>
    </row>
    <row r="208" spans="1:29" ht="14.25" customHeight="1" x14ac:dyDescent="0.3">
      <c r="A208" s="25" t="s">
        <v>740</v>
      </c>
      <c r="B208" s="4" t="s">
        <v>5</v>
      </c>
      <c r="C208" s="4"/>
      <c r="D208" s="5"/>
      <c r="E208" s="5"/>
      <c r="F208" s="10">
        <v>0.24010000000000001</v>
      </c>
      <c r="G208" s="11"/>
      <c r="H208" s="12"/>
      <c r="I208" s="13">
        <v>10.8056</v>
      </c>
      <c r="J208" s="12"/>
      <c r="K208" s="12"/>
      <c r="M208" t="str">
        <f t="shared" si="42"/>
        <v>LAN SENS.CREAM LOTION 120 BAG LILAVI</v>
      </c>
      <c r="N208" s="29" t="str">
        <f t="shared" si="43"/>
        <v xml:space="preserve"> Esburg Health</v>
      </c>
      <c r="O208" t="str">
        <f t="shared" si="44"/>
        <v>ELAN (Esburg Health)</v>
      </c>
      <c r="P208" t="str">
        <f t="shared" si="46"/>
        <v xml:space="preserve"> Esburg Health</v>
      </c>
      <c r="R208" t="str">
        <f t="shared" si="45"/>
        <v>ELAN (Esburg Health)</v>
      </c>
      <c r="T208" t="s">
        <v>168</v>
      </c>
      <c r="U208" t="str">
        <f t="shared" si="47"/>
        <v>BAGS</v>
      </c>
      <c r="V208" t="str">
        <f t="shared" si="48"/>
        <v>SENSITIVE</v>
      </c>
      <c r="W208" t="str">
        <f t="shared" si="49"/>
        <v>120</v>
      </c>
      <c r="X208" s="27">
        <f t="shared" si="50"/>
        <v>0</v>
      </c>
      <c r="Y208" s="27">
        <f t="shared" si="51"/>
        <v>88.414900000000003</v>
      </c>
      <c r="Z208" s="27">
        <f t="shared" si="52"/>
        <v>45.6905</v>
      </c>
      <c r="AA208" s="27">
        <f t="shared" si="53"/>
        <v>0</v>
      </c>
      <c r="AB208" s="27">
        <f t="shared" si="54"/>
        <v>5662.4585999999999</v>
      </c>
      <c r="AC208" s="27">
        <f t="shared" si="55"/>
        <v>2576.6464000000001</v>
      </c>
    </row>
    <row r="209" spans="1:29" ht="15" customHeight="1" x14ac:dyDescent="0.3">
      <c r="A209" s="14" t="s">
        <v>869</v>
      </c>
      <c r="B209" s="15" t="s">
        <v>6</v>
      </c>
      <c r="C209" s="16"/>
      <c r="D209" s="17"/>
      <c r="E209" s="17"/>
      <c r="F209" s="18">
        <v>0.24010000000000001</v>
      </c>
      <c r="G209" s="19"/>
      <c r="H209" s="20"/>
      <c r="I209" s="21">
        <v>10.8056</v>
      </c>
      <c r="J209" s="20"/>
      <c r="K209" s="20"/>
      <c r="M209" t="str">
        <f t="shared" si="42"/>
        <v/>
      </c>
      <c r="N209" s="29" t="str">
        <f t="shared" si="43"/>
        <v xml:space="preserve"> Esburg Health</v>
      </c>
      <c r="O209" t="str">
        <f t="shared" si="44"/>
        <v>ELAN (Esburg Health)</v>
      </c>
      <c r="P209" t="str">
        <f t="shared" si="46"/>
        <v/>
      </c>
      <c r="R209" t="str">
        <f t="shared" si="45"/>
        <v/>
      </c>
      <c r="T209" t="s">
        <v>871</v>
      </c>
      <c r="U209" t="str">
        <f t="shared" si="47"/>
        <v/>
      </c>
      <c r="V209" t="str">
        <f t="shared" si="48"/>
        <v/>
      </c>
      <c r="W209" t="str">
        <f t="shared" si="49"/>
        <v/>
      </c>
      <c r="X209" s="27" t="str">
        <f t="shared" si="50"/>
        <v/>
      </c>
      <c r="Y209" s="27" t="str">
        <f t="shared" si="51"/>
        <v/>
      </c>
      <c r="Z209" s="27" t="str">
        <f t="shared" si="52"/>
        <v/>
      </c>
      <c r="AA209" s="27" t="str">
        <f t="shared" si="53"/>
        <v/>
      </c>
      <c r="AB209" s="27" t="str">
        <f t="shared" si="54"/>
        <v/>
      </c>
      <c r="AC209" s="27" t="str">
        <f t="shared" si="55"/>
        <v/>
      </c>
    </row>
    <row r="210" spans="1:29" ht="15" customHeight="1" x14ac:dyDescent="0.3">
      <c r="A210" s="22" t="s">
        <v>169</v>
      </c>
      <c r="B210" s="23" t="s">
        <v>8</v>
      </c>
      <c r="C210" s="23" t="s">
        <v>9</v>
      </c>
      <c r="D210" s="24" t="s">
        <v>20</v>
      </c>
      <c r="E210" s="24" t="s">
        <v>42</v>
      </c>
      <c r="F210" s="18">
        <v>0.24010000000000001</v>
      </c>
      <c r="G210" s="19"/>
      <c r="H210" s="20"/>
      <c r="I210" s="21">
        <v>10.8056</v>
      </c>
      <c r="J210" s="20"/>
      <c r="K210" s="20"/>
      <c r="M210" t="str">
        <f t="shared" si="42"/>
        <v/>
      </c>
      <c r="N210" s="29" t="str">
        <f t="shared" si="43"/>
        <v xml:space="preserve"> Esburg Health</v>
      </c>
      <c r="O210" t="str">
        <f t="shared" si="44"/>
        <v>ELAN (Esburg Health)</v>
      </c>
      <c r="P210" t="str">
        <f t="shared" si="46"/>
        <v/>
      </c>
      <c r="R210" t="str">
        <f t="shared" si="45"/>
        <v/>
      </c>
      <c r="T210" t="s">
        <v>871</v>
      </c>
      <c r="U210" t="str">
        <f t="shared" si="47"/>
        <v/>
      </c>
      <c r="V210" t="str">
        <f t="shared" si="48"/>
        <v/>
      </c>
      <c r="W210" t="str">
        <f t="shared" si="49"/>
        <v/>
      </c>
      <c r="X210" s="27" t="str">
        <f t="shared" si="50"/>
        <v/>
      </c>
      <c r="Y210" s="27" t="str">
        <f t="shared" si="51"/>
        <v/>
      </c>
      <c r="Z210" s="27" t="str">
        <f t="shared" si="52"/>
        <v/>
      </c>
      <c r="AA210" s="27" t="str">
        <f t="shared" si="53"/>
        <v/>
      </c>
      <c r="AB210" s="27" t="str">
        <f t="shared" si="54"/>
        <v/>
      </c>
      <c r="AC210" s="27" t="str">
        <f t="shared" si="55"/>
        <v/>
      </c>
    </row>
    <row r="211" spans="1:29" ht="14.25" customHeight="1" x14ac:dyDescent="0.3">
      <c r="A211" s="25" t="s">
        <v>741</v>
      </c>
      <c r="B211" s="4" t="s">
        <v>5</v>
      </c>
      <c r="C211" s="4"/>
      <c r="D211" s="5"/>
      <c r="E211" s="5"/>
      <c r="F211" s="10">
        <v>8.6900999999999993</v>
      </c>
      <c r="G211" s="11">
        <v>1.1979</v>
      </c>
      <c r="H211" s="12">
        <v>0.1404</v>
      </c>
      <c r="I211" s="13">
        <v>161.07130000000001</v>
      </c>
      <c r="J211" s="12">
        <v>29.083500000000001</v>
      </c>
      <c r="K211" s="12">
        <v>1.4401999999999999</v>
      </c>
      <c r="M211" t="str">
        <f t="shared" si="42"/>
        <v>SETABLU OAT EXTRACT PH5.5 W 72 BAG KAPAK</v>
      </c>
      <c r="N211" s="29" t="str">
        <f t="shared" si="43"/>
        <v xml:space="preserve"> SCProducts</v>
      </c>
      <c r="O211" t="str">
        <f t="shared" si="44"/>
        <v>SETABLU (SCProducts)</v>
      </c>
      <c r="P211" t="str">
        <f t="shared" si="46"/>
        <v xml:space="preserve"> SCProducts</v>
      </c>
      <c r="R211" t="str">
        <f t="shared" si="45"/>
        <v>SETABLU (SCProducts)</v>
      </c>
      <c r="T211" t="s">
        <v>169</v>
      </c>
      <c r="U211" t="str">
        <f t="shared" si="47"/>
        <v>BAGS</v>
      </c>
      <c r="V211" t="str">
        <f t="shared" si="48"/>
        <v>PH BALANCED</v>
      </c>
      <c r="W211" t="str">
        <f t="shared" si="49"/>
        <v>72</v>
      </c>
      <c r="X211" s="27">
        <f t="shared" si="50"/>
        <v>0.24010000000000001</v>
      </c>
      <c r="Y211" s="27">
        <f t="shared" si="51"/>
        <v>0</v>
      </c>
      <c r="Z211" s="27">
        <f t="shared" si="52"/>
        <v>0</v>
      </c>
      <c r="AA211" s="27">
        <f t="shared" si="53"/>
        <v>10.8056</v>
      </c>
      <c r="AB211" s="27">
        <f t="shared" si="54"/>
        <v>0</v>
      </c>
      <c r="AC211" s="27">
        <f t="shared" si="55"/>
        <v>0</v>
      </c>
    </row>
    <row r="212" spans="1:29" ht="15" customHeight="1" x14ac:dyDescent="0.3">
      <c r="A212" s="14" t="s">
        <v>170</v>
      </c>
      <c r="B212" s="15" t="s">
        <v>6</v>
      </c>
      <c r="C212" s="16"/>
      <c r="D212" s="17"/>
      <c r="E212" s="17"/>
      <c r="F212" s="18">
        <v>8.6900999999999993</v>
      </c>
      <c r="G212" s="19">
        <v>1.1979</v>
      </c>
      <c r="H212" s="20">
        <v>0.1404</v>
      </c>
      <c r="I212" s="21">
        <v>161.07130000000001</v>
      </c>
      <c r="J212" s="20">
        <v>29.083500000000001</v>
      </c>
      <c r="K212" s="20">
        <v>1.4401999999999999</v>
      </c>
      <c r="M212" t="str">
        <f t="shared" si="42"/>
        <v/>
      </c>
      <c r="N212" s="29" t="str">
        <f t="shared" si="43"/>
        <v xml:space="preserve"> SCProducts</v>
      </c>
      <c r="O212" t="str">
        <f t="shared" si="44"/>
        <v>SETABLU (SCProducts)</v>
      </c>
      <c r="P212" t="str">
        <f t="shared" si="46"/>
        <v/>
      </c>
      <c r="R212" t="str">
        <f t="shared" si="45"/>
        <v/>
      </c>
      <c r="T212" t="s">
        <v>871</v>
      </c>
      <c r="U212" t="str">
        <f t="shared" si="47"/>
        <v/>
      </c>
      <c r="V212" t="str">
        <f t="shared" si="48"/>
        <v/>
      </c>
      <c r="W212" t="str">
        <f t="shared" si="49"/>
        <v/>
      </c>
      <c r="X212" s="27" t="str">
        <f t="shared" si="50"/>
        <v/>
      </c>
      <c r="Y212" s="27" t="str">
        <f t="shared" si="51"/>
        <v/>
      </c>
      <c r="Z212" s="27" t="str">
        <f t="shared" si="52"/>
        <v/>
      </c>
      <c r="AA212" s="27" t="str">
        <f t="shared" si="53"/>
        <v/>
      </c>
      <c r="AB212" s="27" t="str">
        <f t="shared" si="54"/>
        <v/>
      </c>
      <c r="AC212" s="27" t="str">
        <f t="shared" si="55"/>
        <v/>
      </c>
    </row>
    <row r="213" spans="1:29" ht="15" customHeight="1" x14ac:dyDescent="0.3">
      <c r="A213" s="22" t="s">
        <v>171</v>
      </c>
      <c r="B213" s="23" t="s">
        <v>8</v>
      </c>
      <c r="C213" s="23" t="s">
        <v>9</v>
      </c>
      <c r="D213" s="24" t="s">
        <v>30</v>
      </c>
      <c r="E213" s="24" t="s">
        <v>11</v>
      </c>
      <c r="F213" s="18">
        <v>8.8999999999999999E-3</v>
      </c>
      <c r="G213" s="19">
        <v>1.9E-3</v>
      </c>
      <c r="H213" s="20"/>
      <c r="I213" s="21">
        <v>0.1</v>
      </c>
      <c r="J213" s="20">
        <v>0.02</v>
      </c>
      <c r="K213" s="20"/>
      <c r="M213" t="str">
        <f t="shared" si="42"/>
        <v/>
      </c>
      <c r="N213" s="29" t="str">
        <f t="shared" si="43"/>
        <v xml:space="preserve"> SCProducts</v>
      </c>
      <c r="O213" t="str">
        <f t="shared" si="44"/>
        <v>SETABLU (SCProducts)</v>
      </c>
      <c r="P213" t="str">
        <f t="shared" si="46"/>
        <v/>
      </c>
      <c r="R213" t="str">
        <f t="shared" si="45"/>
        <v/>
      </c>
      <c r="T213" t="s">
        <v>871</v>
      </c>
      <c r="U213" t="str">
        <f t="shared" si="47"/>
        <v/>
      </c>
      <c r="V213" t="str">
        <f t="shared" si="48"/>
        <v/>
      </c>
      <c r="W213" t="str">
        <f t="shared" si="49"/>
        <v/>
      </c>
      <c r="X213" s="27" t="str">
        <f t="shared" si="50"/>
        <v/>
      </c>
      <c r="Y213" s="27" t="str">
        <f t="shared" si="51"/>
        <v/>
      </c>
      <c r="Z213" s="27" t="str">
        <f t="shared" si="52"/>
        <v/>
      </c>
      <c r="AA213" s="27" t="str">
        <f t="shared" si="53"/>
        <v/>
      </c>
      <c r="AB213" s="27" t="str">
        <f t="shared" si="54"/>
        <v/>
      </c>
      <c r="AC213" s="27" t="str">
        <f t="shared" si="55"/>
        <v/>
      </c>
    </row>
    <row r="214" spans="1:29" ht="15" customHeight="1" x14ac:dyDescent="0.3">
      <c r="A214" s="22" t="s">
        <v>172</v>
      </c>
      <c r="B214" s="23" t="s">
        <v>8</v>
      </c>
      <c r="C214" s="23" t="s">
        <v>9</v>
      </c>
      <c r="D214" s="24" t="s">
        <v>30</v>
      </c>
      <c r="E214" s="24" t="s">
        <v>11</v>
      </c>
      <c r="F214" s="18">
        <v>3.6436000000000002</v>
      </c>
      <c r="G214" s="19">
        <v>0.20610000000000001</v>
      </c>
      <c r="H214" s="20">
        <v>0.1404</v>
      </c>
      <c r="I214" s="21">
        <v>40.526699999999998</v>
      </c>
      <c r="J214" s="20">
        <v>2.1286999999999998</v>
      </c>
      <c r="K214" s="20">
        <v>1.4401999999999999</v>
      </c>
      <c r="M214" t="str">
        <f t="shared" si="42"/>
        <v>LIBERO ALOE ALC.FREE W 20 BAG</v>
      </c>
      <c r="N214" s="29" t="str">
        <f t="shared" si="43"/>
        <v xml:space="preserve"> EssentialsCo</v>
      </c>
      <c r="O214" t="str">
        <f t="shared" si="44"/>
        <v>LIBERO (ESSITY)</v>
      </c>
      <c r="P214" t="str">
        <f t="shared" si="46"/>
        <v xml:space="preserve"> EssentialsCo</v>
      </c>
      <c r="R214" t="str">
        <f t="shared" si="45"/>
        <v>LIBERO (ESSITY)</v>
      </c>
      <c r="T214" t="s">
        <v>171</v>
      </c>
      <c r="U214" t="str">
        <f t="shared" si="47"/>
        <v>BAGS</v>
      </c>
      <c r="V214" t="str">
        <f t="shared" si="48"/>
        <v>ALCOHOL FREE</v>
      </c>
      <c r="W214" t="str">
        <f t="shared" si="49"/>
        <v>20</v>
      </c>
      <c r="X214" s="27">
        <f t="shared" si="50"/>
        <v>8.8999999999999999E-3</v>
      </c>
      <c r="Y214" s="27">
        <f t="shared" si="51"/>
        <v>1.9E-3</v>
      </c>
      <c r="Z214" s="27">
        <f t="shared" si="52"/>
        <v>0</v>
      </c>
      <c r="AA214" s="27">
        <f t="shared" si="53"/>
        <v>0.1</v>
      </c>
      <c r="AB214" s="27">
        <f t="shared" si="54"/>
        <v>0.02</v>
      </c>
      <c r="AC214" s="27">
        <f t="shared" si="55"/>
        <v>0</v>
      </c>
    </row>
    <row r="215" spans="1:29" ht="15" customHeight="1" x14ac:dyDescent="0.3">
      <c r="A215" s="22" t="s">
        <v>173</v>
      </c>
      <c r="B215" s="23" t="s">
        <v>8</v>
      </c>
      <c r="C215" s="23" t="s">
        <v>9</v>
      </c>
      <c r="D215" s="24" t="s">
        <v>30</v>
      </c>
      <c r="E215" s="24" t="s">
        <v>37</v>
      </c>
      <c r="F215" s="18">
        <v>4.9200000000000001E-2</v>
      </c>
      <c r="G215" s="19">
        <v>1.14E-2</v>
      </c>
      <c r="H215" s="20"/>
      <c r="I215" s="21">
        <v>3.4851000000000001</v>
      </c>
      <c r="J215" s="20">
        <v>0.25600000000000001</v>
      </c>
      <c r="K215" s="20"/>
      <c r="M215" t="str">
        <f t="shared" si="42"/>
        <v>LIBERO ALOE&amp;CHAMOMILE W 20 BAG</v>
      </c>
      <c r="N215" s="29" t="str">
        <f t="shared" si="43"/>
        <v xml:space="preserve"> EssentialsCo</v>
      </c>
      <c r="O215" t="str">
        <f t="shared" si="44"/>
        <v>LIBERO (ESSITY)</v>
      </c>
      <c r="P215" t="str">
        <f t="shared" si="46"/>
        <v xml:space="preserve"> EssentialsCo</v>
      </c>
      <c r="R215" t="str">
        <f t="shared" si="45"/>
        <v>LIBERO (ESSITY)</v>
      </c>
      <c r="T215" t="s">
        <v>172</v>
      </c>
      <c r="U215" t="str">
        <f t="shared" si="47"/>
        <v>BAGS</v>
      </c>
      <c r="V215" t="str">
        <f t="shared" si="48"/>
        <v>ALCOHOL FREE</v>
      </c>
      <c r="W215" t="str">
        <f t="shared" si="49"/>
        <v>20</v>
      </c>
      <c r="X215" s="27">
        <f t="shared" si="50"/>
        <v>3.6436000000000002</v>
      </c>
      <c r="Y215" s="27">
        <f t="shared" si="51"/>
        <v>0.20610000000000001</v>
      </c>
      <c r="Z215" s="27">
        <f t="shared" si="52"/>
        <v>0.1404</v>
      </c>
      <c r="AA215" s="27">
        <f t="shared" si="53"/>
        <v>40.526699999999998</v>
      </c>
      <c r="AB215" s="27">
        <f t="shared" si="54"/>
        <v>2.1286999999999998</v>
      </c>
      <c r="AC215" s="27">
        <f t="shared" si="55"/>
        <v>1.4401999999999999</v>
      </c>
    </row>
    <row r="216" spans="1:29" ht="15" customHeight="1" x14ac:dyDescent="0.3">
      <c r="A216" s="22" t="s">
        <v>174</v>
      </c>
      <c r="B216" s="23" t="s">
        <v>8</v>
      </c>
      <c r="C216" s="23" t="s">
        <v>9</v>
      </c>
      <c r="D216" s="24" t="s">
        <v>30</v>
      </c>
      <c r="E216" s="24" t="s">
        <v>37</v>
      </c>
      <c r="F216" s="18">
        <v>4.9882</v>
      </c>
      <c r="G216" s="19">
        <v>0.97860000000000003</v>
      </c>
      <c r="H216" s="20"/>
      <c r="I216" s="21">
        <v>116.9594</v>
      </c>
      <c r="J216" s="20">
        <v>26.678799999999999</v>
      </c>
      <c r="K216" s="20"/>
      <c r="M216" t="str">
        <f t="shared" si="42"/>
        <v>LIBERO ALOE&amp;CHAMOMILE W 4X64 BAG</v>
      </c>
      <c r="N216" s="29" t="str">
        <f t="shared" si="43"/>
        <v xml:space="preserve"> EssentialsCo</v>
      </c>
      <c r="O216" t="str">
        <f t="shared" si="44"/>
        <v>LIBERO (ESSITY)</v>
      </c>
      <c r="P216" t="str">
        <f t="shared" si="46"/>
        <v xml:space="preserve"> EssentialsCo</v>
      </c>
      <c r="R216" t="str">
        <f t="shared" si="45"/>
        <v>LIBERO (ESSITY)</v>
      </c>
      <c r="T216" t="s">
        <v>173</v>
      </c>
      <c r="U216" t="str">
        <f t="shared" si="47"/>
        <v>BAGS</v>
      </c>
      <c r="V216" t="str">
        <f t="shared" si="48"/>
        <v>ALCOHOL FREE</v>
      </c>
      <c r="W216" t="str">
        <f t="shared" si="49"/>
        <v>64</v>
      </c>
      <c r="X216" s="27">
        <f t="shared" si="50"/>
        <v>4.9200000000000001E-2</v>
      </c>
      <c r="Y216" s="27">
        <f t="shared" si="51"/>
        <v>1.14E-2</v>
      </c>
      <c r="Z216" s="27">
        <f t="shared" si="52"/>
        <v>0</v>
      </c>
      <c r="AA216" s="27">
        <f t="shared" si="53"/>
        <v>3.4851000000000001</v>
      </c>
      <c r="AB216" s="27">
        <f t="shared" si="54"/>
        <v>0.25600000000000001</v>
      </c>
      <c r="AC216" s="27">
        <f t="shared" si="55"/>
        <v>0</v>
      </c>
    </row>
    <row r="217" spans="1:29" ht="14.25" customHeight="1" x14ac:dyDescent="0.3">
      <c r="A217" s="25" t="s">
        <v>742</v>
      </c>
      <c r="B217" s="4" t="s">
        <v>5</v>
      </c>
      <c r="C217" s="4"/>
      <c r="D217" s="5"/>
      <c r="E217" s="5"/>
      <c r="F217" s="10">
        <v>15.6523</v>
      </c>
      <c r="G217" s="11">
        <v>38.264400000000002</v>
      </c>
      <c r="H217" s="12">
        <v>12.5626</v>
      </c>
      <c r="I217" s="13">
        <v>709.8646</v>
      </c>
      <c r="J217" s="12">
        <v>1422.4413</v>
      </c>
      <c r="K217" s="12">
        <v>440.17869999999999</v>
      </c>
      <c r="M217" t="str">
        <f t="shared" si="42"/>
        <v>LIBERO ALOE&amp;CHAMOMILE W 64 BAG</v>
      </c>
      <c r="N217" s="29" t="str">
        <f t="shared" si="43"/>
        <v xml:space="preserve"> EssentialsCo</v>
      </c>
      <c r="O217" t="str">
        <f t="shared" si="44"/>
        <v>LIBERO (ESSITY)</v>
      </c>
      <c r="P217" t="str">
        <f t="shared" si="46"/>
        <v xml:space="preserve"> EssentialsCo</v>
      </c>
      <c r="R217" t="str">
        <f t="shared" si="45"/>
        <v>LIBERO (ESSITY)</v>
      </c>
      <c r="T217" t="s">
        <v>174</v>
      </c>
      <c r="U217" t="str">
        <f t="shared" si="47"/>
        <v>BAGS</v>
      </c>
      <c r="V217" t="str">
        <f t="shared" si="48"/>
        <v>ALCOHOL FREE</v>
      </c>
      <c r="W217" t="str">
        <f t="shared" si="49"/>
        <v>64</v>
      </c>
      <c r="X217" s="27">
        <f t="shared" si="50"/>
        <v>4.9882</v>
      </c>
      <c r="Y217" s="27">
        <f t="shared" si="51"/>
        <v>0.97860000000000003</v>
      </c>
      <c r="Z217" s="27">
        <f t="shared" si="52"/>
        <v>0</v>
      </c>
      <c r="AA217" s="27">
        <f t="shared" si="53"/>
        <v>116.9594</v>
      </c>
      <c r="AB217" s="27">
        <f t="shared" si="54"/>
        <v>26.678799999999999</v>
      </c>
      <c r="AC217" s="27">
        <f t="shared" si="55"/>
        <v>0</v>
      </c>
    </row>
    <row r="218" spans="1:29" ht="15" customHeight="1" x14ac:dyDescent="0.3">
      <c r="A218" s="14" t="s">
        <v>870</v>
      </c>
      <c r="B218" s="15" t="s">
        <v>6</v>
      </c>
      <c r="C218" s="16"/>
      <c r="D218" s="17"/>
      <c r="E218" s="17"/>
      <c r="F218" s="18">
        <v>15.6523</v>
      </c>
      <c r="G218" s="19">
        <v>38.264400000000002</v>
      </c>
      <c r="H218" s="20">
        <v>12.5626</v>
      </c>
      <c r="I218" s="21">
        <v>709.8646</v>
      </c>
      <c r="J218" s="20">
        <v>1422.4413</v>
      </c>
      <c r="K218" s="20">
        <v>440.17869999999999</v>
      </c>
      <c r="M218" t="str">
        <f t="shared" si="42"/>
        <v/>
      </c>
      <c r="N218" s="29" t="str">
        <f t="shared" si="43"/>
        <v xml:space="preserve"> EssentialsCo</v>
      </c>
      <c r="O218" t="str">
        <f t="shared" si="44"/>
        <v>LIBERO (ESSITY)</v>
      </c>
      <c r="P218" t="str">
        <f t="shared" si="46"/>
        <v/>
      </c>
      <c r="R218" t="str">
        <f t="shared" si="45"/>
        <v/>
      </c>
      <c r="T218" t="s">
        <v>871</v>
      </c>
      <c r="U218" t="str">
        <f t="shared" si="47"/>
        <v/>
      </c>
      <c r="V218" t="str">
        <f t="shared" si="48"/>
        <v/>
      </c>
      <c r="W218" t="str">
        <f t="shared" si="49"/>
        <v/>
      </c>
      <c r="X218" s="27" t="str">
        <f t="shared" si="50"/>
        <v/>
      </c>
      <c r="Y218" s="27" t="str">
        <f t="shared" si="51"/>
        <v/>
      </c>
      <c r="Z218" s="27" t="str">
        <f t="shared" si="52"/>
        <v/>
      </c>
      <c r="AA218" s="27" t="str">
        <f t="shared" si="53"/>
        <v/>
      </c>
      <c r="AB218" s="27" t="str">
        <f t="shared" si="54"/>
        <v/>
      </c>
      <c r="AC218" s="27" t="str">
        <f t="shared" si="55"/>
        <v/>
      </c>
    </row>
    <row r="219" spans="1:29" ht="15" customHeight="1" x14ac:dyDescent="0.3">
      <c r="A219" s="22" t="s">
        <v>175</v>
      </c>
      <c r="B219" s="23" t="s">
        <v>8</v>
      </c>
      <c r="C219" s="23" t="s">
        <v>9</v>
      </c>
      <c r="D219" s="24" t="s">
        <v>30</v>
      </c>
      <c r="E219" s="24" t="s">
        <v>15</v>
      </c>
      <c r="F219" s="18"/>
      <c r="G219" s="19"/>
      <c r="H219" s="20">
        <v>0.16420000000000001</v>
      </c>
      <c r="I219" s="21"/>
      <c r="J219" s="20"/>
      <c r="K219" s="20">
        <v>5.0327000000000002</v>
      </c>
      <c r="M219" t="str">
        <f t="shared" si="42"/>
        <v/>
      </c>
      <c r="N219" s="29" t="str">
        <f t="shared" si="43"/>
        <v xml:space="preserve"> EssentialsCo</v>
      </c>
      <c r="O219" t="str">
        <f t="shared" si="44"/>
        <v>LIBERO (ESSITY)</v>
      </c>
      <c r="P219" t="str">
        <f t="shared" si="46"/>
        <v/>
      </c>
      <c r="R219" t="str">
        <f t="shared" si="45"/>
        <v/>
      </c>
      <c r="T219" t="s">
        <v>871</v>
      </c>
      <c r="U219" t="str">
        <f t="shared" si="47"/>
        <v/>
      </c>
      <c r="V219" t="str">
        <f t="shared" si="48"/>
        <v/>
      </c>
      <c r="W219" t="str">
        <f t="shared" si="49"/>
        <v/>
      </c>
      <c r="X219" s="27" t="str">
        <f t="shared" si="50"/>
        <v/>
      </c>
      <c r="Y219" s="27" t="str">
        <f t="shared" si="51"/>
        <v/>
      </c>
      <c r="Z219" s="27" t="str">
        <f t="shared" si="52"/>
        <v/>
      </c>
      <c r="AA219" s="27" t="str">
        <f t="shared" si="53"/>
        <v/>
      </c>
      <c r="AB219" s="27" t="str">
        <f t="shared" si="54"/>
        <v/>
      </c>
      <c r="AC219" s="27" t="str">
        <f t="shared" si="55"/>
        <v/>
      </c>
    </row>
    <row r="220" spans="1:29" ht="15" customHeight="1" x14ac:dyDescent="0.3">
      <c r="A220" s="22" t="s">
        <v>176</v>
      </c>
      <c r="B220" s="23" t="s">
        <v>8</v>
      </c>
      <c r="C220" s="23" t="s">
        <v>9</v>
      </c>
      <c r="D220" s="24" t="s">
        <v>30</v>
      </c>
      <c r="E220" s="24" t="s">
        <v>34</v>
      </c>
      <c r="F220" s="18">
        <v>2.3513000000000002</v>
      </c>
      <c r="G220" s="19">
        <v>13.7189</v>
      </c>
      <c r="H220" s="20">
        <v>5.1338999999999997</v>
      </c>
      <c r="I220" s="21">
        <v>93.938999999999993</v>
      </c>
      <c r="J220" s="20">
        <v>476.75330000000002</v>
      </c>
      <c r="K220" s="20">
        <v>161.36660000000001</v>
      </c>
      <c r="M220" t="str">
        <f t="shared" si="42"/>
        <v>EVY BABY SOFT CHAMOMILE ALC.FREE W50 BAG</v>
      </c>
      <c r="N220" s="29" t="str">
        <f t="shared" si="43"/>
        <v xml:space="preserve"> EveCraft</v>
      </c>
      <c r="O220" t="str">
        <f t="shared" si="44"/>
        <v>EVY BABY (EveCraft)</v>
      </c>
      <c r="P220" t="str">
        <f t="shared" si="46"/>
        <v xml:space="preserve"> EveCraft</v>
      </c>
      <c r="R220" t="str">
        <f t="shared" si="45"/>
        <v>EVY BABY (EveCraft)</v>
      </c>
      <c r="T220" t="s">
        <v>175</v>
      </c>
      <c r="U220" t="str">
        <f t="shared" si="47"/>
        <v>BAGS</v>
      </c>
      <c r="V220" t="str">
        <f t="shared" si="48"/>
        <v>ALCOHOL FREE</v>
      </c>
      <c r="W220" t="str">
        <f t="shared" si="49"/>
        <v>50</v>
      </c>
      <c r="X220" s="27">
        <f t="shared" si="50"/>
        <v>0</v>
      </c>
      <c r="Y220" s="27">
        <f t="shared" si="51"/>
        <v>0</v>
      </c>
      <c r="Z220" s="27">
        <f t="shared" si="52"/>
        <v>0.16420000000000001</v>
      </c>
      <c r="AA220" s="27">
        <f t="shared" si="53"/>
        <v>0</v>
      </c>
      <c r="AB220" s="27">
        <f t="shared" si="54"/>
        <v>0</v>
      </c>
      <c r="AC220" s="27">
        <f t="shared" si="55"/>
        <v>5.0327000000000002</v>
      </c>
    </row>
    <row r="221" spans="1:29" ht="15" customHeight="1" x14ac:dyDescent="0.3">
      <c r="A221" s="22" t="s">
        <v>177</v>
      </c>
      <c r="B221" s="23" t="s">
        <v>8</v>
      </c>
      <c r="C221" s="23" t="s">
        <v>9</v>
      </c>
      <c r="D221" s="24" t="s">
        <v>30</v>
      </c>
      <c r="E221" s="24" t="s">
        <v>99</v>
      </c>
      <c r="F221" s="18">
        <v>7.0484</v>
      </c>
      <c r="G221" s="19">
        <v>24.545400000000001</v>
      </c>
      <c r="H221" s="20">
        <v>7.2644000000000002</v>
      </c>
      <c r="I221" s="21">
        <v>315.70249999999999</v>
      </c>
      <c r="J221" s="20">
        <v>945.68759999999997</v>
      </c>
      <c r="K221" s="20">
        <v>273.77960000000002</v>
      </c>
      <c r="M221" t="str">
        <f t="shared" si="42"/>
        <v>EVY BABY SOFT CHAMOMILE EXTRACT W 56 BAG</v>
      </c>
      <c r="N221" s="29" t="str">
        <f t="shared" si="43"/>
        <v xml:space="preserve"> EveCraft</v>
      </c>
      <c r="O221" t="str">
        <f t="shared" si="44"/>
        <v>EVY BABY (EveCraft)</v>
      </c>
      <c r="P221" t="str">
        <f t="shared" si="46"/>
        <v xml:space="preserve"> EveCraft</v>
      </c>
      <c r="R221" t="str">
        <f t="shared" si="45"/>
        <v>EVY BABY (EveCraft)</v>
      </c>
      <c r="T221" t="s">
        <v>176</v>
      </c>
      <c r="U221" t="str">
        <f t="shared" si="47"/>
        <v>BAGS</v>
      </c>
      <c r="V221" t="str">
        <f t="shared" si="48"/>
        <v>ALCOHOL FREE</v>
      </c>
      <c r="W221" t="str">
        <f t="shared" si="49"/>
        <v>56</v>
      </c>
      <c r="X221" s="27">
        <f t="shared" si="50"/>
        <v>2.3513000000000002</v>
      </c>
      <c r="Y221" s="27">
        <f t="shared" si="51"/>
        <v>13.7189</v>
      </c>
      <c r="Z221" s="27">
        <f t="shared" si="52"/>
        <v>5.1338999999999997</v>
      </c>
      <c r="AA221" s="27">
        <f t="shared" si="53"/>
        <v>93.938999999999993</v>
      </c>
      <c r="AB221" s="27">
        <f t="shared" si="54"/>
        <v>476.75330000000002</v>
      </c>
      <c r="AC221" s="27">
        <f t="shared" si="55"/>
        <v>161.36660000000001</v>
      </c>
    </row>
    <row r="222" spans="1:29" ht="15" customHeight="1" x14ac:dyDescent="0.3">
      <c r="A222" s="22" t="s">
        <v>178</v>
      </c>
      <c r="B222" s="23" t="s">
        <v>8</v>
      </c>
      <c r="C222" s="23" t="s">
        <v>9</v>
      </c>
      <c r="D222" s="24" t="s">
        <v>30</v>
      </c>
      <c r="E222" s="24" t="s">
        <v>99</v>
      </c>
      <c r="F222" s="18">
        <v>6.2529000000000003</v>
      </c>
      <c r="G222" s="19"/>
      <c r="H222" s="20"/>
      <c r="I222" s="21">
        <v>300.22300000000001</v>
      </c>
      <c r="J222" s="20"/>
      <c r="K222" s="20"/>
      <c r="M222" t="str">
        <f t="shared" si="42"/>
        <v>EVY BABY CREAMY ALOE VERA MOIST W 60 BAG</v>
      </c>
      <c r="N222" s="29" t="str">
        <f t="shared" si="43"/>
        <v xml:space="preserve"> EveCraft</v>
      </c>
      <c r="O222" t="str">
        <f t="shared" si="44"/>
        <v>EVY BABY (EveCraft)</v>
      </c>
      <c r="P222" t="str">
        <f t="shared" si="46"/>
        <v xml:space="preserve"> EveCraft</v>
      </c>
      <c r="R222" t="str">
        <f t="shared" si="45"/>
        <v>EVY BABY (EveCraft)</v>
      </c>
      <c r="T222" t="s">
        <v>177</v>
      </c>
      <c r="U222" t="str">
        <f t="shared" si="47"/>
        <v>BAGS</v>
      </c>
      <c r="V222" t="str">
        <f t="shared" si="48"/>
        <v>ALCOHOL FREE</v>
      </c>
      <c r="W222" t="str">
        <f t="shared" si="49"/>
        <v>60</v>
      </c>
      <c r="X222" s="27">
        <f t="shared" si="50"/>
        <v>7.0484</v>
      </c>
      <c r="Y222" s="27">
        <f t="shared" si="51"/>
        <v>24.545400000000001</v>
      </c>
      <c r="Z222" s="27">
        <f t="shared" si="52"/>
        <v>7.2644000000000002</v>
      </c>
      <c r="AA222" s="27">
        <f t="shared" si="53"/>
        <v>315.70249999999999</v>
      </c>
      <c r="AB222" s="27">
        <f t="shared" si="54"/>
        <v>945.68759999999997</v>
      </c>
      <c r="AC222" s="27">
        <f t="shared" si="55"/>
        <v>273.77960000000002</v>
      </c>
    </row>
    <row r="223" spans="1:29" ht="14.25" customHeight="1" x14ac:dyDescent="0.3">
      <c r="A223" s="25" t="s">
        <v>743</v>
      </c>
      <c r="B223" s="4" t="s">
        <v>5</v>
      </c>
      <c r="C223" s="4"/>
      <c r="D223" s="5"/>
      <c r="E223" s="5"/>
      <c r="F223" s="10">
        <v>9.2643000000000004</v>
      </c>
      <c r="G223" s="11">
        <v>0.1729</v>
      </c>
      <c r="H223" s="12">
        <v>3.0000000000000001E-3</v>
      </c>
      <c r="I223" s="13">
        <v>358.95979999999997</v>
      </c>
      <c r="J223" s="12">
        <v>4.9572000000000003</v>
      </c>
      <c r="K223" s="12">
        <v>7.1999999999999995E-2</v>
      </c>
      <c r="M223" t="str">
        <f t="shared" si="42"/>
        <v>EVY BABY SOFT CHAMOMILE EXTRACT W 60 BAG</v>
      </c>
      <c r="N223" s="29" t="str">
        <f t="shared" si="43"/>
        <v xml:space="preserve"> EveCraft</v>
      </c>
      <c r="O223" t="str">
        <f t="shared" si="44"/>
        <v>EVY BABY (EveCraft)</v>
      </c>
      <c r="P223" t="str">
        <f t="shared" si="46"/>
        <v xml:space="preserve"> EveCraft</v>
      </c>
      <c r="R223" t="str">
        <f t="shared" si="45"/>
        <v>EVY BABY (EveCraft)</v>
      </c>
      <c r="T223" t="s">
        <v>178</v>
      </c>
      <c r="U223" t="str">
        <f t="shared" si="47"/>
        <v>BAGS</v>
      </c>
      <c r="V223" t="str">
        <f t="shared" si="48"/>
        <v>ALCOHOL FREE</v>
      </c>
      <c r="W223" t="str">
        <f t="shared" si="49"/>
        <v>60</v>
      </c>
      <c r="X223" s="27">
        <f t="shared" si="50"/>
        <v>6.2529000000000003</v>
      </c>
      <c r="Y223" s="27">
        <f t="shared" si="51"/>
        <v>0</v>
      </c>
      <c r="Z223" s="27">
        <f t="shared" si="52"/>
        <v>0</v>
      </c>
      <c r="AA223" s="27">
        <f t="shared" si="53"/>
        <v>300.22300000000001</v>
      </c>
      <c r="AB223" s="27">
        <f t="shared" si="54"/>
        <v>0</v>
      </c>
      <c r="AC223" s="27">
        <f t="shared" si="55"/>
        <v>0</v>
      </c>
    </row>
    <row r="224" spans="1:29" ht="15" customHeight="1" x14ac:dyDescent="0.3">
      <c r="A224" s="14" t="s">
        <v>179</v>
      </c>
      <c r="B224" s="15" t="s">
        <v>6</v>
      </c>
      <c r="C224" s="16"/>
      <c r="D224" s="17"/>
      <c r="E224" s="17"/>
      <c r="F224" s="18">
        <v>9.2643000000000004</v>
      </c>
      <c r="G224" s="19">
        <v>0.1729</v>
      </c>
      <c r="H224" s="20">
        <v>3.0000000000000001E-3</v>
      </c>
      <c r="I224" s="21">
        <v>358.95979999999997</v>
      </c>
      <c r="J224" s="20">
        <v>4.9572000000000003</v>
      </c>
      <c r="K224" s="20">
        <v>7.1999999999999995E-2</v>
      </c>
      <c r="M224" t="str">
        <f t="shared" si="42"/>
        <v/>
      </c>
      <c r="N224" s="29" t="str">
        <f t="shared" si="43"/>
        <v xml:space="preserve"> EveCraft</v>
      </c>
      <c r="O224" t="str">
        <f t="shared" si="44"/>
        <v>EVY BABY (EveCraft)</v>
      </c>
      <c r="P224" t="str">
        <f t="shared" si="46"/>
        <v/>
      </c>
      <c r="R224" t="str">
        <f t="shared" si="45"/>
        <v/>
      </c>
      <c r="T224" t="s">
        <v>871</v>
      </c>
      <c r="U224" t="str">
        <f t="shared" si="47"/>
        <v/>
      </c>
      <c r="V224" t="str">
        <f t="shared" si="48"/>
        <v/>
      </c>
      <c r="W224" t="str">
        <f t="shared" si="49"/>
        <v/>
      </c>
      <c r="X224" s="27" t="str">
        <f t="shared" si="50"/>
        <v/>
      </c>
      <c r="Y224" s="27" t="str">
        <f t="shared" si="51"/>
        <v/>
      </c>
      <c r="Z224" s="27" t="str">
        <f t="shared" si="52"/>
        <v/>
      </c>
      <c r="AA224" s="27" t="str">
        <f t="shared" si="53"/>
        <v/>
      </c>
      <c r="AB224" s="27" t="str">
        <f t="shared" si="54"/>
        <v/>
      </c>
      <c r="AC224" s="27" t="str">
        <f t="shared" si="55"/>
        <v/>
      </c>
    </row>
    <row r="225" spans="1:29" ht="15" customHeight="1" x14ac:dyDescent="0.3">
      <c r="A225" s="22" t="s">
        <v>180</v>
      </c>
      <c r="B225" s="23" t="s">
        <v>8</v>
      </c>
      <c r="C225" s="23" t="s">
        <v>9</v>
      </c>
      <c r="D225" s="24" t="s">
        <v>20</v>
      </c>
      <c r="E225" s="24" t="s">
        <v>42</v>
      </c>
      <c r="F225" s="18">
        <v>1.6668000000000001</v>
      </c>
      <c r="G225" s="19">
        <v>3.7600000000000001E-2</v>
      </c>
      <c r="H225" s="20"/>
      <c r="I225" s="21">
        <v>75.837299999999999</v>
      </c>
      <c r="J225" s="20">
        <v>1.6555</v>
      </c>
      <c r="K225" s="20"/>
      <c r="M225" t="str">
        <f t="shared" si="42"/>
        <v/>
      </c>
      <c r="N225" s="29" t="str">
        <f t="shared" si="43"/>
        <v xml:space="preserve"> EveCraft</v>
      </c>
      <c r="O225" t="str">
        <f t="shared" si="44"/>
        <v>EVY BABY (EveCraft)</v>
      </c>
      <c r="P225" t="str">
        <f t="shared" si="46"/>
        <v/>
      </c>
      <c r="R225" t="str">
        <f t="shared" si="45"/>
        <v/>
      </c>
      <c r="T225" t="s">
        <v>871</v>
      </c>
      <c r="U225" t="str">
        <f t="shared" si="47"/>
        <v/>
      </c>
      <c r="V225" t="str">
        <f t="shared" si="48"/>
        <v/>
      </c>
      <c r="W225" t="str">
        <f t="shared" si="49"/>
        <v/>
      </c>
      <c r="X225" s="27" t="str">
        <f t="shared" si="50"/>
        <v/>
      </c>
      <c r="Y225" s="27" t="str">
        <f t="shared" si="51"/>
        <v/>
      </c>
      <c r="Z225" s="27" t="str">
        <f t="shared" si="52"/>
        <v/>
      </c>
      <c r="AA225" s="27" t="str">
        <f t="shared" si="53"/>
        <v/>
      </c>
      <c r="AB225" s="27" t="str">
        <f t="shared" si="54"/>
        <v/>
      </c>
      <c r="AC225" s="27" t="str">
        <f t="shared" si="55"/>
        <v/>
      </c>
    </row>
    <row r="226" spans="1:29" ht="15" customHeight="1" x14ac:dyDescent="0.3">
      <c r="A226" s="22" t="s">
        <v>181</v>
      </c>
      <c r="B226" s="23" t="s">
        <v>8</v>
      </c>
      <c r="C226" s="23" t="s">
        <v>9</v>
      </c>
      <c r="D226" s="24" t="s">
        <v>20</v>
      </c>
      <c r="E226" s="24" t="s">
        <v>42</v>
      </c>
      <c r="F226" s="18">
        <v>7.5975000000000001</v>
      </c>
      <c r="G226" s="19">
        <v>0.1353</v>
      </c>
      <c r="H226" s="20">
        <v>3.0000000000000001E-3</v>
      </c>
      <c r="I226" s="21">
        <v>283.12259999999998</v>
      </c>
      <c r="J226" s="20">
        <v>3.3016999999999999</v>
      </c>
      <c r="K226" s="20">
        <v>7.1999999999999995E-2</v>
      </c>
      <c r="M226" t="str">
        <f t="shared" si="42"/>
        <v>FEMOLE FRESH VITE PH5.5 W 72 BAG CHERVEN</v>
      </c>
      <c r="N226" s="29" t="str">
        <f t="shared" si="43"/>
        <v xml:space="preserve"> FemmeBeauty</v>
      </c>
      <c r="O226" t="str">
        <f t="shared" si="44"/>
        <v>FEMOLE (FEM COSMETIC)</v>
      </c>
      <c r="P226" t="str">
        <f t="shared" si="46"/>
        <v xml:space="preserve"> FemmeBeauty</v>
      </c>
      <c r="R226" t="str">
        <f t="shared" si="45"/>
        <v>FEMOLE (FEM COSMETIC)</v>
      </c>
      <c r="T226" t="s">
        <v>180</v>
      </c>
      <c r="U226" t="str">
        <f t="shared" si="47"/>
        <v>BAGS</v>
      </c>
      <c r="V226" t="str">
        <f t="shared" si="48"/>
        <v>PH BALANCED</v>
      </c>
      <c r="W226" t="str">
        <f t="shared" si="49"/>
        <v>72</v>
      </c>
      <c r="X226" s="27">
        <f t="shared" si="50"/>
        <v>1.6668000000000001</v>
      </c>
      <c r="Y226" s="27">
        <f t="shared" si="51"/>
        <v>3.7600000000000001E-2</v>
      </c>
      <c r="Z226" s="27">
        <f t="shared" si="52"/>
        <v>0</v>
      </c>
      <c r="AA226" s="27">
        <f t="shared" si="53"/>
        <v>75.837299999999999</v>
      </c>
      <c r="AB226" s="27">
        <f t="shared" si="54"/>
        <v>1.6555</v>
      </c>
      <c r="AC226" s="27">
        <f t="shared" si="55"/>
        <v>0</v>
      </c>
    </row>
    <row r="227" spans="1:29" ht="14.25" customHeight="1" x14ac:dyDescent="0.3">
      <c r="A227" s="25" t="s">
        <v>744</v>
      </c>
      <c r="B227" s="4" t="s">
        <v>5</v>
      </c>
      <c r="C227" s="4"/>
      <c r="D227" s="5"/>
      <c r="E227" s="5"/>
      <c r="F227" s="10">
        <v>1012.9229</v>
      </c>
      <c r="G227" s="11">
        <v>822.98099999999999</v>
      </c>
      <c r="H227" s="12">
        <v>367.98759999999999</v>
      </c>
      <c r="I227" s="13">
        <v>57405.585500000001</v>
      </c>
      <c r="J227" s="12">
        <v>44546.773000000001</v>
      </c>
      <c r="K227" s="12">
        <v>18766.233499999998</v>
      </c>
      <c r="M227" t="str">
        <f t="shared" si="42"/>
        <v>FEMOLE FRESHBABY VITE PH5.5 W 72 BAG SIN</v>
      </c>
      <c r="N227" s="29" t="str">
        <f t="shared" si="43"/>
        <v xml:space="preserve"> FemmeBeauty</v>
      </c>
      <c r="O227" t="str">
        <f t="shared" si="44"/>
        <v>FEMOLE (FEM COSMETIC)</v>
      </c>
      <c r="P227" t="str">
        <f t="shared" si="46"/>
        <v xml:space="preserve"> FemmeBeauty</v>
      </c>
      <c r="R227" t="str">
        <f t="shared" si="45"/>
        <v>FEMOLE (FEM COSMETIC)</v>
      </c>
      <c r="T227" t="s">
        <v>181</v>
      </c>
      <c r="U227" t="str">
        <f t="shared" si="47"/>
        <v>BAGS</v>
      </c>
      <c r="V227" t="str">
        <f t="shared" si="48"/>
        <v>PH BALANCED</v>
      </c>
      <c r="W227" t="str">
        <f t="shared" si="49"/>
        <v>72</v>
      </c>
      <c r="X227" s="27">
        <f t="shared" si="50"/>
        <v>7.5975000000000001</v>
      </c>
      <c r="Y227" s="27">
        <f t="shared" si="51"/>
        <v>0.1353</v>
      </c>
      <c r="Z227" s="27">
        <f t="shared" si="52"/>
        <v>3.0000000000000001E-3</v>
      </c>
      <c r="AA227" s="27">
        <f t="shared" si="53"/>
        <v>283.12259999999998</v>
      </c>
      <c r="AB227" s="27">
        <f t="shared" si="54"/>
        <v>3.3016999999999999</v>
      </c>
      <c r="AC227" s="27">
        <f t="shared" si="55"/>
        <v>7.1999999999999995E-2</v>
      </c>
    </row>
    <row r="228" spans="1:29" ht="15" customHeight="1" x14ac:dyDescent="0.3">
      <c r="A228" s="14" t="s">
        <v>182</v>
      </c>
      <c r="B228" s="15" t="s">
        <v>6</v>
      </c>
      <c r="C228" s="16"/>
      <c r="D228" s="17"/>
      <c r="E228" s="17"/>
      <c r="F228" s="18">
        <v>2.5741999999999998</v>
      </c>
      <c r="G228" s="19">
        <v>0.58250000000000002</v>
      </c>
      <c r="H228" s="20">
        <v>9.0300000000000005E-2</v>
      </c>
      <c r="I228" s="21">
        <v>138.52269999999999</v>
      </c>
      <c r="J228" s="20">
        <v>28.354600000000001</v>
      </c>
      <c r="K228" s="20">
        <v>3.9451999999999998</v>
      </c>
      <c r="M228" t="str">
        <f t="shared" si="42"/>
        <v/>
      </c>
      <c r="N228" s="29" t="str">
        <f t="shared" si="43"/>
        <v xml:space="preserve"> FemmeBeauty</v>
      </c>
      <c r="O228" t="str">
        <f t="shared" si="44"/>
        <v>FEMOLE (FEM COSMETIC)</v>
      </c>
      <c r="P228" t="str">
        <f t="shared" si="46"/>
        <v/>
      </c>
      <c r="R228" t="str">
        <f t="shared" si="45"/>
        <v/>
      </c>
      <c r="T228" t="s">
        <v>871</v>
      </c>
      <c r="U228" t="str">
        <f t="shared" si="47"/>
        <v/>
      </c>
      <c r="V228" t="str">
        <f t="shared" si="48"/>
        <v/>
      </c>
      <c r="W228" t="str">
        <f t="shared" si="49"/>
        <v/>
      </c>
      <c r="X228" s="27" t="str">
        <f t="shared" si="50"/>
        <v/>
      </c>
      <c r="Y228" s="27" t="str">
        <f t="shared" si="51"/>
        <v/>
      </c>
      <c r="Z228" s="27" t="str">
        <f t="shared" si="52"/>
        <v/>
      </c>
      <c r="AA228" s="27" t="str">
        <f t="shared" si="53"/>
        <v/>
      </c>
      <c r="AB228" s="27" t="str">
        <f t="shared" si="54"/>
        <v/>
      </c>
      <c r="AC228" s="27" t="str">
        <f t="shared" si="55"/>
        <v/>
      </c>
    </row>
    <row r="229" spans="1:29" ht="15" customHeight="1" x14ac:dyDescent="0.3">
      <c r="A229" s="22" t="s">
        <v>183</v>
      </c>
      <c r="B229" s="23" t="s">
        <v>8</v>
      </c>
      <c r="C229" s="23" t="s">
        <v>9</v>
      </c>
      <c r="D229" s="24" t="s">
        <v>30</v>
      </c>
      <c r="E229" s="24" t="s">
        <v>42</v>
      </c>
      <c r="F229" s="18">
        <v>2.5741999999999998</v>
      </c>
      <c r="G229" s="19">
        <v>0.57930000000000004</v>
      </c>
      <c r="H229" s="20">
        <v>9.0300000000000005E-2</v>
      </c>
      <c r="I229" s="21">
        <v>138.52269999999999</v>
      </c>
      <c r="J229" s="20">
        <v>28.2058</v>
      </c>
      <c r="K229" s="20">
        <v>3.9451999999999998</v>
      </c>
      <c r="M229" t="str">
        <f t="shared" si="42"/>
        <v/>
      </c>
      <c r="N229" s="29" t="str">
        <f t="shared" si="43"/>
        <v xml:space="preserve"> FemmeBeauty</v>
      </c>
      <c r="O229" t="str">
        <f t="shared" si="44"/>
        <v>FEMOLE (FEM COSMETIC)</v>
      </c>
      <c r="P229" t="str">
        <f t="shared" si="46"/>
        <v/>
      </c>
      <c r="R229" t="str">
        <f t="shared" si="45"/>
        <v/>
      </c>
      <c r="T229" t="s">
        <v>871</v>
      </c>
      <c r="U229" t="str">
        <f t="shared" si="47"/>
        <v/>
      </c>
      <c r="V229" t="str">
        <f t="shared" si="48"/>
        <v/>
      </c>
      <c r="W229" t="str">
        <f t="shared" si="49"/>
        <v/>
      </c>
      <c r="X229" s="27" t="str">
        <f t="shared" si="50"/>
        <v/>
      </c>
      <c r="Y229" s="27" t="str">
        <f t="shared" si="51"/>
        <v/>
      </c>
      <c r="Z229" s="27" t="str">
        <f t="shared" si="52"/>
        <v/>
      </c>
      <c r="AA229" s="27" t="str">
        <f t="shared" si="53"/>
        <v/>
      </c>
      <c r="AB229" s="27" t="str">
        <f t="shared" si="54"/>
        <v/>
      </c>
      <c r="AC229" s="27" t="str">
        <f t="shared" si="55"/>
        <v/>
      </c>
    </row>
    <row r="230" spans="1:29" ht="15" customHeight="1" x14ac:dyDescent="0.3">
      <c r="A230" s="22" t="s">
        <v>184</v>
      </c>
      <c r="B230" s="23" t="s">
        <v>8</v>
      </c>
      <c r="C230" s="23" t="s">
        <v>9</v>
      </c>
      <c r="D230" s="24" t="s">
        <v>10</v>
      </c>
      <c r="E230" s="24" t="s">
        <v>42</v>
      </c>
      <c r="F230" s="18"/>
      <c r="G230" s="19">
        <v>3.2000000000000002E-3</v>
      </c>
      <c r="H230" s="20"/>
      <c r="I230" s="21"/>
      <c r="J230" s="20">
        <v>0.14879999999999999</v>
      </c>
      <c r="K230" s="20"/>
      <c r="M230" t="str">
        <f t="shared" si="42"/>
        <v>BERFINY CLASSIC BABY W 72 BAG</v>
      </c>
      <c r="N230" s="29" t="str">
        <f t="shared" si="43"/>
        <v xml:space="preserve"> Fulya Beauty</v>
      </c>
      <c r="O230" t="str">
        <f t="shared" si="44"/>
        <v>BERFINY (FULYA COSMETICS)</v>
      </c>
      <c r="P230" t="str">
        <f t="shared" si="46"/>
        <v xml:space="preserve"> Fulya Beauty</v>
      </c>
      <c r="R230" t="str">
        <f t="shared" si="45"/>
        <v>BERFINY (FULYA COSMETICS)</v>
      </c>
      <c r="T230" t="s">
        <v>183</v>
      </c>
      <c r="U230" t="str">
        <f t="shared" si="47"/>
        <v>BAGS</v>
      </c>
      <c r="V230" t="str">
        <f t="shared" si="48"/>
        <v>ALCOHOL FREE</v>
      </c>
      <c r="W230" t="str">
        <f t="shared" si="49"/>
        <v>72</v>
      </c>
      <c r="X230" s="27">
        <f t="shared" si="50"/>
        <v>2.5741999999999998</v>
      </c>
      <c r="Y230" s="27">
        <f t="shared" si="51"/>
        <v>0.57930000000000004</v>
      </c>
      <c r="Z230" s="27">
        <f t="shared" si="52"/>
        <v>9.0300000000000005E-2</v>
      </c>
      <c r="AA230" s="27">
        <f t="shared" si="53"/>
        <v>138.52269999999999</v>
      </c>
      <c r="AB230" s="27">
        <f t="shared" si="54"/>
        <v>28.2058</v>
      </c>
      <c r="AC230" s="27">
        <f t="shared" si="55"/>
        <v>3.9451999999999998</v>
      </c>
    </row>
    <row r="231" spans="1:29" ht="15" customHeight="1" x14ac:dyDescent="0.3">
      <c r="A231" s="14" t="s">
        <v>185</v>
      </c>
      <c r="B231" s="15" t="s">
        <v>6</v>
      </c>
      <c r="C231" s="16"/>
      <c r="D231" s="17"/>
      <c r="E231" s="17"/>
      <c r="F231" s="18">
        <v>30.201799999999999</v>
      </c>
      <c r="G231" s="19">
        <v>8.3574999999999999</v>
      </c>
      <c r="H231" s="20">
        <v>2.2814000000000001</v>
      </c>
      <c r="I231" s="21">
        <v>1834.3515</v>
      </c>
      <c r="J231" s="20">
        <v>456.8947</v>
      </c>
      <c r="K231" s="20">
        <v>133.4556</v>
      </c>
      <c r="M231" t="str">
        <f t="shared" si="42"/>
        <v>BERFINY EXTRA BABY W 72 BAG</v>
      </c>
      <c r="N231" s="29" t="str">
        <f t="shared" si="43"/>
        <v xml:space="preserve"> Fulya Beauty</v>
      </c>
      <c r="O231" t="str">
        <f t="shared" si="44"/>
        <v>BERFINY (FULYA COSMETICS)</v>
      </c>
      <c r="P231" t="str">
        <f t="shared" si="46"/>
        <v xml:space="preserve"> Fulya Beauty</v>
      </c>
      <c r="R231" t="str">
        <f t="shared" si="45"/>
        <v>BERFINY (FULYA COSMETICS)</v>
      </c>
      <c r="T231" t="s">
        <v>184</v>
      </c>
      <c r="U231" t="str">
        <f t="shared" si="47"/>
        <v>BAGS</v>
      </c>
      <c r="V231" t="str">
        <f t="shared" si="48"/>
        <v>WITHOUT EXTRA PROTECTCARE INDICATION</v>
      </c>
      <c r="W231" t="str">
        <f t="shared" si="49"/>
        <v>72</v>
      </c>
      <c r="X231" s="27">
        <f t="shared" si="50"/>
        <v>0</v>
      </c>
      <c r="Y231" s="27">
        <f t="shared" si="51"/>
        <v>3.2000000000000002E-3</v>
      </c>
      <c r="Z231" s="27">
        <f t="shared" si="52"/>
        <v>0</v>
      </c>
      <c r="AA231" s="27">
        <f t="shared" si="53"/>
        <v>0</v>
      </c>
      <c r="AB231" s="27">
        <f t="shared" si="54"/>
        <v>0.14879999999999999</v>
      </c>
      <c r="AC231" s="27">
        <f t="shared" si="55"/>
        <v>0</v>
      </c>
    </row>
    <row r="232" spans="1:29" ht="15" customHeight="1" x14ac:dyDescent="0.3">
      <c r="A232" s="22" t="s">
        <v>186</v>
      </c>
      <c r="B232" s="23" t="s">
        <v>8</v>
      </c>
      <c r="C232" s="23" t="s">
        <v>9</v>
      </c>
      <c r="D232" s="24" t="s">
        <v>20</v>
      </c>
      <c r="E232" s="24" t="s">
        <v>24</v>
      </c>
      <c r="F232" s="18">
        <v>29.782299999999999</v>
      </c>
      <c r="G232" s="19">
        <v>8.0821000000000005</v>
      </c>
      <c r="H232" s="20">
        <v>2.2058</v>
      </c>
      <c r="I232" s="21">
        <v>1812.3146999999999</v>
      </c>
      <c r="J232" s="20">
        <v>442.9864</v>
      </c>
      <c r="K232" s="20">
        <v>129.73259999999999</v>
      </c>
      <c r="M232" t="str">
        <f t="shared" si="42"/>
        <v/>
      </c>
      <c r="N232" s="29" t="str">
        <f t="shared" si="43"/>
        <v xml:space="preserve"> Fulya Beauty</v>
      </c>
      <c r="O232" t="str">
        <f t="shared" si="44"/>
        <v>BERFINY (FULYA COSMETICS)</v>
      </c>
      <c r="P232" t="str">
        <f t="shared" si="46"/>
        <v/>
      </c>
      <c r="R232" t="str">
        <f t="shared" si="45"/>
        <v/>
      </c>
      <c r="T232" t="s">
        <v>871</v>
      </c>
      <c r="U232" t="str">
        <f t="shared" si="47"/>
        <v/>
      </c>
      <c r="V232" t="str">
        <f t="shared" si="48"/>
        <v/>
      </c>
      <c r="W232" t="str">
        <f t="shared" si="49"/>
        <v/>
      </c>
      <c r="X232" s="27" t="str">
        <f t="shared" si="50"/>
        <v/>
      </c>
      <c r="Y232" s="27" t="str">
        <f t="shared" si="51"/>
        <v/>
      </c>
      <c r="Z232" s="27" t="str">
        <f t="shared" si="52"/>
        <v/>
      </c>
      <c r="AA232" s="27" t="str">
        <f t="shared" si="53"/>
        <v/>
      </c>
      <c r="AB232" s="27" t="str">
        <f t="shared" si="54"/>
        <v/>
      </c>
      <c r="AC232" s="27" t="str">
        <f t="shared" si="55"/>
        <v/>
      </c>
    </row>
    <row r="233" spans="1:29" ht="15" customHeight="1" x14ac:dyDescent="0.3">
      <c r="A233" s="22" t="s">
        <v>187</v>
      </c>
      <c r="B233" s="23" t="s">
        <v>8</v>
      </c>
      <c r="C233" s="23" t="s">
        <v>9</v>
      </c>
      <c r="D233" s="24" t="s">
        <v>10</v>
      </c>
      <c r="E233" s="24" t="s">
        <v>37</v>
      </c>
      <c r="F233" s="18">
        <v>0.4194</v>
      </c>
      <c r="G233" s="19">
        <v>0.27539999999999998</v>
      </c>
      <c r="H233" s="20">
        <v>7.5600000000000001E-2</v>
      </c>
      <c r="I233" s="21">
        <v>22.036999999999999</v>
      </c>
      <c r="J233" s="20">
        <v>13.908200000000001</v>
      </c>
      <c r="K233" s="20">
        <v>3.7229000000000001</v>
      </c>
      <c r="M233" t="str">
        <f t="shared" si="42"/>
        <v>FRESH RUNY BABY PH5.5 ALC.FREE W 120 BAG</v>
      </c>
      <c r="N233" s="29" t="str">
        <f t="shared" si="43"/>
        <v xml:space="preserve"> Fulya Beauty</v>
      </c>
      <c r="O233" t="str">
        <f t="shared" si="44"/>
        <v>FRESH RUNY (FULYA COSMETICS)</v>
      </c>
      <c r="P233" t="str">
        <f t="shared" si="46"/>
        <v xml:space="preserve"> Fulya Beauty</v>
      </c>
      <c r="R233" t="str">
        <f t="shared" si="45"/>
        <v>FRESH RUNY (FULYA COSMETICS)</v>
      </c>
      <c r="T233" t="s">
        <v>186</v>
      </c>
      <c r="U233" t="str">
        <f t="shared" si="47"/>
        <v>BAGS</v>
      </c>
      <c r="V233" t="str">
        <f t="shared" si="48"/>
        <v>PH BALANCED</v>
      </c>
      <c r="W233" t="str">
        <f t="shared" si="49"/>
        <v>120</v>
      </c>
      <c r="X233" s="27">
        <f t="shared" si="50"/>
        <v>29.782299999999999</v>
      </c>
      <c r="Y233" s="27">
        <f t="shared" si="51"/>
        <v>8.0821000000000005</v>
      </c>
      <c r="Z233" s="27">
        <f t="shared" si="52"/>
        <v>2.2058</v>
      </c>
      <c r="AA233" s="27">
        <f t="shared" si="53"/>
        <v>1812.3146999999999</v>
      </c>
      <c r="AB233" s="27">
        <f t="shared" si="54"/>
        <v>442.9864</v>
      </c>
      <c r="AC233" s="27">
        <f t="shared" si="55"/>
        <v>129.73259999999999</v>
      </c>
    </row>
    <row r="234" spans="1:29" ht="15" customHeight="1" x14ac:dyDescent="0.3">
      <c r="A234" s="22" t="s">
        <v>188</v>
      </c>
      <c r="B234" s="23" t="s">
        <v>8</v>
      </c>
      <c r="C234" s="23" t="s">
        <v>9</v>
      </c>
      <c r="D234" s="24" t="s">
        <v>10</v>
      </c>
      <c r="E234" s="24" t="s">
        <v>37</v>
      </c>
      <c r="F234" s="18"/>
      <c r="G234" s="19"/>
      <c r="H234" s="20"/>
      <c r="I234" s="21"/>
      <c r="J234" s="20"/>
      <c r="K234" s="20"/>
      <c r="M234" t="str">
        <f t="shared" si="42"/>
        <v>FRESH RUNY BABY MILK&amp;HONEY W 64 BAG</v>
      </c>
      <c r="N234" s="29" t="str">
        <f t="shared" si="43"/>
        <v xml:space="preserve"> Fulya Beauty</v>
      </c>
      <c r="O234" t="str">
        <f t="shared" si="44"/>
        <v>FRESH RUNY (FULYA COSMETICS)</v>
      </c>
      <c r="P234" t="str">
        <f t="shared" si="46"/>
        <v xml:space="preserve"> Fulya Beauty</v>
      </c>
      <c r="R234" t="str">
        <f t="shared" si="45"/>
        <v>FRESH RUNY (FULYA COSMETICS)</v>
      </c>
      <c r="T234" t="s">
        <v>187</v>
      </c>
      <c r="U234" t="str">
        <f t="shared" si="47"/>
        <v>BAGS</v>
      </c>
      <c r="V234" t="str">
        <f t="shared" si="48"/>
        <v>WITHOUT EXTRA PROTECTCARE INDICATION</v>
      </c>
      <c r="W234" t="str">
        <f t="shared" si="49"/>
        <v>64</v>
      </c>
      <c r="X234" s="27">
        <f t="shared" si="50"/>
        <v>0.4194</v>
      </c>
      <c r="Y234" s="27">
        <f t="shared" si="51"/>
        <v>0.27539999999999998</v>
      </c>
      <c r="Z234" s="27">
        <f t="shared" si="52"/>
        <v>7.5600000000000001E-2</v>
      </c>
      <c r="AA234" s="27">
        <f t="shared" si="53"/>
        <v>22.036999999999999</v>
      </c>
      <c r="AB234" s="27">
        <f t="shared" si="54"/>
        <v>13.908200000000001</v>
      </c>
      <c r="AC234" s="27">
        <f t="shared" si="55"/>
        <v>3.7229000000000001</v>
      </c>
    </row>
    <row r="235" spans="1:29" ht="15" customHeight="1" x14ac:dyDescent="0.3">
      <c r="A235" s="14" t="s">
        <v>189</v>
      </c>
      <c r="B235" s="15" t="s">
        <v>6</v>
      </c>
      <c r="C235" s="16"/>
      <c r="D235" s="17"/>
      <c r="E235" s="17"/>
      <c r="F235" s="18">
        <v>447.58159999999998</v>
      </c>
      <c r="G235" s="19">
        <v>351.95119999999997</v>
      </c>
      <c r="H235" s="20">
        <v>140.74770000000001</v>
      </c>
      <c r="I235" s="21">
        <v>23420.140299999999</v>
      </c>
      <c r="J235" s="20">
        <v>17186.2664</v>
      </c>
      <c r="K235" s="20">
        <v>6668.4120999999996</v>
      </c>
      <c r="M235" t="str">
        <f t="shared" si="42"/>
        <v>FRESH RUNY BABY W 64 BAG</v>
      </c>
      <c r="N235" s="29" t="str">
        <f t="shared" si="43"/>
        <v xml:space="preserve"> Fulya Beauty</v>
      </c>
      <c r="O235" t="str">
        <f t="shared" si="44"/>
        <v>FRESH RUNY (FULYA COSMETICS)</v>
      </c>
      <c r="P235" t="str">
        <f t="shared" si="46"/>
        <v xml:space="preserve"> Fulya Beauty</v>
      </c>
      <c r="R235" t="str">
        <f t="shared" si="45"/>
        <v>FRESH RUNY (FULYA COSMETICS)</v>
      </c>
      <c r="T235" t="s">
        <v>188</v>
      </c>
      <c r="U235" t="str">
        <f t="shared" si="47"/>
        <v>BAGS</v>
      </c>
      <c r="V235" t="str">
        <f t="shared" si="48"/>
        <v>WITHOUT EXTRA PROTECTCARE INDICATION</v>
      </c>
      <c r="W235" t="str">
        <f t="shared" si="49"/>
        <v>64</v>
      </c>
      <c r="X235" s="27">
        <f t="shared" si="50"/>
        <v>0</v>
      </c>
      <c r="Y235" s="27">
        <f t="shared" si="51"/>
        <v>0</v>
      </c>
      <c r="Z235" s="27">
        <f t="shared" si="52"/>
        <v>0</v>
      </c>
      <c r="AA235" s="27">
        <f t="shared" si="53"/>
        <v>0</v>
      </c>
      <c r="AB235" s="27">
        <f t="shared" si="54"/>
        <v>0</v>
      </c>
      <c r="AC235" s="27">
        <f t="shared" si="55"/>
        <v>0</v>
      </c>
    </row>
    <row r="236" spans="1:29" ht="15" customHeight="1" x14ac:dyDescent="0.3">
      <c r="A236" s="22" t="s">
        <v>190</v>
      </c>
      <c r="B236" s="23" t="s">
        <v>8</v>
      </c>
      <c r="C236" s="23" t="s">
        <v>9</v>
      </c>
      <c r="D236" s="24" t="s">
        <v>20</v>
      </c>
      <c r="E236" s="24" t="s">
        <v>21</v>
      </c>
      <c r="F236" s="18"/>
      <c r="G236" s="19"/>
      <c r="H236" s="20"/>
      <c r="I236" s="21"/>
      <c r="J236" s="20"/>
      <c r="K236" s="20"/>
      <c r="M236" t="str">
        <f t="shared" si="42"/>
        <v/>
      </c>
      <c r="N236" s="29" t="str">
        <f t="shared" si="43"/>
        <v xml:space="preserve"> Fulya Beauty</v>
      </c>
      <c r="O236" t="str">
        <f t="shared" si="44"/>
        <v>FRESH RUNY (FULYA COSMETICS)</v>
      </c>
      <c r="P236" t="str">
        <f t="shared" si="46"/>
        <v/>
      </c>
      <c r="R236" t="str">
        <f t="shared" si="45"/>
        <v/>
      </c>
      <c r="T236" t="s">
        <v>871</v>
      </c>
      <c r="U236" t="str">
        <f t="shared" si="47"/>
        <v/>
      </c>
      <c r="V236" t="str">
        <f t="shared" si="48"/>
        <v/>
      </c>
      <c r="W236" t="str">
        <f t="shared" si="49"/>
        <v/>
      </c>
      <c r="X236" s="27" t="str">
        <f t="shared" si="50"/>
        <v/>
      </c>
      <c r="Y236" s="27" t="str">
        <f t="shared" si="51"/>
        <v/>
      </c>
      <c r="Z236" s="27" t="str">
        <f t="shared" si="52"/>
        <v/>
      </c>
      <c r="AA236" s="27" t="str">
        <f t="shared" si="53"/>
        <v/>
      </c>
      <c r="AB236" s="27" t="str">
        <f t="shared" si="54"/>
        <v/>
      </c>
      <c r="AC236" s="27" t="str">
        <f t="shared" si="55"/>
        <v/>
      </c>
    </row>
    <row r="237" spans="1:29" ht="15" customHeight="1" x14ac:dyDescent="0.3">
      <c r="A237" s="22" t="s">
        <v>191</v>
      </c>
      <c r="B237" s="23" t="s">
        <v>8</v>
      </c>
      <c r="C237" s="23" t="s">
        <v>9</v>
      </c>
      <c r="D237" s="24" t="s">
        <v>20</v>
      </c>
      <c r="E237" s="24" t="s">
        <v>24</v>
      </c>
      <c r="F237" s="18">
        <v>393.93759999999997</v>
      </c>
      <c r="G237" s="19">
        <v>316.5532</v>
      </c>
      <c r="H237" s="20">
        <v>120.4361</v>
      </c>
      <c r="I237" s="21">
        <v>20334.628400000001</v>
      </c>
      <c r="J237" s="20">
        <v>15456.115599999999</v>
      </c>
      <c r="K237" s="20">
        <v>5660.8364000000001</v>
      </c>
      <c r="M237" t="str">
        <f t="shared" si="42"/>
        <v>FRESH MAKER BABY CREAM FRUIT W 100 BAG</v>
      </c>
      <c r="N237" s="29" t="str">
        <f t="shared" si="43"/>
        <v xml:space="preserve"> Fulya Beauty</v>
      </c>
      <c r="O237" t="str">
        <f t="shared" si="44"/>
        <v>FRESHMAKER (FULYA COSMETICS)</v>
      </c>
      <c r="P237" t="str">
        <f t="shared" si="46"/>
        <v xml:space="preserve"> Fulya Beauty</v>
      </c>
      <c r="R237" t="str">
        <f t="shared" si="45"/>
        <v>FRESHMAKER (FULYA COSMETICS)</v>
      </c>
      <c r="T237" t="s">
        <v>190</v>
      </c>
      <c r="U237" t="str">
        <f t="shared" si="47"/>
        <v>BAGS</v>
      </c>
      <c r="V237" t="str">
        <f t="shared" si="48"/>
        <v>PH BALANCED</v>
      </c>
      <c r="W237" t="str">
        <f t="shared" si="49"/>
        <v>100</v>
      </c>
      <c r="X237" s="27">
        <f t="shared" si="50"/>
        <v>0</v>
      </c>
      <c r="Y237" s="27">
        <f t="shared" si="51"/>
        <v>0</v>
      </c>
      <c r="Z237" s="27">
        <f t="shared" si="52"/>
        <v>0</v>
      </c>
      <c r="AA237" s="27">
        <f t="shared" si="53"/>
        <v>0</v>
      </c>
      <c r="AB237" s="27">
        <f t="shared" si="54"/>
        <v>0</v>
      </c>
      <c r="AC237" s="27">
        <f t="shared" si="55"/>
        <v>0</v>
      </c>
    </row>
    <row r="238" spans="1:29" ht="15" customHeight="1" x14ac:dyDescent="0.3">
      <c r="A238" s="22" t="s">
        <v>192</v>
      </c>
      <c r="B238" s="23" t="s">
        <v>8</v>
      </c>
      <c r="C238" s="23" t="s">
        <v>9</v>
      </c>
      <c r="D238" s="24" t="s">
        <v>20</v>
      </c>
      <c r="E238" s="24" t="s">
        <v>42</v>
      </c>
      <c r="F238" s="18">
        <v>11.008699999999999</v>
      </c>
      <c r="G238" s="19"/>
      <c r="H238" s="20"/>
      <c r="I238" s="21">
        <v>653.37990000000002</v>
      </c>
      <c r="J238" s="20"/>
      <c r="K238" s="20"/>
      <c r="M238" t="str">
        <f t="shared" si="42"/>
        <v>FRESH MAKER BABY PH5.5 W 120 BAG JUMBO</v>
      </c>
      <c r="N238" s="29" t="str">
        <f t="shared" si="43"/>
        <v xml:space="preserve"> Fulya Beauty</v>
      </c>
      <c r="O238" t="str">
        <f t="shared" si="44"/>
        <v>FRESHMAKER (FULYA COSMETICS)</v>
      </c>
      <c r="P238" t="str">
        <f t="shared" si="46"/>
        <v xml:space="preserve"> Fulya Beauty</v>
      </c>
      <c r="R238" t="str">
        <f t="shared" si="45"/>
        <v>FRESHMAKER (FULYA COSMETICS)</v>
      </c>
      <c r="T238" t="s">
        <v>191</v>
      </c>
      <c r="U238" t="str">
        <f t="shared" si="47"/>
        <v>BAGS</v>
      </c>
      <c r="V238" t="str">
        <f t="shared" si="48"/>
        <v>PH BALANCED</v>
      </c>
      <c r="W238" t="str">
        <f t="shared" si="49"/>
        <v>120</v>
      </c>
      <c r="X238" s="27">
        <f t="shared" si="50"/>
        <v>393.93759999999997</v>
      </c>
      <c r="Y238" s="27">
        <f t="shared" si="51"/>
        <v>316.5532</v>
      </c>
      <c r="Z238" s="27">
        <f t="shared" si="52"/>
        <v>120.4361</v>
      </c>
      <c r="AA238" s="27">
        <f t="shared" si="53"/>
        <v>20334.628400000001</v>
      </c>
      <c r="AB238" s="27">
        <f t="shared" si="54"/>
        <v>15456.115599999999</v>
      </c>
      <c r="AC238" s="27">
        <f t="shared" si="55"/>
        <v>5660.8364000000001</v>
      </c>
    </row>
    <row r="239" spans="1:29" ht="15" customHeight="1" x14ac:dyDescent="0.3">
      <c r="A239" s="22" t="s">
        <v>193</v>
      </c>
      <c r="B239" s="23" t="s">
        <v>8</v>
      </c>
      <c r="C239" s="23" t="s">
        <v>9</v>
      </c>
      <c r="D239" s="24" t="s">
        <v>20</v>
      </c>
      <c r="E239" s="24" t="s">
        <v>42</v>
      </c>
      <c r="F239" s="18">
        <v>6.3380999999999998</v>
      </c>
      <c r="G239" s="19">
        <v>2.2010000000000001</v>
      </c>
      <c r="H239" s="20">
        <v>4.9340999999999999</v>
      </c>
      <c r="I239" s="21">
        <v>360.70839999999998</v>
      </c>
      <c r="J239" s="20">
        <v>122.7465</v>
      </c>
      <c r="K239" s="20">
        <v>260.16239999999999</v>
      </c>
      <c r="M239" t="str">
        <f t="shared" si="42"/>
        <v>FRESH MAKER BABY CREAM W 120/48FREE BAG</v>
      </c>
      <c r="N239" s="29" t="str">
        <f t="shared" si="43"/>
        <v xml:space="preserve"> Fulya Beauty</v>
      </c>
      <c r="O239" t="str">
        <f t="shared" si="44"/>
        <v>FRESHMAKER (FULYA COSMETICS)</v>
      </c>
      <c r="P239" t="str">
        <f t="shared" si="46"/>
        <v xml:space="preserve"> Fulya Beauty</v>
      </c>
      <c r="R239" t="str">
        <f t="shared" si="45"/>
        <v>FRESHMAKER (FULYA COSMETICS)</v>
      </c>
      <c r="T239" t="s">
        <v>192</v>
      </c>
      <c r="U239" t="str">
        <f t="shared" si="47"/>
        <v>BAGS</v>
      </c>
      <c r="V239" t="str">
        <f t="shared" si="48"/>
        <v>PH BALANCED</v>
      </c>
      <c r="W239" t="str">
        <f t="shared" si="49"/>
        <v>72</v>
      </c>
      <c r="X239" s="27">
        <f t="shared" si="50"/>
        <v>11.008699999999999</v>
      </c>
      <c r="Y239" s="27">
        <f t="shared" si="51"/>
        <v>0</v>
      </c>
      <c r="Z239" s="27">
        <f t="shared" si="52"/>
        <v>0</v>
      </c>
      <c r="AA239" s="27">
        <f t="shared" si="53"/>
        <v>653.37990000000002</v>
      </c>
      <c r="AB239" s="27">
        <f t="shared" si="54"/>
        <v>0</v>
      </c>
      <c r="AC239" s="27">
        <f t="shared" si="55"/>
        <v>0</v>
      </c>
    </row>
    <row r="240" spans="1:29" ht="15" customHeight="1" x14ac:dyDescent="0.3">
      <c r="A240" s="22" t="s">
        <v>194</v>
      </c>
      <c r="B240" s="23" t="s">
        <v>8</v>
      </c>
      <c r="C240" s="23" t="s">
        <v>9</v>
      </c>
      <c r="D240" s="24" t="s">
        <v>20</v>
      </c>
      <c r="E240" s="24" t="s">
        <v>42</v>
      </c>
      <c r="F240" s="18">
        <v>17.2865</v>
      </c>
      <c r="G240" s="19">
        <v>3.1953</v>
      </c>
      <c r="H240" s="20"/>
      <c r="I240" s="21">
        <v>1104.6166000000001</v>
      </c>
      <c r="J240" s="20">
        <v>157.0744</v>
      </c>
      <c r="K240" s="20"/>
      <c r="M240" t="str">
        <f t="shared" si="42"/>
        <v>FRESH MAKER BABY CREAM W 72 BAG</v>
      </c>
      <c r="N240" s="29" t="str">
        <f t="shared" si="43"/>
        <v xml:space="preserve"> Fulya Beauty</v>
      </c>
      <c r="O240" t="str">
        <f t="shared" si="44"/>
        <v>FRESHMAKER (FULYA COSMETICS)</v>
      </c>
      <c r="P240" t="str">
        <f t="shared" si="46"/>
        <v xml:space="preserve"> Fulya Beauty</v>
      </c>
      <c r="R240" t="str">
        <f t="shared" si="45"/>
        <v>FRESHMAKER (FULYA COSMETICS)</v>
      </c>
      <c r="T240" t="s">
        <v>193</v>
      </c>
      <c r="U240" t="str">
        <f t="shared" si="47"/>
        <v>BAGS</v>
      </c>
      <c r="V240" t="str">
        <f t="shared" si="48"/>
        <v>PH BALANCED</v>
      </c>
      <c r="W240" t="str">
        <f t="shared" si="49"/>
        <v>72</v>
      </c>
      <c r="X240" s="27">
        <f t="shared" si="50"/>
        <v>6.3380999999999998</v>
      </c>
      <c r="Y240" s="27">
        <f t="shared" si="51"/>
        <v>2.2010000000000001</v>
      </c>
      <c r="Z240" s="27">
        <f t="shared" si="52"/>
        <v>4.9340999999999999</v>
      </c>
      <c r="AA240" s="27">
        <f t="shared" si="53"/>
        <v>360.70839999999998</v>
      </c>
      <c r="AB240" s="27">
        <f t="shared" si="54"/>
        <v>122.7465</v>
      </c>
      <c r="AC240" s="27">
        <f t="shared" si="55"/>
        <v>260.16239999999999</v>
      </c>
    </row>
    <row r="241" spans="1:29" ht="15" customHeight="1" x14ac:dyDescent="0.3">
      <c r="A241" s="22" t="s">
        <v>195</v>
      </c>
      <c r="B241" s="23" t="s">
        <v>8</v>
      </c>
      <c r="C241" s="23" t="s">
        <v>9</v>
      </c>
      <c r="D241" s="24" t="s">
        <v>10</v>
      </c>
      <c r="E241" s="24" t="s">
        <v>42</v>
      </c>
      <c r="F241" s="18">
        <v>8.3360000000000003</v>
      </c>
      <c r="G241" s="19">
        <v>4.1882999999999999</v>
      </c>
      <c r="H241" s="20">
        <v>0.16869999999999999</v>
      </c>
      <c r="I241" s="21">
        <v>355.34039999999999</v>
      </c>
      <c r="J241" s="20">
        <v>181.6489</v>
      </c>
      <c r="K241" s="20">
        <v>7.0335999999999999</v>
      </c>
      <c r="M241" t="str">
        <f t="shared" si="42"/>
        <v>FRESH MAKER BABY CREAM W 72 BAG KAPAK</v>
      </c>
      <c r="N241" s="29" t="str">
        <f t="shared" si="43"/>
        <v xml:space="preserve"> Fulya Beauty</v>
      </c>
      <c r="O241" t="str">
        <f t="shared" si="44"/>
        <v>FRESHMAKER (FULYA COSMETICS)</v>
      </c>
      <c r="P241" t="str">
        <f t="shared" si="46"/>
        <v xml:space="preserve"> Fulya Beauty</v>
      </c>
      <c r="R241" t="str">
        <f t="shared" si="45"/>
        <v>FRESHMAKER (FULYA COSMETICS)</v>
      </c>
      <c r="T241" t="s">
        <v>194</v>
      </c>
      <c r="U241" t="str">
        <f t="shared" si="47"/>
        <v>BAGS</v>
      </c>
      <c r="V241" t="str">
        <f t="shared" si="48"/>
        <v>PH BALANCED</v>
      </c>
      <c r="W241" t="str">
        <f t="shared" si="49"/>
        <v>72</v>
      </c>
      <c r="X241" s="27">
        <f t="shared" si="50"/>
        <v>17.2865</v>
      </c>
      <c r="Y241" s="27">
        <f t="shared" si="51"/>
        <v>3.1953</v>
      </c>
      <c r="Z241" s="27">
        <f t="shared" si="52"/>
        <v>0</v>
      </c>
      <c r="AA241" s="27">
        <f t="shared" si="53"/>
        <v>1104.6166000000001</v>
      </c>
      <c r="AB241" s="27">
        <f t="shared" si="54"/>
        <v>157.0744</v>
      </c>
      <c r="AC241" s="27">
        <f t="shared" si="55"/>
        <v>0</v>
      </c>
    </row>
    <row r="242" spans="1:29" ht="15" customHeight="1" x14ac:dyDescent="0.3">
      <c r="A242" s="22" t="s">
        <v>196</v>
      </c>
      <c r="B242" s="23" t="s">
        <v>8</v>
      </c>
      <c r="C242" s="23" t="s">
        <v>9</v>
      </c>
      <c r="D242" s="24" t="s">
        <v>30</v>
      </c>
      <c r="E242" s="24" t="s">
        <v>42</v>
      </c>
      <c r="F242" s="18">
        <v>10.51</v>
      </c>
      <c r="G242" s="19">
        <v>23.858699999999999</v>
      </c>
      <c r="H242" s="20">
        <v>12.9741</v>
      </c>
      <c r="I242" s="21">
        <v>602.08569999999997</v>
      </c>
      <c r="J242" s="20">
        <v>1188.0914</v>
      </c>
      <c r="K242" s="20">
        <v>658.29200000000003</v>
      </c>
      <c r="M242" t="str">
        <f t="shared" si="42"/>
        <v>FRESH MAKER BABY CREAM W 96/24FREE BAG</v>
      </c>
      <c r="N242" s="29" t="str">
        <f t="shared" si="43"/>
        <v xml:space="preserve"> Fulya Beauty</v>
      </c>
      <c r="O242" t="str">
        <f t="shared" si="44"/>
        <v>FRESHMAKER (FULYA COSMETICS)</v>
      </c>
      <c r="P242" t="str">
        <f t="shared" si="46"/>
        <v xml:space="preserve"> Fulya Beauty</v>
      </c>
      <c r="R242" t="str">
        <f t="shared" si="45"/>
        <v>FRESHMAKER (FULYA COSMETICS)</v>
      </c>
      <c r="T242" t="s">
        <v>195</v>
      </c>
      <c r="U242" t="str">
        <f t="shared" si="47"/>
        <v>BAGS</v>
      </c>
      <c r="V242" t="str">
        <f t="shared" si="48"/>
        <v>WITHOUT EXTRA PROTECTCARE INDICATION</v>
      </c>
      <c r="W242" t="str">
        <f t="shared" si="49"/>
        <v>72</v>
      </c>
      <c r="X242" s="27">
        <f t="shared" si="50"/>
        <v>8.3360000000000003</v>
      </c>
      <c r="Y242" s="27">
        <f t="shared" si="51"/>
        <v>4.1882999999999999</v>
      </c>
      <c r="Z242" s="27">
        <f t="shared" si="52"/>
        <v>0.16869999999999999</v>
      </c>
      <c r="AA242" s="27">
        <f t="shared" si="53"/>
        <v>355.34039999999999</v>
      </c>
      <c r="AB242" s="27">
        <f t="shared" si="54"/>
        <v>181.6489</v>
      </c>
      <c r="AC242" s="27">
        <f t="shared" si="55"/>
        <v>7.0335999999999999</v>
      </c>
    </row>
    <row r="243" spans="1:29" ht="15" customHeight="1" x14ac:dyDescent="0.3">
      <c r="A243" s="22" t="s">
        <v>197</v>
      </c>
      <c r="B243" s="23" t="s">
        <v>8</v>
      </c>
      <c r="C243" s="23" t="s">
        <v>9</v>
      </c>
      <c r="D243" s="24" t="s">
        <v>20</v>
      </c>
      <c r="E243" s="24" t="s">
        <v>42</v>
      </c>
      <c r="F243" s="18">
        <v>0.1246</v>
      </c>
      <c r="G243" s="19"/>
      <c r="H243" s="20">
        <v>4.1500000000000002E-2</v>
      </c>
      <c r="I243" s="21">
        <v>7.4763999999999999</v>
      </c>
      <c r="J243" s="20"/>
      <c r="K243" s="20">
        <v>3.0169000000000001</v>
      </c>
      <c r="M243" t="str">
        <f t="shared" si="42"/>
        <v>FRESH MAKER BABY W 72 BAG</v>
      </c>
      <c r="N243" s="29" t="str">
        <f t="shared" si="43"/>
        <v xml:space="preserve"> Fulya Beauty</v>
      </c>
      <c r="O243" t="str">
        <f t="shared" si="44"/>
        <v>FRESHMAKER (FULYA COSMETICS)</v>
      </c>
      <c r="P243" t="str">
        <f t="shared" si="46"/>
        <v xml:space="preserve"> Fulya Beauty</v>
      </c>
      <c r="R243" t="str">
        <f t="shared" si="45"/>
        <v>FRESHMAKER (FULYA COSMETICS)</v>
      </c>
      <c r="T243" t="s">
        <v>196</v>
      </c>
      <c r="U243" t="str">
        <f t="shared" si="47"/>
        <v>BAGS</v>
      </c>
      <c r="V243" t="str">
        <f t="shared" si="48"/>
        <v>ALCOHOL FREE</v>
      </c>
      <c r="W243" t="str">
        <f t="shared" si="49"/>
        <v>72</v>
      </c>
      <c r="X243" s="27">
        <f t="shared" si="50"/>
        <v>10.51</v>
      </c>
      <c r="Y243" s="27">
        <f t="shared" si="51"/>
        <v>23.858699999999999</v>
      </c>
      <c r="Z243" s="27">
        <f t="shared" si="52"/>
        <v>12.9741</v>
      </c>
      <c r="AA243" s="27">
        <f t="shared" si="53"/>
        <v>602.08569999999997</v>
      </c>
      <c r="AB243" s="27">
        <f t="shared" si="54"/>
        <v>1188.0914</v>
      </c>
      <c r="AC243" s="27">
        <f t="shared" si="55"/>
        <v>658.29200000000003</v>
      </c>
    </row>
    <row r="244" spans="1:29" ht="15" customHeight="1" x14ac:dyDescent="0.3">
      <c r="A244" s="22" t="s">
        <v>198</v>
      </c>
      <c r="B244" s="23" t="s">
        <v>8</v>
      </c>
      <c r="C244" s="23" t="s">
        <v>9</v>
      </c>
      <c r="D244" s="24" t="s">
        <v>20</v>
      </c>
      <c r="E244" s="24" t="s">
        <v>68</v>
      </c>
      <c r="F244" s="18"/>
      <c r="G244" s="19">
        <v>1.9545999999999999</v>
      </c>
      <c r="H244" s="20">
        <v>2.1882000000000001</v>
      </c>
      <c r="I244" s="21"/>
      <c r="J244" s="20">
        <v>80.589100000000002</v>
      </c>
      <c r="K244" s="20">
        <v>78.875</v>
      </c>
      <c r="M244" t="str">
        <f t="shared" si="42"/>
        <v>FRESH MAKER BABY WITH CREAM W 72 BAG</v>
      </c>
      <c r="N244" s="29" t="str">
        <f t="shared" si="43"/>
        <v xml:space="preserve"> Fulya Beauty</v>
      </c>
      <c r="O244" t="str">
        <f t="shared" si="44"/>
        <v>FRESHMAKER (FULYA COSMETICS)</v>
      </c>
      <c r="P244" t="str">
        <f t="shared" si="46"/>
        <v xml:space="preserve"> Fulya Beauty</v>
      </c>
      <c r="R244" t="str">
        <f t="shared" si="45"/>
        <v>FRESHMAKER (FULYA COSMETICS)</v>
      </c>
      <c r="T244" t="s">
        <v>197</v>
      </c>
      <c r="U244" t="str">
        <f t="shared" si="47"/>
        <v>BAGS</v>
      </c>
      <c r="V244" t="str">
        <f t="shared" si="48"/>
        <v>PH BALANCED</v>
      </c>
      <c r="W244" t="str">
        <f t="shared" si="49"/>
        <v>72</v>
      </c>
      <c r="X244" s="27">
        <f t="shared" si="50"/>
        <v>0.1246</v>
      </c>
      <c r="Y244" s="27">
        <f t="shared" si="51"/>
        <v>0</v>
      </c>
      <c r="Z244" s="27">
        <f t="shared" si="52"/>
        <v>4.1500000000000002E-2</v>
      </c>
      <c r="AA244" s="27">
        <f t="shared" si="53"/>
        <v>7.4763999999999999</v>
      </c>
      <c r="AB244" s="27">
        <f t="shared" si="54"/>
        <v>0</v>
      </c>
      <c r="AC244" s="27">
        <f t="shared" si="55"/>
        <v>3.0169000000000001</v>
      </c>
    </row>
    <row r="245" spans="1:29" ht="15" customHeight="1" x14ac:dyDescent="0.3">
      <c r="A245" s="22" t="s">
        <v>199</v>
      </c>
      <c r="B245" s="23" t="s">
        <v>8</v>
      </c>
      <c r="C245" s="23" t="s">
        <v>9</v>
      </c>
      <c r="D245" s="24" t="s">
        <v>64</v>
      </c>
      <c r="E245" s="24" t="s">
        <v>68</v>
      </c>
      <c r="F245" s="18">
        <v>4.02E-2</v>
      </c>
      <c r="G245" s="19"/>
      <c r="H245" s="20">
        <v>5.1000000000000004E-3</v>
      </c>
      <c r="I245" s="21">
        <v>1.9040999999999999</v>
      </c>
      <c r="J245" s="20"/>
      <c r="K245" s="20">
        <v>0.1958</v>
      </c>
      <c r="M245" t="str">
        <f t="shared" si="42"/>
        <v>FRESH MAKER ALOE VERA PH5.5 W 90 BAG</v>
      </c>
      <c r="N245" s="29" t="str">
        <f t="shared" si="43"/>
        <v xml:space="preserve"> Fulya Beauty</v>
      </c>
      <c r="O245" t="str">
        <f t="shared" si="44"/>
        <v>FRESHMAKER (FULYA COSMETICS)</v>
      </c>
      <c r="P245" t="str">
        <f t="shared" si="46"/>
        <v xml:space="preserve"> Fulya Beauty</v>
      </c>
      <c r="R245" t="str">
        <f t="shared" si="45"/>
        <v>FRESHMAKER (FULYA COSMETICS)</v>
      </c>
      <c r="T245" t="s">
        <v>198</v>
      </c>
      <c r="U245" t="str">
        <f t="shared" si="47"/>
        <v>BAGS</v>
      </c>
      <c r="V245" t="str">
        <f t="shared" si="48"/>
        <v>PH BALANCED</v>
      </c>
      <c r="W245" t="str">
        <f t="shared" si="49"/>
        <v>90</v>
      </c>
      <c r="X245" s="27">
        <f t="shared" si="50"/>
        <v>0</v>
      </c>
      <c r="Y245" s="27">
        <f t="shared" si="51"/>
        <v>1.9545999999999999</v>
      </c>
      <c r="Z245" s="27">
        <f t="shared" si="52"/>
        <v>2.1882000000000001</v>
      </c>
      <c r="AA245" s="27">
        <f t="shared" si="53"/>
        <v>0</v>
      </c>
      <c r="AB245" s="27">
        <f t="shared" si="54"/>
        <v>80.589100000000002</v>
      </c>
      <c r="AC245" s="27">
        <f t="shared" si="55"/>
        <v>78.875</v>
      </c>
    </row>
    <row r="246" spans="1:29" ht="15" customHeight="1" x14ac:dyDescent="0.3">
      <c r="A246" s="14" t="s">
        <v>200</v>
      </c>
      <c r="B246" s="15" t="s">
        <v>6</v>
      </c>
      <c r="C246" s="16"/>
      <c r="D246" s="17"/>
      <c r="E246" s="17"/>
      <c r="F246" s="18"/>
      <c r="G246" s="19">
        <v>6.88E-2</v>
      </c>
      <c r="H246" s="20">
        <v>1.5603</v>
      </c>
      <c r="I246" s="21"/>
      <c r="J246" s="20">
        <v>2.9011</v>
      </c>
      <c r="K246" s="20">
        <v>56.070300000000003</v>
      </c>
      <c r="M246" t="str">
        <f t="shared" si="42"/>
        <v>FRESH MAKER SENSITIVE ALC.FREE W 90 BAG</v>
      </c>
      <c r="N246" s="29" t="str">
        <f t="shared" si="43"/>
        <v xml:space="preserve"> Fulya Beauty</v>
      </c>
      <c r="O246" t="str">
        <f t="shared" si="44"/>
        <v>FRESHMAKER (FULYA COSMETICS)</v>
      </c>
      <c r="P246" t="str">
        <f t="shared" si="46"/>
        <v xml:space="preserve"> Fulya Beauty</v>
      </c>
      <c r="R246" t="str">
        <f t="shared" si="45"/>
        <v>FRESHMAKER (FULYA COSMETICS)</v>
      </c>
      <c r="T246" t="s">
        <v>199</v>
      </c>
      <c r="U246" t="str">
        <f t="shared" si="47"/>
        <v>BAGS</v>
      </c>
      <c r="V246" t="str">
        <f t="shared" si="48"/>
        <v>SENSITIVE</v>
      </c>
      <c r="W246" t="str">
        <f t="shared" si="49"/>
        <v>90</v>
      </c>
      <c r="X246" s="27">
        <f t="shared" si="50"/>
        <v>4.02E-2</v>
      </c>
      <c r="Y246" s="27">
        <f t="shared" si="51"/>
        <v>0</v>
      </c>
      <c r="Z246" s="27">
        <f t="shared" si="52"/>
        <v>5.1000000000000004E-3</v>
      </c>
      <c r="AA246" s="27">
        <f t="shared" si="53"/>
        <v>1.9040999999999999</v>
      </c>
      <c r="AB246" s="27">
        <f t="shared" si="54"/>
        <v>0</v>
      </c>
      <c r="AC246" s="27">
        <f t="shared" si="55"/>
        <v>0.1958</v>
      </c>
    </row>
    <row r="247" spans="1:29" ht="15" customHeight="1" x14ac:dyDescent="0.3">
      <c r="A247" s="22" t="s">
        <v>201</v>
      </c>
      <c r="B247" s="23" t="s">
        <v>8</v>
      </c>
      <c r="C247" s="23" t="s">
        <v>9</v>
      </c>
      <c r="D247" s="24" t="s">
        <v>20</v>
      </c>
      <c r="E247" s="24" t="s">
        <v>21</v>
      </c>
      <c r="F247" s="18"/>
      <c r="G247" s="19">
        <v>6.88E-2</v>
      </c>
      <c r="H247" s="20">
        <v>1.5603</v>
      </c>
      <c r="I247" s="21"/>
      <c r="J247" s="20">
        <v>2.9011</v>
      </c>
      <c r="K247" s="20">
        <v>56.070300000000003</v>
      </c>
      <c r="M247" t="str">
        <f t="shared" si="42"/>
        <v/>
      </c>
      <c r="N247" s="29" t="str">
        <f t="shared" si="43"/>
        <v xml:space="preserve"> Fulya Beauty</v>
      </c>
      <c r="O247" t="str">
        <f t="shared" si="44"/>
        <v>FRESHMAKER (FULYA COSMETICS)</v>
      </c>
      <c r="P247" t="str">
        <f t="shared" si="46"/>
        <v/>
      </c>
      <c r="R247" t="str">
        <f t="shared" si="45"/>
        <v/>
      </c>
      <c r="T247" t="s">
        <v>871</v>
      </c>
      <c r="U247" t="str">
        <f t="shared" si="47"/>
        <v/>
      </c>
      <c r="V247" t="str">
        <f t="shared" si="48"/>
        <v/>
      </c>
      <c r="W247" t="str">
        <f t="shared" si="49"/>
        <v/>
      </c>
      <c r="X247" s="27" t="str">
        <f t="shared" si="50"/>
        <v/>
      </c>
      <c r="Y247" s="27" t="str">
        <f t="shared" si="51"/>
        <v/>
      </c>
      <c r="Z247" s="27" t="str">
        <f t="shared" si="52"/>
        <v/>
      </c>
      <c r="AA247" s="27" t="str">
        <f t="shared" si="53"/>
        <v/>
      </c>
      <c r="AB247" s="27" t="str">
        <f t="shared" si="54"/>
        <v/>
      </c>
      <c r="AC247" s="27" t="str">
        <f t="shared" si="55"/>
        <v/>
      </c>
    </row>
    <row r="248" spans="1:29" ht="15" customHeight="1" x14ac:dyDescent="0.3">
      <c r="A248" s="14" t="s">
        <v>202</v>
      </c>
      <c r="B248" s="15" t="s">
        <v>6</v>
      </c>
      <c r="C248" s="16"/>
      <c r="D248" s="17"/>
      <c r="E248" s="17"/>
      <c r="F248" s="18">
        <v>225.05289999999999</v>
      </c>
      <c r="G248" s="19">
        <v>160.9256</v>
      </c>
      <c r="H248" s="20">
        <v>66.089799999999997</v>
      </c>
      <c r="I248" s="21">
        <v>14096.87</v>
      </c>
      <c r="J248" s="20">
        <v>9843.2201000000005</v>
      </c>
      <c r="K248" s="20">
        <v>3643.3836000000001</v>
      </c>
      <c r="M248" t="str">
        <f t="shared" si="42"/>
        <v>HAPPY ALOE VERA W 100 BAG KAPAK</v>
      </c>
      <c r="N248" s="29" t="str">
        <f t="shared" si="43"/>
        <v xml:space="preserve"> Fulya Beauty</v>
      </c>
      <c r="O248" t="str">
        <f t="shared" si="44"/>
        <v>HAPPY (FULYA COSMETICS)</v>
      </c>
      <c r="P248" t="str">
        <f t="shared" si="46"/>
        <v xml:space="preserve"> Fulya Beauty</v>
      </c>
      <c r="R248" t="str">
        <f t="shared" si="45"/>
        <v>HAPPY (FULYA COSMETICS)</v>
      </c>
      <c r="T248" t="s">
        <v>201</v>
      </c>
      <c r="U248" t="str">
        <f t="shared" si="47"/>
        <v>BAGS</v>
      </c>
      <c r="V248" t="str">
        <f t="shared" si="48"/>
        <v>PH BALANCED</v>
      </c>
      <c r="W248" t="str">
        <f t="shared" si="49"/>
        <v>100</v>
      </c>
      <c r="X248" s="27">
        <f t="shared" si="50"/>
        <v>0</v>
      </c>
      <c r="Y248" s="27">
        <f t="shared" si="51"/>
        <v>6.88E-2</v>
      </c>
      <c r="Z248" s="27">
        <f t="shared" si="52"/>
        <v>1.5603</v>
      </c>
      <c r="AA248" s="27">
        <f t="shared" si="53"/>
        <v>0</v>
      </c>
      <c r="AB248" s="27">
        <f t="shared" si="54"/>
        <v>2.9011</v>
      </c>
      <c r="AC248" s="27">
        <f t="shared" si="55"/>
        <v>56.070300000000003</v>
      </c>
    </row>
    <row r="249" spans="1:29" ht="15" customHeight="1" x14ac:dyDescent="0.3">
      <c r="A249" s="22" t="s">
        <v>203</v>
      </c>
      <c r="B249" s="23" t="s">
        <v>8</v>
      </c>
      <c r="C249" s="23" t="s">
        <v>9</v>
      </c>
      <c r="D249" s="24" t="s">
        <v>20</v>
      </c>
      <c r="E249" s="24" t="s">
        <v>42</v>
      </c>
      <c r="F249" s="18">
        <v>225.05289999999999</v>
      </c>
      <c r="G249" s="19">
        <v>160.9256</v>
      </c>
      <c r="H249" s="20">
        <v>66.089799999999997</v>
      </c>
      <c r="I249" s="21">
        <v>14096.87</v>
      </c>
      <c r="J249" s="20">
        <v>9843.2201000000005</v>
      </c>
      <c r="K249" s="20">
        <v>3643.3836000000001</v>
      </c>
      <c r="M249" t="str">
        <f t="shared" si="42"/>
        <v/>
      </c>
      <c r="N249" s="29" t="str">
        <f t="shared" si="43"/>
        <v xml:space="preserve"> Fulya Beauty</v>
      </c>
      <c r="O249" t="str">
        <f t="shared" si="44"/>
        <v>HAPPY (FULYA COSMETICS)</v>
      </c>
      <c r="P249" t="str">
        <f t="shared" si="46"/>
        <v/>
      </c>
      <c r="R249" t="str">
        <f t="shared" si="45"/>
        <v/>
      </c>
      <c r="T249" t="s">
        <v>871</v>
      </c>
      <c r="U249" t="str">
        <f t="shared" si="47"/>
        <v/>
      </c>
      <c r="V249" t="str">
        <f t="shared" si="48"/>
        <v/>
      </c>
      <c r="W249" t="str">
        <f t="shared" si="49"/>
        <v/>
      </c>
      <c r="X249" s="27" t="str">
        <f t="shared" si="50"/>
        <v/>
      </c>
      <c r="Y249" s="27" t="str">
        <f t="shared" si="51"/>
        <v/>
      </c>
      <c r="Z249" s="27" t="str">
        <f t="shared" si="52"/>
        <v/>
      </c>
      <c r="AA249" s="27" t="str">
        <f t="shared" si="53"/>
        <v/>
      </c>
      <c r="AB249" s="27" t="str">
        <f t="shared" si="54"/>
        <v/>
      </c>
      <c r="AC249" s="27" t="str">
        <f t="shared" si="55"/>
        <v/>
      </c>
    </row>
    <row r="250" spans="1:29" ht="15" customHeight="1" x14ac:dyDescent="0.3">
      <c r="A250" s="14" t="s">
        <v>204</v>
      </c>
      <c r="B250" s="15" t="s">
        <v>6</v>
      </c>
      <c r="C250" s="16"/>
      <c r="D250" s="17"/>
      <c r="E250" s="17"/>
      <c r="F250" s="18">
        <v>27.677700000000002</v>
      </c>
      <c r="G250" s="19">
        <v>22.1416</v>
      </c>
      <c r="H250" s="20">
        <v>9.0610999999999997</v>
      </c>
      <c r="I250" s="21">
        <v>1974.3932</v>
      </c>
      <c r="J250" s="20">
        <v>1482.2675999999999</v>
      </c>
      <c r="K250" s="20">
        <v>601.1807</v>
      </c>
      <c r="M250" t="str">
        <f t="shared" si="42"/>
        <v>KIDS BABY WET WIPES W 72 BAG KAPACHE</v>
      </c>
      <c r="N250" s="29" t="str">
        <f t="shared" si="43"/>
        <v xml:space="preserve"> Fulya Beauty</v>
      </c>
      <c r="O250" t="str">
        <f t="shared" si="44"/>
        <v>KIDS (FULYA KOZM.)</v>
      </c>
      <c r="P250" t="str">
        <f t="shared" si="46"/>
        <v xml:space="preserve"> Fulya Beauty</v>
      </c>
      <c r="R250" t="str">
        <f t="shared" si="45"/>
        <v>KIDS (FULYA KOZM.)</v>
      </c>
      <c r="T250" t="s">
        <v>203</v>
      </c>
      <c r="U250" t="str">
        <f t="shared" si="47"/>
        <v>BAGS</v>
      </c>
      <c r="V250" t="str">
        <f t="shared" si="48"/>
        <v>PH BALANCED</v>
      </c>
      <c r="W250" t="str">
        <f t="shared" si="49"/>
        <v>72</v>
      </c>
      <c r="X250" s="27">
        <f t="shared" si="50"/>
        <v>225.05289999999999</v>
      </c>
      <c r="Y250" s="27">
        <f t="shared" si="51"/>
        <v>160.9256</v>
      </c>
      <c r="Z250" s="27">
        <f t="shared" si="52"/>
        <v>66.089799999999997</v>
      </c>
      <c r="AA250" s="27">
        <f t="shared" si="53"/>
        <v>14096.87</v>
      </c>
      <c r="AB250" s="27">
        <f t="shared" si="54"/>
        <v>9843.2201000000005</v>
      </c>
      <c r="AC250" s="27">
        <f t="shared" si="55"/>
        <v>3643.3836000000001</v>
      </c>
    </row>
    <row r="251" spans="1:29" ht="15" customHeight="1" x14ac:dyDescent="0.3">
      <c r="A251" s="22" t="s">
        <v>205</v>
      </c>
      <c r="B251" s="23" t="s">
        <v>8</v>
      </c>
      <c r="C251" s="23" t="s">
        <v>9</v>
      </c>
      <c r="D251" s="24" t="s">
        <v>30</v>
      </c>
      <c r="E251" s="24" t="s">
        <v>42</v>
      </c>
      <c r="F251" s="18">
        <v>27.677700000000002</v>
      </c>
      <c r="G251" s="19">
        <v>22.1416</v>
      </c>
      <c r="H251" s="20">
        <v>9.0610999999999997</v>
      </c>
      <c r="I251" s="21">
        <v>1974.3932</v>
      </c>
      <c r="J251" s="20">
        <v>1482.2675999999999</v>
      </c>
      <c r="K251" s="20">
        <v>601.1807</v>
      </c>
      <c r="M251" t="str">
        <f t="shared" si="42"/>
        <v/>
      </c>
      <c r="N251" s="29" t="str">
        <f t="shared" si="43"/>
        <v xml:space="preserve"> Fulya Beauty</v>
      </c>
      <c r="O251" t="str">
        <f t="shared" si="44"/>
        <v>KIDS (FULYA KOZM.)</v>
      </c>
      <c r="P251" t="str">
        <f t="shared" si="46"/>
        <v/>
      </c>
      <c r="R251" t="str">
        <f t="shared" si="45"/>
        <v/>
      </c>
      <c r="T251" t="s">
        <v>871</v>
      </c>
      <c r="U251" t="str">
        <f t="shared" si="47"/>
        <v/>
      </c>
      <c r="V251" t="str">
        <f t="shared" si="48"/>
        <v/>
      </c>
      <c r="W251" t="str">
        <f t="shared" si="49"/>
        <v/>
      </c>
      <c r="X251" s="27" t="str">
        <f t="shared" si="50"/>
        <v/>
      </c>
      <c r="Y251" s="27" t="str">
        <f t="shared" si="51"/>
        <v/>
      </c>
      <c r="Z251" s="27" t="str">
        <f t="shared" si="52"/>
        <v/>
      </c>
      <c r="AA251" s="27" t="str">
        <f t="shared" si="53"/>
        <v/>
      </c>
      <c r="AB251" s="27" t="str">
        <f t="shared" si="54"/>
        <v/>
      </c>
      <c r="AC251" s="27" t="str">
        <f t="shared" si="55"/>
        <v/>
      </c>
    </row>
    <row r="252" spans="1:29" ht="15" customHeight="1" x14ac:dyDescent="0.3">
      <c r="A252" s="14" t="s">
        <v>206</v>
      </c>
      <c r="B252" s="15" t="s">
        <v>6</v>
      </c>
      <c r="C252" s="16"/>
      <c r="D252" s="17"/>
      <c r="E252" s="17"/>
      <c r="F252" s="18"/>
      <c r="G252" s="19"/>
      <c r="H252" s="20"/>
      <c r="I252" s="21"/>
      <c r="J252" s="20"/>
      <c r="K252" s="20"/>
      <c r="M252" t="str">
        <f t="shared" si="42"/>
        <v>LIO FRESH BABY CREAM LOTION W 72 BAG</v>
      </c>
      <c r="N252" s="29" t="str">
        <f t="shared" si="43"/>
        <v xml:space="preserve"> Fulya Beauty</v>
      </c>
      <c r="O252" t="str">
        <f t="shared" si="44"/>
        <v>LIO FRESH (FULYA COSMETICS)</v>
      </c>
      <c r="P252" t="str">
        <f t="shared" si="46"/>
        <v xml:space="preserve"> Fulya Beauty</v>
      </c>
      <c r="R252" t="str">
        <f t="shared" si="45"/>
        <v>LIO FRESH (FULYA COSMETICS)</v>
      </c>
      <c r="T252" t="s">
        <v>205</v>
      </c>
      <c r="U252" t="str">
        <f t="shared" si="47"/>
        <v>BAGS</v>
      </c>
      <c r="V252" t="str">
        <f t="shared" si="48"/>
        <v>ALCOHOL FREE</v>
      </c>
      <c r="W252" t="str">
        <f t="shared" si="49"/>
        <v>72</v>
      </c>
      <c r="X252" s="27">
        <f t="shared" si="50"/>
        <v>27.677700000000002</v>
      </c>
      <c r="Y252" s="27">
        <f t="shared" si="51"/>
        <v>22.1416</v>
      </c>
      <c r="Z252" s="27">
        <f t="shared" si="52"/>
        <v>9.0610999999999997</v>
      </c>
      <c r="AA252" s="27">
        <f t="shared" si="53"/>
        <v>1974.3932</v>
      </c>
      <c r="AB252" s="27">
        <f t="shared" si="54"/>
        <v>1482.2675999999999</v>
      </c>
      <c r="AC252" s="27">
        <f t="shared" si="55"/>
        <v>601.1807</v>
      </c>
    </row>
    <row r="253" spans="1:29" ht="15" customHeight="1" x14ac:dyDescent="0.3">
      <c r="A253" s="22" t="s">
        <v>821</v>
      </c>
      <c r="B253" s="23" t="s">
        <v>8</v>
      </c>
      <c r="C253" s="23" t="s">
        <v>9</v>
      </c>
      <c r="D253" s="24" t="s">
        <v>30</v>
      </c>
      <c r="E253" s="24" t="s">
        <v>42</v>
      </c>
      <c r="F253" s="18"/>
      <c r="G253" s="19"/>
      <c r="H253" s="20"/>
      <c r="I253" s="21"/>
      <c r="J253" s="20"/>
      <c r="K253" s="20"/>
      <c r="M253" t="str">
        <f t="shared" si="42"/>
        <v/>
      </c>
      <c r="N253" s="29" t="str">
        <f t="shared" si="43"/>
        <v xml:space="preserve"> Fulya Beauty</v>
      </c>
      <c r="O253" t="str">
        <f t="shared" si="44"/>
        <v>LIO FRESH (FULYA COSMETICS)</v>
      </c>
      <c r="P253" t="str">
        <f t="shared" si="46"/>
        <v/>
      </c>
      <c r="R253" t="str">
        <f t="shared" si="45"/>
        <v/>
      </c>
      <c r="T253" t="s">
        <v>871</v>
      </c>
      <c r="U253" t="str">
        <f t="shared" si="47"/>
        <v/>
      </c>
      <c r="V253" t="str">
        <f t="shared" si="48"/>
        <v/>
      </c>
      <c r="W253" t="str">
        <f t="shared" si="49"/>
        <v/>
      </c>
      <c r="X253" s="27" t="str">
        <f t="shared" si="50"/>
        <v/>
      </c>
      <c r="Y253" s="27" t="str">
        <f t="shared" si="51"/>
        <v/>
      </c>
      <c r="Z253" s="27" t="str">
        <f t="shared" si="52"/>
        <v/>
      </c>
      <c r="AA253" s="27" t="str">
        <f t="shared" si="53"/>
        <v/>
      </c>
      <c r="AB253" s="27" t="str">
        <f t="shared" si="54"/>
        <v/>
      </c>
      <c r="AC253" s="27" t="str">
        <f t="shared" si="55"/>
        <v/>
      </c>
    </row>
    <row r="254" spans="1:29" ht="15" customHeight="1" x14ac:dyDescent="0.3">
      <c r="A254" s="14" t="s">
        <v>207</v>
      </c>
      <c r="B254" s="15" t="s">
        <v>6</v>
      </c>
      <c r="C254" s="16"/>
      <c r="D254" s="17"/>
      <c r="E254" s="17"/>
      <c r="F254" s="18">
        <v>138.01410000000001</v>
      </c>
      <c r="G254" s="19">
        <v>157.21960000000001</v>
      </c>
      <c r="H254" s="20">
        <v>81.463999999999999</v>
      </c>
      <c r="I254" s="21">
        <v>7869.3761999999997</v>
      </c>
      <c r="J254" s="20">
        <v>8660.3381000000008</v>
      </c>
      <c r="K254" s="20">
        <v>4114.0384000000004</v>
      </c>
      <c r="M254" t="str">
        <f t="shared" si="42"/>
        <v>LIOLA  FreshClean ALC.FREE W 72 BAG</v>
      </c>
      <c r="N254" s="29" t="str">
        <f t="shared" si="43"/>
        <v xml:space="preserve"> Fulya Beauty</v>
      </c>
      <c r="O254" t="str">
        <f t="shared" si="44"/>
        <v>LIOLA (FULYA COSMETICS)</v>
      </c>
      <c r="P254" t="str">
        <f t="shared" si="46"/>
        <v xml:space="preserve"> Fulya Beauty</v>
      </c>
      <c r="R254" t="str">
        <f t="shared" si="45"/>
        <v>LIOLA (FULYA COSMETICS)</v>
      </c>
      <c r="T254" t="s">
        <v>821</v>
      </c>
      <c r="U254" t="str">
        <f t="shared" si="47"/>
        <v>BAGS</v>
      </c>
      <c r="V254" t="str">
        <f t="shared" si="48"/>
        <v>ALCOHOL FREE</v>
      </c>
      <c r="W254" t="str">
        <f t="shared" si="49"/>
        <v>72</v>
      </c>
      <c r="X254" s="27">
        <f t="shared" si="50"/>
        <v>0</v>
      </c>
      <c r="Y254" s="27">
        <f t="shared" si="51"/>
        <v>0</v>
      </c>
      <c r="Z254" s="27">
        <f t="shared" si="52"/>
        <v>0</v>
      </c>
      <c r="AA254" s="27">
        <f t="shared" si="53"/>
        <v>0</v>
      </c>
      <c r="AB254" s="27">
        <f t="shared" si="54"/>
        <v>0</v>
      </c>
      <c r="AC254" s="27">
        <f t="shared" si="55"/>
        <v>0</v>
      </c>
    </row>
    <row r="255" spans="1:29" ht="15" customHeight="1" x14ac:dyDescent="0.3">
      <c r="A255" s="22" t="s">
        <v>208</v>
      </c>
      <c r="B255" s="23" t="s">
        <v>8</v>
      </c>
      <c r="C255" s="23" t="s">
        <v>9</v>
      </c>
      <c r="D255" s="24" t="s">
        <v>30</v>
      </c>
      <c r="E255" s="24" t="s">
        <v>24</v>
      </c>
      <c r="F255" s="18">
        <v>41.221899999999998</v>
      </c>
      <c r="G255" s="19">
        <v>44.201300000000003</v>
      </c>
      <c r="H255" s="20">
        <v>20.616900000000001</v>
      </c>
      <c r="I255" s="21">
        <v>1922.9742000000001</v>
      </c>
      <c r="J255" s="20">
        <v>2020.3897999999999</v>
      </c>
      <c r="K255" s="20">
        <v>923.72320000000002</v>
      </c>
      <c r="M255" t="str">
        <f t="shared" si="42"/>
        <v/>
      </c>
      <c r="N255" s="29" t="str">
        <f t="shared" si="43"/>
        <v xml:space="preserve"> Fulya Beauty</v>
      </c>
      <c r="O255" t="str">
        <f t="shared" si="44"/>
        <v>LIOLA (FULYA COSMETICS)</v>
      </c>
      <c r="P255" t="str">
        <f t="shared" si="46"/>
        <v/>
      </c>
      <c r="R255" t="str">
        <f t="shared" si="45"/>
        <v/>
      </c>
      <c r="T255" t="s">
        <v>871</v>
      </c>
      <c r="U255" t="str">
        <f t="shared" si="47"/>
        <v/>
      </c>
      <c r="V255" t="str">
        <f t="shared" si="48"/>
        <v/>
      </c>
      <c r="W255" t="str">
        <f t="shared" si="49"/>
        <v/>
      </c>
      <c r="X255" s="27" t="str">
        <f t="shared" si="50"/>
        <v/>
      </c>
      <c r="Y255" s="27" t="str">
        <f t="shared" si="51"/>
        <v/>
      </c>
      <c r="Z255" s="27" t="str">
        <f t="shared" si="52"/>
        <v/>
      </c>
      <c r="AA255" s="27" t="str">
        <f t="shared" si="53"/>
        <v/>
      </c>
      <c r="AB255" s="27" t="str">
        <f t="shared" si="54"/>
        <v/>
      </c>
      <c r="AC255" s="27" t="str">
        <f t="shared" si="55"/>
        <v/>
      </c>
    </row>
    <row r="256" spans="1:29" ht="15" customHeight="1" x14ac:dyDescent="0.3">
      <c r="A256" s="22" t="s">
        <v>209</v>
      </c>
      <c r="B256" s="23" t="s">
        <v>8</v>
      </c>
      <c r="C256" s="23" t="s">
        <v>9</v>
      </c>
      <c r="D256" s="24" t="s">
        <v>30</v>
      </c>
      <c r="E256" s="24" t="s">
        <v>24</v>
      </c>
      <c r="F256" s="18">
        <v>41.486600000000003</v>
      </c>
      <c r="G256" s="19">
        <v>73.395700000000005</v>
      </c>
      <c r="H256" s="20">
        <v>40.033299999999997</v>
      </c>
      <c r="I256" s="21">
        <v>2454.0007999999998</v>
      </c>
      <c r="J256" s="20">
        <v>4307.1679999999997</v>
      </c>
      <c r="K256" s="20">
        <v>2180.9749000000002</v>
      </c>
      <c r="M256" t="str">
        <f t="shared" si="42"/>
        <v>NEMDIL BABY ROSE W 120 BAG KAPAK</v>
      </c>
      <c r="N256" s="29" t="str">
        <f t="shared" si="43"/>
        <v xml:space="preserve"> Fulya Beauty</v>
      </c>
      <c r="O256" t="str">
        <f t="shared" si="44"/>
        <v>NEMDIL (FULYA COSMETICS)</v>
      </c>
      <c r="P256" t="str">
        <f t="shared" si="46"/>
        <v xml:space="preserve"> Fulya Beauty</v>
      </c>
      <c r="R256" t="str">
        <f t="shared" si="45"/>
        <v>NEMDIL (FULYA COSMETICS)</v>
      </c>
      <c r="T256" t="s">
        <v>208</v>
      </c>
      <c r="U256" t="str">
        <f t="shared" si="47"/>
        <v>BAGS</v>
      </c>
      <c r="V256" t="str">
        <f t="shared" si="48"/>
        <v>ALCOHOL FREE</v>
      </c>
      <c r="W256" t="str">
        <f t="shared" si="49"/>
        <v>120</v>
      </c>
      <c r="X256" s="27">
        <f t="shared" si="50"/>
        <v>41.221899999999998</v>
      </c>
      <c r="Y256" s="27">
        <f t="shared" si="51"/>
        <v>44.201300000000003</v>
      </c>
      <c r="Z256" s="27">
        <f t="shared" si="52"/>
        <v>20.616900000000001</v>
      </c>
      <c r="AA256" s="27">
        <f t="shared" si="53"/>
        <v>1922.9742000000001</v>
      </c>
      <c r="AB256" s="27">
        <f t="shared" si="54"/>
        <v>2020.3897999999999</v>
      </c>
      <c r="AC256" s="27">
        <f t="shared" si="55"/>
        <v>923.72320000000002</v>
      </c>
    </row>
    <row r="257" spans="1:29" ht="15" customHeight="1" x14ac:dyDescent="0.3">
      <c r="A257" s="22" t="s">
        <v>210</v>
      </c>
      <c r="B257" s="23" t="s">
        <v>8</v>
      </c>
      <c r="C257" s="23" t="s">
        <v>9</v>
      </c>
      <c r="D257" s="24" t="s">
        <v>30</v>
      </c>
      <c r="E257" s="24" t="s">
        <v>42</v>
      </c>
      <c r="F257" s="18"/>
      <c r="G257" s="19"/>
      <c r="H257" s="20">
        <v>0.36020000000000002</v>
      </c>
      <c r="I257" s="21"/>
      <c r="J257" s="20"/>
      <c r="K257" s="20">
        <v>18.523700000000002</v>
      </c>
      <c r="M257" t="str">
        <f t="shared" si="42"/>
        <v>NEMDIL BABY WITH CREAM W 120 BAG KAPAK</v>
      </c>
      <c r="N257" s="29" t="str">
        <f t="shared" si="43"/>
        <v xml:space="preserve"> Fulya Beauty</v>
      </c>
      <c r="O257" t="str">
        <f t="shared" si="44"/>
        <v>NEMDIL (FULYA COSMETICS)</v>
      </c>
      <c r="P257" t="str">
        <f t="shared" si="46"/>
        <v xml:space="preserve"> Fulya Beauty</v>
      </c>
      <c r="R257" t="str">
        <f t="shared" si="45"/>
        <v>NEMDIL (FULYA COSMETICS)</v>
      </c>
      <c r="T257" t="s">
        <v>209</v>
      </c>
      <c r="U257" t="str">
        <f t="shared" si="47"/>
        <v>BAGS</v>
      </c>
      <c r="V257" t="str">
        <f t="shared" si="48"/>
        <v>ALCOHOL FREE</v>
      </c>
      <c r="W257" t="str">
        <f t="shared" si="49"/>
        <v>120</v>
      </c>
      <c r="X257" s="27">
        <f t="shared" si="50"/>
        <v>41.486600000000003</v>
      </c>
      <c r="Y257" s="27">
        <f t="shared" si="51"/>
        <v>73.395700000000005</v>
      </c>
      <c r="Z257" s="27">
        <f t="shared" si="52"/>
        <v>40.033299999999997</v>
      </c>
      <c r="AA257" s="27">
        <f t="shared" si="53"/>
        <v>2454.0007999999998</v>
      </c>
      <c r="AB257" s="27">
        <f t="shared" si="54"/>
        <v>4307.1679999999997</v>
      </c>
      <c r="AC257" s="27">
        <f t="shared" si="55"/>
        <v>2180.9749000000002</v>
      </c>
    </row>
    <row r="258" spans="1:29" ht="15" customHeight="1" x14ac:dyDescent="0.3">
      <c r="A258" s="22" t="s">
        <v>211</v>
      </c>
      <c r="B258" s="23" t="s">
        <v>8</v>
      </c>
      <c r="C258" s="23" t="s">
        <v>9</v>
      </c>
      <c r="D258" s="24" t="s">
        <v>10</v>
      </c>
      <c r="E258" s="24" t="s">
        <v>42</v>
      </c>
      <c r="F258" s="18">
        <v>50.296300000000002</v>
      </c>
      <c r="G258" s="19">
        <v>34.107599999999998</v>
      </c>
      <c r="H258" s="20">
        <v>15.9543</v>
      </c>
      <c r="I258" s="21">
        <v>3350.8564000000001</v>
      </c>
      <c r="J258" s="20">
        <v>2178.5326</v>
      </c>
      <c r="K258" s="20">
        <v>866.22</v>
      </c>
      <c r="M258" t="str">
        <f t="shared" si="42"/>
        <v>NEMDIL BABY ALCOHOL FREE W 72 BAG</v>
      </c>
      <c r="N258" s="29" t="str">
        <f t="shared" si="43"/>
        <v xml:space="preserve"> Fulya Beauty</v>
      </c>
      <c r="O258" t="str">
        <f t="shared" si="44"/>
        <v>NEMDIL (FULYA COSMETICS)</v>
      </c>
      <c r="P258" t="str">
        <f t="shared" si="46"/>
        <v xml:space="preserve"> Fulya Beauty</v>
      </c>
      <c r="R258" t="str">
        <f t="shared" si="45"/>
        <v>NEMDIL (FULYA COSMETICS)</v>
      </c>
      <c r="T258" t="s">
        <v>210</v>
      </c>
      <c r="U258" t="str">
        <f t="shared" si="47"/>
        <v>BAGS</v>
      </c>
      <c r="V258" t="str">
        <f t="shared" si="48"/>
        <v>ALCOHOL FREE</v>
      </c>
      <c r="W258" t="str">
        <f t="shared" si="49"/>
        <v>72</v>
      </c>
      <c r="X258" s="27">
        <f t="shared" si="50"/>
        <v>0</v>
      </c>
      <c r="Y258" s="27">
        <f t="shared" si="51"/>
        <v>0</v>
      </c>
      <c r="Z258" s="27">
        <f t="shared" si="52"/>
        <v>0.36020000000000002</v>
      </c>
      <c r="AA258" s="27">
        <f t="shared" si="53"/>
        <v>0</v>
      </c>
      <c r="AB258" s="27">
        <f t="shared" si="54"/>
        <v>0</v>
      </c>
      <c r="AC258" s="27">
        <f t="shared" si="55"/>
        <v>18.523700000000002</v>
      </c>
    </row>
    <row r="259" spans="1:29" ht="15" customHeight="1" x14ac:dyDescent="0.3">
      <c r="A259" s="22" t="s">
        <v>212</v>
      </c>
      <c r="B259" s="23" t="s">
        <v>8</v>
      </c>
      <c r="C259" s="23" t="s">
        <v>9</v>
      </c>
      <c r="D259" s="24" t="s">
        <v>10</v>
      </c>
      <c r="E259" s="24" t="s">
        <v>42</v>
      </c>
      <c r="F259" s="18">
        <v>5.0095999999999998</v>
      </c>
      <c r="G259" s="19">
        <v>5.5152000000000001</v>
      </c>
      <c r="H259" s="20">
        <v>4.4993999999999996</v>
      </c>
      <c r="I259" s="21">
        <v>141.5444</v>
      </c>
      <c r="J259" s="20">
        <v>154.2473</v>
      </c>
      <c r="K259" s="20">
        <v>124.59650000000001</v>
      </c>
      <c r="M259" t="str">
        <f t="shared" si="42"/>
        <v>NEMDIL BABY OLIVE OIL CAMOMILE W 72 BAG</v>
      </c>
      <c r="N259" s="29" t="str">
        <f t="shared" si="43"/>
        <v xml:space="preserve"> Fulya Beauty</v>
      </c>
      <c r="O259" t="str">
        <f t="shared" si="44"/>
        <v>NEMDIL (FULYA COSMETICS)</v>
      </c>
      <c r="P259" t="str">
        <f t="shared" si="46"/>
        <v xml:space="preserve"> Fulya Beauty</v>
      </c>
      <c r="R259" t="str">
        <f t="shared" si="45"/>
        <v>NEMDIL (FULYA COSMETICS)</v>
      </c>
      <c r="T259" t="s">
        <v>211</v>
      </c>
      <c r="U259" t="str">
        <f t="shared" si="47"/>
        <v>BAGS</v>
      </c>
      <c r="V259" t="str">
        <f t="shared" si="48"/>
        <v>WITHOUT EXTRA PROTECTCARE INDICATION</v>
      </c>
      <c r="W259" t="str">
        <f t="shared" si="49"/>
        <v>72</v>
      </c>
      <c r="X259" s="27">
        <f t="shared" si="50"/>
        <v>50.296300000000002</v>
      </c>
      <c r="Y259" s="27">
        <f t="shared" si="51"/>
        <v>34.107599999999998</v>
      </c>
      <c r="Z259" s="27">
        <f t="shared" si="52"/>
        <v>15.9543</v>
      </c>
      <c r="AA259" s="27">
        <f t="shared" si="53"/>
        <v>3350.8564000000001</v>
      </c>
      <c r="AB259" s="27">
        <f t="shared" si="54"/>
        <v>2178.5326</v>
      </c>
      <c r="AC259" s="27">
        <f t="shared" si="55"/>
        <v>866.22</v>
      </c>
    </row>
    <row r="260" spans="1:29" ht="15" customHeight="1" x14ac:dyDescent="0.3">
      <c r="A260" s="14" t="s">
        <v>213</v>
      </c>
      <c r="B260" s="15" t="s">
        <v>6</v>
      </c>
      <c r="C260" s="16"/>
      <c r="D260" s="17"/>
      <c r="E260" s="17"/>
      <c r="F260" s="18">
        <v>4.6416000000000004</v>
      </c>
      <c r="G260" s="19">
        <v>5.1684999999999999</v>
      </c>
      <c r="H260" s="20">
        <v>0.78010000000000002</v>
      </c>
      <c r="I260" s="21">
        <v>142.55420000000001</v>
      </c>
      <c r="J260" s="20">
        <v>145.93899999999999</v>
      </c>
      <c r="K260" s="20">
        <v>21.435099999999998</v>
      </c>
      <c r="M260" t="str">
        <f t="shared" si="42"/>
        <v>NEMDIL BABYDELUXEALOE&amp;MIK&amp;HONEY W 72KAPA</v>
      </c>
      <c r="N260" s="29" t="str">
        <f t="shared" si="43"/>
        <v xml:space="preserve"> Fulya Beauty</v>
      </c>
      <c r="O260" t="str">
        <f t="shared" si="44"/>
        <v>NEMDIL (FULYA COSMETICS)</v>
      </c>
      <c r="P260" t="str">
        <f t="shared" si="46"/>
        <v xml:space="preserve"> Fulya Beauty</v>
      </c>
      <c r="R260" t="str">
        <f t="shared" si="45"/>
        <v>NEMDIL (FULYA COSMETICS)</v>
      </c>
      <c r="T260" t="s">
        <v>212</v>
      </c>
      <c r="U260" t="str">
        <f t="shared" si="47"/>
        <v>BAGS</v>
      </c>
      <c r="V260" t="str">
        <f t="shared" si="48"/>
        <v>WITHOUT EXTRA PROTECTCARE INDICATION</v>
      </c>
      <c r="W260" t="str">
        <f t="shared" si="49"/>
        <v>72</v>
      </c>
      <c r="X260" s="27">
        <f t="shared" si="50"/>
        <v>5.0095999999999998</v>
      </c>
      <c r="Y260" s="27">
        <f t="shared" si="51"/>
        <v>5.5152000000000001</v>
      </c>
      <c r="Z260" s="27">
        <f t="shared" si="52"/>
        <v>4.4993999999999996</v>
      </c>
      <c r="AA260" s="27">
        <f t="shared" si="53"/>
        <v>141.5444</v>
      </c>
      <c r="AB260" s="27">
        <f t="shared" si="54"/>
        <v>154.2473</v>
      </c>
      <c r="AC260" s="27">
        <f t="shared" si="55"/>
        <v>124.59650000000001</v>
      </c>
    </row>
    <row r="261" spans="1:29" ht="15" customHeight="1" x14ac:dyDescent="0.3">
      <c r="A261" s="22" t="s">
        <v>214</v>
      </c>
      <c r="B261" s="23" t="s">
        <v>8</v>
      </c>
      <c r="C261" s="23" t="s">
        <v>9</v>
      </c>
      <c r="D261" s="24" t="s">
        <v>30</v>
      </c>
      <c r="E261" s="24" t="s">
        <v>42</v>
      </c>
      <c r="F261" s="18">
        <v>4.6416000000000004</v>
      </c>
      <c r="G261" s="19">
        <v>5.1684999999999999</v>
      </c>
      <c r="H261" s="20">
        <v>0.78010000000000002</v>
      </c>
      <c r="I261" s="21">
        <v>142.55420000000001</v>
      </c>
      <c r="J261" s="20">
        <v>145.93899999999999</v>
      </c>
      <c r="K261" s="20">
        <v>21.435099999999998</v>
      </c>
      <c r="M261" t="str">
        <f t="shared" ref="M261:M324" si="56">IF(B260="ITEM",A260,"")</f>
        <v/>
      </c>
      <c r="N261" s="29" t="str">
        <f t="shared" si="43"/>
        <v xml:space="preserve"> Fulya Beauty</v>
      </c>
      <c r="O261" t="str">
        <f t="shared" si="44"/>
        <v>NEMDIL (FULYA COSMETICS)</v>
      </c>
      <c r="P261" t="str">
        <f t="shared" si="46"/>
        <v/>
      </c>
      <c r="R261" t="str">
        <f t="shared" si="45"/>
        <v/>
      </c>
      <c r="T261" t="s">
        <v>871</v>
      </c>
      <c r="U261" t="str">
        <f t="shared" si="47"/>
        <v/>
      </c>
      <c r="V261" t="str">
        <f t="shared" si="48"/>
        <v/>
      </c>
      <c r="W261" t="str">
        <f t="shared" si="49"/>
        <v/>
      </c>
      <c r="X261" s="27" t="str">
        <f t="shared" si="50"/>
        <v/>
      </c>
      <c r="Y261" s="27" t="str">
        <f t="shared" si="51"/>
        <v/>
      </c>
      <c r="Z261" s="27" t="str">
        <f t="shared" si="52"/>
        <v/>
      </c>
      <c r="AA261" s="27" t="str">
        <f t="shared" si="53"/>
        <v/>
      </c>
      <c r="AB261" s="27" t="str">
        <f t="shared" si="54"/>
        <v/>
      </c>
      <c r="AC261" s="27" t="str">
        <f t="shared" si="55"/>
        <v/>
      </c>
    </row>
    <row r="262" spans="1:29" ht="15" customHeight="1" x14ac:dyDescent="0.3">
      <c r="A262" s="14" t="s">
        <v>215</v>
      </c>
      <c r="B262" s="15" t="s">
        <v>6</v>
      </c>
      <c r="C262" s="16"/>
      <c r="D262" s="17"/>
      <c r="E262" s="17"/>
      <c r="F262" s="18">
        <v>137.1788</v>
      </c>
      <c r="G262" s="19">
        <v>116.5658</v>
      </c>
      <c r="H262" s="20">
        <v>65.912899999999993</v>
      </c>
      <c r="I262" s="21">
        <v>7929.3796000000002</v>
      </c>
      <c r="J262" s="20">
        <v>6740.5910999999996</v>
      </c>
      <c r="K262" s="20">
        <v>3524.3125</v>
      </c>
      <c r="M262" t="str">
        <f t="shared" si="56"/>
        <v>PREMIUM QUALITY BABY W 72 BAG &amp;&amp;&amp;</v>
      </c>
      <c r="N262" s="29" t="str">
        <f t="shared" si="43"/>
        <v xml:space="preserve"> Fulya Beauty</v>
      </c>
      <c r="O262" t="str">
        <f t="shared" si="44"/>
        <v>PREMIUM (FULYA COSMETICS)</v>
      </c>
      <c r="P262" t="str">
        <f t="shared" si="46"/>
        <v xml:space="preserve"> Fulya Beauty</v>
      </c>
      <c r="R262" t="str">
        <f t="shared" si="45"/>
        <v>PREMIUM (FULYA COSMETICS)</v>
      </c>
      <c r="T262" t="s">
        <v>214</v>
      </c>
      <c r="U262" t="str">
        <f t="shared" si="47"/>
        <v>BAGS</v>
      </c>
      <c r="V262" t="str">
        <f t="shared" si="48"/>
        <v>ALCOHOL FREE</v>
      </c>
      <c r="W262" t="str">
        <f t="shared" si="49"/>
        <v>72</v>
      </c>
      <c r="X262" s="27">
        <f t="shared" si="50"/>
        <v>4.6416000000000004</v>
      </c>
      <c r="Y262" s="27">
        <f t="shared" si="51"/>
        <v>5.1684999999999999</v>
      </c>
      <c r="Z262" s="27">
        <f t="shared" si="52"/>
        <v>0.78010000000000002</v>
      </c>
      <c r="AA262" s="27">
        <f t="shared" si="53"/>
        <v>142.55420000000001</v>
      </c>
      <c r="AB262" s="27">
        <f t="shared" si="54"/>
        <v>145.93899999999999</v>
      </c>
      <c r="AC262" s="27">
        <f t="shared" si="55"/>
        <v>21.435099999999998</v>
      </c>
    </row>
    <row r="263" spans="1:29" ht="15" customHeight="1" x14ac:dyDescent="0.3">
      <c r="A263" s="22" t="s">
        <v>216</v>
      </c>
      <c r="B263" s="23" t="s">
        <v>8</v>
      </c>
      <c r="C263" s="23" t="s">
        <v>9</v>
      </c>
      <c r="D263" s="24" t="s">
        <v>30</v>
      </c>
      <c r="E263" s="24" t="s">
        <v>24</v>
      </c>
      <c r="F263" s="18">
        <v>137.1788</v>
      </c>
      <c r="G263" s="19">
        <v>116.5658</v>
      </c>
      <c r="H263" s="20">
        <v>65.912899999999993</v>
      </c>
      <c r="I263" s="21">
        <v>7929.3796000000002</v>
      </c>
      <c r="J263" s="20">
        <v>6740.5910999999996</v>
      </c>
      <c r="K263" s="20">
        <v>3524.3125</v>
      </c>
      <c r="M263" t="str">
        <f t="shared" si="56"/>
        <v/>
      </c>
      <c r="N263" s="29" t="str">
        <f t="shared" ref="N263:N326" si="57">IF(B260="MANUFACTURER",A260,N262)</f>
        <v xml:space="preserve"> Fulya Beauty</v>
      </c>
      <c r="O263" t="str">
        <f t="shared" ref="O263:O326" si="58">IF(B261="BRAND",A261,O262)</f>
        <v>PREMIUM (FULYA COSMETICS)</v>
      </c>
      <c r="P263" t="str">
        <f t="shared" si="46"/>
        <v/>
      </c>
      <c r="R263" t="str">
        <f t="shared" ref="R263:R326" si="59">IF(B262="ITEM",O263,"")</f>
        <v/>
      </c>
      <c r="T263" t="s">
        <v>871</v>
      </c>
      <c r="U263" t="str">
        <f t="shared" si="47"/>
        <v/>
      </c>
      <c r="V263" t="str">
        <f t="shared" si="48"/>
        <v/>
      </c>
      <c r="W263" t="str">
        <f t="shared" si="49"/>
        <v/>
      </c>
      <c r="X263" s="27" t="str">
        <f t="shared" si="50"/>
        <v/>
      </c>
      <c r="Y263" s="27" t="str">
        <f t="shared" si="51"/>
        <v/>
      </c>
      <c r="Z263" s="27" t="str">
        <f t="shared" si="52"/>
        <v/>
      </c>
      <c r="AA263" s="27" t="str">
        <f t="shared" si="53"/>
        <v/>
      </c>
      <c r="AB263" s="27" t="str">
        <f t="shared" si="54"/>
        <v/>
      </c>
      <c r="AC263" s="27" t="str">
        <f t="shared" si="55"/>
        <v/>
      </c>
    </row>
    <row r="264" spans="1:29" ht="14.25" customHeight="1" x14ac:dyDescent="0.3">
      <c r="A264" s="25" t="s">
        <v>745</v>
      </c>
      <c r="B264" s="4" t="s">
        <v>5</v>
      </c>
      <c r="C264" s="4"/>
      <c r="D264" s="5"/>
      <c r="E264" s="5"/>
      <c r="F264" s="10">
        <v>14.2293</v>
      </c>
      <c r="G264" s="11">
        <v>21.789000000000001</v>
      </c>
      <c r="H264" s="12">
        <v>7.9466000000000001</v>
      </c>
      <c r="I264" s="13">
        <v>761.61429999999996</v>
      </c>
      <c r="J264" s="12">
        <v>1129.7994000000001</v>
      </c>
      <c r="K264" s="12">
        <v>412.24349999999998</v>
      </c>
      <c r="M264" t="str">
        <f t="shared" si="56"/>
        <v>PURE BABY LILIUM W 120 BAG KAPAK</v>
      </c>
      <c r="N264" s="29" t="str">
        <f t="shared" si="57"/>
        <v xml:space="preserve"> Fulya Beauty</v>
      </c>
      <c r="O264" t="str">
        <f t="shared" si="58"/>
        <v>PURE (FULYA COSMETICS)</v>
      </c>
      <c r="P264" t="str">
        <f t="shared" ref="P264:P327" si="60">IF(B263="ITEM",N264,"")</f>
        <v xml:space="preserve"> Fulya Beauty</v>
      </c>
      <c r="R264" t="str">
        <f t="shared" si="59"/>
        <v>PURE (FULYA COSMETICS)</v>
      </c>
      <c r="T264" t="s">
        <v>216</v>
      </c>
      <c r="U264" t="str">
        <f t="shared" ref="U264:U327" si="61">IF(B263="ITEM",C263,"")</f>
        <v>BAGS</v>
      </c>
      <c r="V264" t="str">
        <f t="shared" ref="V264:V327" si="62">IF(B263="ITEM",D263,"")</f>
        <v>ALCOHOL FREE</v>
      </c>
      <c r="W264" t="str">
        <f t="shared" ref="W264:W327" si="63">IF(B263="ITEM",E263,"")</f>
        <v>120</v>
      </c>
      <c r="X264" s="27">
        <f t="shared" ref="X264:X327" si="64">IF(B263 = "ITEM",F263,"")</f>
        <v>137.1788</v>
      </c>
      <c r="Y264" s="27">
        <f t="shared" ref="Y264:Y327" si="65">IF(B263="ITEM",G263,"")</f>
        <v>116.5658</v>
      </c>
      <c r="Z264" s="27">
        <f t="shared" ref="Z264:Z327" si="66">IF(B263="ITEM",H263,"")</f>
        <v>65.912899999999993</v>
      </c>
      <c r="AA264" s="27">
        <f t="shared" ref="AA264:AA327" si="67">IF(B263="ITEM",I263,"")</f>
        <v>7929.3796000000002</v>
      </c>
      <c r="AB264" s="27">
        <f t="shared" ref="AB264:AB327" si="68">IF(B263="ITEM",J263,"")</f>
        <v>6740.5910999999996</v>
      </c>
      <c r="AC264" s="27">
        <f t="shared" ref="AC264:AC327" si="69">IF(B263="ITEM",K263,"")</f>
        <v>3524.3125</v>
      </c>
    </row>
    <row r="265" spans="1:29" ht="15" customHeight="1" x14ac:dyDescent="0.3">
      <c r="A265" s="14" t="s">
        <v>217</v>
      </c>
      <c r="B265" s="15" t="s">
        <v>6</v>
      </c>
      <c r="C265" s="16"/>
      <c r="D265" s="17"/>
      <c r="E265" s="17"/>
      <c r="F265" s="18">
        <v>14.2293</v>
      </c>
      <c r="G265" s="19">
        <v>21.789000000000001</v>
      </c>
      <c r="H265" s="20">
        <v>7.9466000000000001</v>
      </c>
      <c r="I265" s="21">
        <v>761.61429999999996</v>
      </c>
      <c r="J265" s="20">
        <v>1129.7994000000001</v>
      </c>
      <c r="K265" s="20">
        <v>412.24349999999998</v>
      </c>
      <c r="M265" t="str">
        <f t="shared" si="56"/>
        <v/>
      </c>
      <c r="N265" s="29" t="str">
        <f t="shared" si="57"/>
        <v xml:space="preserve"> Fulya Beauty</v>
      </c>
      <c r="O265" t="str">
        <f t="shared" si="58"/>
        <v>PURE (FULYA COSMETICS)</v>
      </c>
      <c r="P265" t="str">
        <f t="shared" si="60"/>
        <v/>
      </c>
      <c r="R265" t="str">
        <f t="shared" si="59"/>
        <v/>
      </c>
      <c r="T265" t="s">
        <v>871</v>
      </c>
      <c r="U265" t="str">
        <f t="shared" si="61"/>
        <v/>
      </c>
      <c r="V265" t="str">
        <f t="shared" si="62"/>
        <v/>
      </c>
      <c r="W265" t="str">
        <f t="shared" si="63"/>
        <v/>
      </c>
      <c r="X265" s="27" t="str">
        <f t="shared" si="64"/>
        <v/>
      </c>
      <c r="Y265" s="27" t="str">
        <f t="shared" si="65"/>
        <v/>
      </c>
      <c r="Z265" s="27" t="str">
        <f t="shared" si="66"/>
        <v/>
      </c>
      <c r="AA265" s="27" t="str">
        <f t="shared" si="67"/>
        <v/>
      </c>
      <c r="AB265" s="27" t="str">
        <f t="shared" si="68"/>
        <v/>
      </c>
      <c r="AC265" s="27" t="str">
        <f t="shared" si="69"/>
        <v/>
      </c>
    </row>
    <row r="266" spans="1:29" ht="15" customHeight="1" x14ac:dyDescent="0.3">
      <c r="A266" s="22" t="s">
        <v>218</v>
      </c>
      <c r="B266" s="23" t="s">
        <v>8</v>
      </c>
      <c r="C266" s="23" t="s">
        <v>9</v>
      </c>
      <c r="D266" s="24" t="s">
        <v>20</v>
      </c>
      <c r="E266" s="24" t="s">
        <v>21</v>
      </c>
      <c r="F266" s="18">
        <v>14.2293</v>
      </c>
      <c r="G266" s="19">
        <v>21.789000000000001</v>
      </c>
      <c r="H266" s="20">
        <v>7.9466000000000001</v>
      </c>
      <c r="I266" s="21">
        <v>761.61429999999996</v>
      </c>
      <c r="J266" s="20">
        <v>1129.7994000000001</v>
      </c>
      <c r="K266" s="20">
        <v>412.24349999999998</v>
      </c>
      <c r="M266" t="str">
        <f t="shared" si="56"/>
        <v/>
      </c>
      <c r="N266" s="29" t="str">
        <f t="shared" si="57"/>
        <v xml:space="preserve"> Fulya Beauty</v>
      </c>
      <c r="O266" t="str">
        <f t="shared" si="58"/>
        <v>PURE (FULYA COSMETICS)</v>
      </c>
      <c r="P266" t="str">
        <f t="shared" si="60"/>
        <v/>
      </c>
      <c r="R266" t="str">
        <f t="shared" si="59"/>
        <v/>
      </c>
      <c r="T266" t="s">
        <v>871</v>
      </c>
      <c r="U266" t="str">
        <f t="shared" si="61"/>
        <v/>
      </c>
      <c r="V266" t="str">
        <f t="shared" si="62"/>
        <v/>
      </c>
      <c r="W266" t="str">
        <f t="shared" si="63"/>
        <v/>
      </c>
      <c r="X266" s="27" t="str">
        <f t="shared" si="64"/>
        <v/>
      </c>
      <c r="Y266" s="27" t="str">
        <f t="shared" si="65"/>
        <v/>
      </c>
      <c r="Z266" s="27" t="str">
        <f t="shared" si="66"/>
        <v/>
      </c>
      <c r="AA266" s="27" t="str">
        <f t="shared" si="67"/>
        <v/>
      </c>
      <c r="AB266" s="27" t="str">
        <f t="shared" si="68"/>
        <v/>
      </c>
      <c r="AC266" s="27" t="str">
        <f t="shared" si="69"/>
        <v/>
      </c>
    </row>
    <row r="267" spans="1:29" ht="14.25" customHeight="1" x14ac:dyDescent="0.3">
      <c r="A267" s="25" t="s">
        <v>746</v>
      </c>
      <c r="B267" s="4" t="s">
        <v>5</v>
      </c>
      <c r="C267" s="4"/>
      <c r="D267" s="5"/>
      <c r="E267" s="5"/>
      <c r="F267" s="10">
        <v>7.4866999999999999</v>
      </c>
      <c r="G267" s="11">
        <v>1.5100000000000001E-2</v>
      </c>
      <c r="H267" s="12"/>
      <c r="I267" s="13">
        <v>509.18150000000003</v>
      </c>
      <c r="J267" s="12">
        <v>0.77590000000000003</v>
      </c>
      <c r="K267" s="12"/>
      <c r="M267" t="str">
        <f t="shared" si="56"/>
        <v>NAPEEZBYGRACIA BABY PH5.5 100 BAG KAPAK</v>
      </c>
      <c r="N267" s="29" t="str">
        <f t="shared" si="57"/>
        <v xml:space="preserve"> Grace Corp</v>
      </c>
      <c r="O267" t="str">
        <f t="shared" si="58"/>
        <v>NAPEEZ BY GRACIA (GRACIA COMPANY)</v>
      </c>
      <c r="P267" t="str">
        <f t="shared" si="60"/>
        <v xml:space="preserve"> Grace Corp</v>
      </c>
      <c r="R267" t="str">
        <f t="shared" si="59"/>
        <v>NAPEEZ BY GRACIA (GRACIA COMPANY)</v>
      </c>
      <c r="T267" t="s">
        <v>218</v>
      </c>
      <c r="U267" t="str">
        <f t="shared" si="61"/>
        <v>BAGS</v>
      </c>
      <c r="V267" t="str">
        <f t="shared" si="62"/>
        <v>PH BALANCED</v>
      </c>
      <c r="W267" t="str">
        <f t="shared" si="63"/>
        <v>100</v>
      </c>
      <c r="X267" s="27">
        <f t="shared" si="64"/>
        <v>14.2293</v>
      </c>
      <c r="Y267" s="27">
        <f t="shared" si="65"/>
        <v>21.789000000000001</v>
      </c>
      <c r="Z267" s="27">
        <f t="shared" si="66"/>
        <v>7.9466000000000001</v>
      </c>
      <c r="AA267" s="27">
        <f t="shared" si="67"/>
        <v>761.61429999999996</v>
      </c>
      <c r="AB267" s="27">
        <f t="shared" si="68"/>
        <v>1129.7994000000001</v>
      </c>
      <c r="AC267" s="27">
        <f t="shared" si="69"/>
        <v>412.24349999999998</v>
      </c>
    </row>
    <row r="268" spans="1:29" ht="15" customHeight="1" x14ac:dyDescent="0.3">
      <c r="A268" s="14" t="s">
        <v>219</v>
      </c>
      <c r="B268" s="15" t="s">
        <v>6</v>
      </c>
      <c r="C268" s="16"/>
      <c r="D268" s="17"/>
      <c r="E268" s="17"/>
      <c r="F268" s="18">
        <v>7.4866999999999999</v>
      </c>
      <c r="G268" s="19">
        <v>1.5100000000000001E-2</v>
      </c>
      <c r="H268" s="20"/>
      <c r="I268" s="21">
        <v>509.18150000000003</v>
      </c>
      <c r="J268" s="20">
        <v>0.77590000000000003</v>
      </c>
      <c r="K268" s="20"/>
      <c r="M268" t="str">
        <f t="shared" si="56"/>
        <v/>
      </c>
      <c r="N268" s="29" t="str">
        <f t="shared" si="57"/>
        <v xml:space="preserve"> Grace Corp</v>
      </c>
      <c r="O268" t="str">
        <f t="shared" si="58"/>
        <v>NAPEEZ BY GRACIA (GRACIA COMPANY)</v>
      </c>
      <c r="P268" t="str">
        <f t="shared" si="60"/>
        <v/>
      </c>
      <c r="R268" t="str">
        <f t="shared" si="59"/>
        <v/>
      </c>
      <c r="T268" t="s">
        <v>871</v>
      </c>
      <c r="U268" t="str">
        <f t="shared" si="61"/>
        <v/>
      </c>
      <c r="V268" t="str">
        <f t="shared" si="62"/>
        <v/>
      </c>
      <c r="W268" t="str">
        <f t="shared" si="63"/>
        <v/>
      </c>
      <c r="X268" s="27" t="str">
        <f t="shared" si="64"/>
        <v/>
      </c>
      <c r="Y268" s="27" t="str">
        <f t="shared" si="65"/>
        <v/>
      </c>
      <c r="Z268" s="27" t="str">
        <f t="shared" si="66"/>
        <v/>
      </c>
      <c r="AA268" s="27" t="str">
        <f t="shared" si="67"/>
        <v/>
      </c>
      <c r="AB268" s="27" t="str">
        <f t="shared" si="68"/>
        <v/>
      </c>
      <c r="AC268" s="27" t="str">
        <f t="shared" si="69"/>
        <v/>
      </c>
    </row>
    <row r="269" spans="1:29" ht="15" customHeight="1" x14ac:dyDescent="0.3">
      <c r="A269" s="22" t="s">
        <v>220</v>
      </c>
      <c r="B269" s="23" t="s">
        <v>8</v>
      </c>
      <c r="C269" s="23" t="s">
        <v>9</v>
      </c>
      <c r="D269" s="24" t="s">
        <v>64</v>
      </c>
      <c r="E269" s="24" t="s">
        <v>42</v>
      </c>
      <c r="F269" s="18">
        <v>7.4866999999999999</v>
      </c>
      <c r="G269" s="19">
        <v>1.5100000000000001E-2</v>
      </c>
      <c r="H269" s="20"/>
      <c r="I269" s="21">
        <v>509.18150000000003</v>
      </c>
      <c r="J269" s="20">
        <v>0.77590000000000003</v>
      </c>
      <c r="K269" s="20"/>
      <c r="M269" t="str">
        <f t="shared" si="56"/>
        <v/>
      </c>
      <c r="N269" s="29" t="str">
        <f t="shared" si="57"/>
        <v xml:space="preserve"> Grace Corp</v>
      </c>
      <c r="O269" t="str">
        <f t="shared" si="58"/>
        <v>NAPEEZ BY GRACIA (GRACIA COMPANY)</v>
      </c>
      <c r="P269" t="str">
        <f t="shared" si="60"/>
        <v/>
      </c>
      <c r="R269" t="str">
        <f t="shared" si="59"/>
        <v/>
      </c>
      <c r="T269" t="s">
        <v>871</v>
      </c>
      <c r="U269" t="str">
        <f t="shared" si="61"/>
        <v/>
      </c>
      <c r="V269" t="str">
        <f t="shared" si="62"/>
        <v/>
      </c>
      <c r="W269" t="str">
        <f t="shared" si="63"/>
        <v/>
      </c>
      <c r="X269" s="27" t="str">
        <f t="shared" si="64"/>
        <v/>
      </c>
      <c r="Y269" s="27" t="str">
        <f t="shared" si="65"/>
        <v/>
      </c>
      <c r="Z269" s="27" t="str">
        <f t="shared" si="66"/>
        <v/>
      </c>
      <c r="AA269" s="27" t="str">
        <f t="shared" si="67"/>
        <v/>
      </c>
      <c r="AB269" s="27" t="str">
        <f t="shared" si="68"/>
        <v/>
      </c>
      <c r="AC269" s="27" t="str">
        <f t="shared" si="69"/>
        <v/>
      </c>
    </row>
    <row r="270" spans="1:29" ht="14.25" customHeight="1" x14ac:dyDescent="0.3">
      <c r="A270" s="25" t="s">
        <v>747</v>
      </c>
      <c r="B270" s="4" t="s">
        <v>5</v>
      </c>
      <c r="C270" s="4"/>
      <c r="D270" s="5"/>
      <c r="E270" s="5"/>
      <c r="F270" s="10">
        <v>9.1872000000000007</v>
      </c>
      <c r="G270" s="11"/>
      <c r="H270" s="12"/>
      <c r="I270" s="13">
        <v>430.16879999999998</v>
      </c>
      <c r="J270" s="12"/>
      <c r="K270" s="12"/>
      <c r="M270" t="str">
        <f t="shared" si="56"/>
        <v>MIKE LINE SENSIT.CREAM LOTION W 72 BAG</v>
      </c>
      <c r="N270" s="29" t="str">
        <f t="shared" si="57"/>
        <v xml:space="preserve"> SouthernGroup SP</v>
      </c>
      <c r="O270" t="str">
        <f t="shared" si="58"/>
        <v>MIKE LINE (GRUPA POLUDNIE SP)</v>
      </c>
      <c r="P270" t="str">
        <f t="shared" si="60"/>
        <v xml:space="preserve"> SouthernGroup SP</v>
      </c>
      <c r="R270" t="str">
        <f t="shared" si="59"/>
        <v>MIKE LINE (GRUPA POLUDNIE SP)</v>
      </c>
      <c r="T270" t="s">
        <v>220</v>
      </c>
      <c r="U270" t="str">
        <f t="shared" si="61"/>
        <v>BAGS</v>
      </c>
      <c r="V270" t="str">
        <f t="shared" si="62"/>
        <v>SENSITIVE</v>
      </c>
      <c r="W270" t="str">
        <f t="shared" si="63"/>
        <v>72</v>
      </c>
      <c r="X270" s="27">
        <f t="shared" si="64"/>
        <v>7.4866999999999999</v>
      </c>
      <c r="Y270" s="27">
        <f t="shared" si="65"/>
        <v>1.5100000000000001E-2</v>
      </c>
      <c r="Z270" s="27">
        <f t="shared" si="66"/>
        <v>0</v>
      </c>
      <c r="AA270" s="27">
        <f t="shared" si="67"/>
        <v>509.18150000000003</v>
      </c>
      <c r="AB270" s="27">
        <f t="shared" si="68"/>
        <v>0.77590000000000003</v>
      </c>
      <c r="AC270" s="27">
        <f t="shared" si="69"/>
        <v>0</v>
      </c>
    </row>
    <row r="271" spans="1:29" ht="15" customHeight="1" x14ac:dyDescent="0.3">
      <c r="A271" s="14" t="s">
        <v>221</v>
      </c>
      <c r="B271" s="15" t="s">
        <v>6</v>
      </c>
      <c r="C271" s="16"/>
      <c r="D271" s="17"/>
      <c r="E271" s="17"/>
      <c r="F271" s="18">
        <v>9.1872000000000007</v>
      </c>
      <c r="G271" s="19"/>
      <c r="H271" s="20"/>
      <c r="I271" s="21">
        <v>430.16879999999998</v>
      </c>
      <c r="J271" s="20"/>
      <c r="K271" s="20"/>
      <c r="M271" t="str">
        <f t="shared" si="56"/>
        <v/>
      </c>
      <c r="N271" s="29" t="str">
        <f t="shared" si="57"/>
        <v xml:space="preserve"> SouthernGroup SP</v>
      </c>
      <c r="O271" t="str">
        <f t="shared" si="58"/>
        <v>MIKE LINE (GRUPA POLUDNIE SP)</v>
      </c>
      <c r="P271" t="str">
        <f t="shared" si="60"/>
        <v/>
      </c>
      <c r="R271" t="str">
        <f t="shared" si="59"/>
        <v/>
      </c>
      <c r="T271" t="s">
        <v>871</v>
      </c>
      <c r="U271" t="str">
        <f t="shared" si="61"/>
        <v/>
      </c>
      <c r="V271" t="str">
        <f t="shared" si="62"/>
        <v/>
      </c>
      <c r="W271" t="str">
        <f t="shared" si="63"/>
        <v/>
      </c>
      <c r="X271" s="27" t="str">
        <f t="shared" si="64"/>
        <v/>
      </c>
      <c r="Y271" s="27" t="str">
        <f t="shared" si="65"/>
        <v/>
      </c>
      <c r="Z271" s="27" t="str">
        <f t="shared" si="66"/>
        <v/>
      </c>
      <c r="AA271" s="27" t="str">
        <f t="shared" si="67"/>
        <v/>
      </c>
      <c r="AB271" s="27" t="str">
        <f t="shared" si="68"/>
        <v/>
      </c>
      <c r="AC271" s="27" t="str">
        <f t="shared" si="69"/>
        <v/>
      </c>
    </row>
    <row r="272" spans="1:29" ht="15" customHeight="1" x14ac:dyDescent="0.3">
      <c r="A272" s="22" t="s">
        <v>222</v>
      </c>
      <c r="B272" s="23" t="s">
        <v>8</v>
      </c>
      <c r="C272" s="23" t="s">
        <v>9</v>
      </c>
      <c r="D272" s="24" t="s">
        <v>64</v>
      </c>
      <c r="E272" s="24" t="s">
        <v>123</v>
      </c>
      <c r="F272" s="18"/>
      <c r="G272" s="19"/>
      <c r="H272" s="20"/>
      <c r="I272" s="21"/>
      <c r="J272" s="20"/>
      <c r="K272" s="20"/>
      <c r="M272" t="str">
        <f t="shared" si="56"/>
        <v/>
      </c>
      <c r="N272" s="29" t="str">
        <f t="shared" si="57"/>
        <v xml:space="preserve"> SouthernGroup SP</v>
      </c>
      <c r="O272" t="str">
        <f t="shared" si="58"/>
        <v>MIKE LINE (GRUPA POLUDNIE SP)</v>
      </c>
      <c r="P272" t="str">
        <f t="shared" si="60"/>
        <v/>
      </c>
      <c r="R272" t="str">
        <f t="shared" si="59"/>
        <v/>
      </c>
      <c r="T272" t="s">
        <v>871</v>
      </c>
      <c r="U272" t="str">
        <f t="shared" si="61"/>
        <v/>
      </c>
      <c r="V272" t="str">
        <f t="shared" si="62"/>
        <v/>
      </c>
      <c r="W272" t="str">
        <f t="shared" si="63"/>
        <v/>
      </c>
      <c r="X272" s="27" t="str">
        <f t="shared" si="64"/>
        <v/>
      </c>
      <c r="Y272" s="27" t="str">
        <f t="shared" si="65"/>
        <v/>
      </c>
      <c r="Z272" s="27" t="str">
        <f t="shared" si="66"/>
        <v/>
      </c>
      <c r="AA272" s="27" t="str">
        <f t="shared" si="67"/>
        <v/>
      </c>
      <c r="AB272" s="27" t="str">
        <f t="shared" si="68"/>
        <v/>
      </c>
      <c r="AC272" s="27" t="str">
        <f t="shared" si="69"/>
        <v/>
      </c>
    </row>
    <row r="273" spans="1:29" ht="15" customHeight="1" x14ac:dyDescent="0.3">
      <c r="A273" s="22" t="s">
        <v>223</v>
      </c>
      <c r="B273" s="23" t="s">
        <v>8</v>
      </c>
      <c r="C273" s="23" t="s">
        <v>9</v>
      </c>
      <c r="D273" s="24" t="s">
        <v>64</v>
      </c>
      <c r="E273" s="24" t="s">
        <v>123</v>
      </c>
      <c r="F273" s="18">
        <v>1.3945000000000001</v>
      </c>
      <c r="G273" s="19"/>
      <c r="H273" s="20"/>
      <c r="I273" s="21">
        <v>67.202299999999994</v>
      </c>
      <c r="J273" s="20"/>
      <c r="K273" s="20"/>
      <c r="M273" t="str">
        <f t="shared" si="56"/>
        <v>PRIME OLIODIARGAN SENSITIVE 63 BAG KAPAK</v>
      </c>
      <c r="N273" s="29" t="str">
        <f t="shared" si="57"/>
        <v xml:space="preserve"> AvellinoGroup SRL</v>
      </c>
      <c r="O273" t="str">
        <f t="shared" si="58"/>
        <v>PRIME (GRUPPO AVELLA SRL )</v>
      </c>
      <c r="P273" t="str">
        <f t="shared" si="60"/>
        <v xml:space="preserve"> AvellinoGroup SRL</v>
      </c>
      <c r="R273" t="str">
        <f t="shared" si="59"/>
        <v>PRIME (GRUPPO AVELLA SRL )</v>
      </c>
      <c r="T273" t="s">
        <v>222</v>
      </c>
      <c r="U273" t="str">
        <f t="shared" si="61"/>
        <v>BAGS</v>
      </c>
      <c r="V273" t="str">
        <f t="shared" si="62"/>
        <v>SENSITIVE</v>
      </c>
      <c r="W273" t="str">
        <f t="shared" si="63"/>
        <v>63</v>
      </c>
      <c r="X273" s="27">
        <f t="shared" si="64"/>
        <v>0</v>
      </c>
      <c r="Y273" s="27">
        <f t="shared" si="65"/>
        <v>0</v>
      </c>
      <c r="Z273" s="27">
        <f t="shared" si="66"/>
        <v>0</v>
      </c>
      <c r="AA273" s="27">
        <f t="shared" si="67"/>
        <v>0</v>
      </c>
      <c r="AB273" s="27">
        <f t="shared" si="68"/>
        <v>0</v>
      </c>
      <c r="AC273" s="27">
        <f t="shared" si="69"/>
        <v>0</v>
      </c>
    </row>
    <row r="274" spans="1:29" ht="15" customHeight="1" x14ac:dyDescent="0.3">
      <c r="A274" s="22" t="s">
        <v>224</v>
      </c>
      <c r="B274" s="23" t="s">
        <v>8</v>
      </c>
      <c r="C274" s="23" t="s">
        <v>9</v>
      </c>
      <c r="D274" s="24" t="s">
        <v>30</v>
      </c>
      <c r="E274" s="24" t="s">
        <v>42</v>
      </c>
      <c r="F274" s="18">
        <v>7.7927999999999997</v>
      </c>
      <c r="G274" s="19"/>
      <c r="H274" s="20"/>
      <c r="I274" s="21">
        <v>362.96660000000003</v>
      </c>
      <c r="J274" s="20"/>
      <c r="K274" s="20"/>
      <c r="M274" t="str">
        <f t="shared" si="56"/>
        <v>PRIME TALKO SENSITIVE 63 BAG KAPAK</v>
      </c>
      <c r="N274" s="29" t="str">
        <f t="shared" si="57"/>
        <v xml:space="preserve"> AvellinoGroup SRL</v>
      </c>
      <c r="O274" t="str">
        <f t="shared" si="58"/>
        <v>PRIME (GRUPPO AVELLA SRL )</v>
      </c>
      <c r="P274" t="str">
        <f t="shared" si="60"/>
        <v xml:space="preserve"> AvellinoGroup SRL</v>
      </c>
      <c r="R274" t="str">
        <f t="shared" si="59"/>
        <v>PRIME (GRUPPO AVELLA SRL )</v>
      </c>
      <c r="T274" t="s">
        <v>223</v>
      </c>
      <c r="U274" t="str">
        <f t="shared" si="61"/>
        <v>BAGS</v>
      </c>
      <c r="V274" t="str">
        <f t="shared" si="62"/>
        <v>SENSITIVE</v>
      </c>
      <c r="W274" t="str">
        <f t="shared" si="63"/>
        <v>63</v>
      </c>
      <c r="X274" s="27">
        <f t="shared" si="64"/>
        <v>1.3945000000000001</v>
      </c>
      <c r="Y274" s="27">
        <f t="shared" si="65"/>
        <v>0</v>
      </c>
      <c r="Z274" s="27">
        <f t="shared" si="66"/>
        <v>0</v>
      </c>
      <c r="AA274" s="27">
        <f t="shared" si="67"/>
        <v>67.202299999999994</v>
      </c>
      <c r="AB274" s="27">
        <f t="shared" si="68"/>
        <v>0</v>
      </c>
      <c r="AC274" s="27">
        <f t="shared" si="69"/>
        <v>0</v>
      </c>
    </row>
    <row r="275" spans="1:29" ht="14.25" customHeight="1" x14ac:dyDescent="0.3">
      <c r="A275" s="25" t="s">
        <v>748</v>
      </c>
      <c r="B275" s="4" t="s">
        <v>5</v>
      </c>
      <c r="C275" s="4"/>
      <c r="D275" s="5"/>
      <c r="E275" s="5"/>
      <c r="F275" s="10">
        <v>77.652299999999997</v>
      </c>
      <c r="G275" s="11">
        <v>36.366500000000002</v>
      </c>
      <c r="H275" s="12">
        <v>17.4222</v>
      </c>
      <c r="I275" s="13">
        <v>3136.2818000000002</v>
      </c>
      <c r="J275" s="12">
        <v>1512.1391000000001</v>
      </c>
      <c r="K275" s="12">
        <v>684.81539999999995</v>
      </c>
      <c r="M275" t="str">
        <f t="shared" si="56"/>
        <v>PRIME BABY ALC.FREE 72 BAG KAPAK</v>
      </c>
      <c r="N275" s="29" t="str">
        <f t="shared" si="57"/>
        <v xml:space="preserve"> AvellinoGroup SRL</v>
      </c>
      <c r="O275" t="str">
        <f t="shared" si="58"/>
        <v>PRIME (GRUPPO AVELLA SRL )</v>
      </c>
      <c r="P275" t="str">
        <f t="shared" si="60"/>
        <v xml:space="preserve"> AvellinoGroup SRL</v>
      </c>
      <c r="R275" t="str">
        <f t="shared" si="59"/>
        <v>PRIME (GRUPPO AVELLA SRL )</v>
      </c>
      <c r="T275" t="s">
        <v>224</v>
      </c>
      <c r="U275" t="str">
        <f t="shared" si="61"/>
        <v>BAGS</v>
      </c>
      <c r="V275" t="str">
        <f t="shared" si="62"/>
        <v>ALCOHOL FREE</v>
      </c>
      <c r="W275" t="str">
        <f t="shared" si="63"/>
        <v>72</v>
      </c>
      <c r="X275" s="27">
        <f t="shared" si="64"/>
        <v>7.7927999999999997</v>
      </c>
      <c r="Y275" s="27">
        <f t="shared" si="65"/>
        <v>0</v>
      </c>
      <c r="Z275" s="27">
        <f t="shared" si="66"/>
        <v>0</v>
      </c>
      <c r="AA275" s="27">
        <f t="shared" si="67"/>
        <v>362.96660000000003</v>
      </c>
      <c r="AB275" s="27">
        <f t="shared" si="68"/>
        <v>0</v>
      </c>
      <c r="AC275" s="27">
        <f t="shared" si="69"/>
        <v>0</v>
      </c>
    </row>
    <row r="276" spans="1:29" ht="15" customHeight="1" x14ac:dyDescent="0.3">
      <c r="A276" s="14" t="s">
        <v>225</v>
      </c>
      <c r="B276" s="15" t="s">
        <v>6</v>
      </c>
      <c r="C276" s="16"/>
      <c r="D276" s="17"/>
      <c r="E276" s="17"/>
      <c r="F276" s="18">
        <v>76.472300000000004</v>
      </c>
      <c r="G276" s="19">
        <v>36.366500000000002</v>
      </c>
      <c r="H276" s="20">
        <v>17.4222</v>
      </c>
      <c r="I276" s="21">
        <v>3099.3413999999998</v>
      </c>
      <c r="J276" s="20">
        <v>1512.1391000000001</v>
      </c>
      <c r="K276" s="20">
        <v>684.81539999999995</v>
      </c>
      <c r="M276" t="str">
        <f t="shared" si="56"/>
        <v/>
      </c>
      <c r="N276" s="29" t="str">
        <f t="shared" si="57"/>
        <v xml:space="preserve"> AvellinoGroup SRL</v>
      </c>
      <c r="O276" t="str">
        <f t="shared" si="58"/>
        <v>PRIME (GRUPPO AVELLA SRL )</v>
      </c>
      <c r="P276" t="str">
        <f t="shared" si="60"/>
        <v/>
      </c>
      <c r="R276" t="str">
        <f t="shared" si="59"/>
        <v/>
      </c>
      <c r="T276" t="s">
        <v>871</v>
      </c>
      <c r="U276" t="str">
        <f t="shared" si="61"/>
        <v/>
      </c>
      <c r="V276" t="str">
        <f t="shared" si="62"/>
        <v/>
      </c>
      <c r="W276" t="str">
        <f t="shared" si="63"/>
        <v/>
      </c>
      <c r="X276" s="27" t="str">
        <f t="shared" si="64"/>
        <v/>
      </c>
      <c r="Y276" s="27" t="str">
        <f t="shared" si="65"/>
        <v/>
      </c>
      <c r="Z276" s="27" t="str">
        <f t="shared" si="66"/>
        <v/>
      </c>
      <c r="AA276" s="27" t="str">
        <f t="shared" si="67"/>
        <v/>
      </c>
      <c r="AB276" s="27" t="str">
        <f t="shared" si="68"/>
        <v/>
      </c>
      <c r="AC276" s="27" t="str">
        <f t="shared" si="69"/>
        <v/>
      </c>
    </row>
    <row r="277" spans="1:29" ht="15" customHeight="1" x14ac:dyDescent="0.3">
      <c r="A277" s="22" t="s">
        <v>226</v>
      </c>
      <c r="B277" s="23" t="s">
        <v>8</v>
      </c>
      <c r="C277" s="23" t="s">
        <v>9</v>
      </c>
      <c r="D277" s="24" t="s">
        <v>10</v>
      </c>
      <c r="E277" s="24" t="s">
        <v>42</v>
      </c>
      <c r="F277" s="18">
        <v>63.770400000000002</v>
      </c>
      <c r="G277" s="19">
        <v>23.340299999999999</v>
      </c>
      <c r="H277" s="20">
        <v>11.8607</v>
      </c>
      <c r="I277" s="21">
        <v>2545.3452000000002</v>
      </c>
      <c r="J277" s="20">
        <v>949.45609999999999</v>
      </c>
      <c r="K277" s="20">
        <v>459.19099999999997</v>
      </c>
      <c r="M277" t="str">
        <f t="shared" si="56"/>
        <v/>
      </c>
      <c r="N277" s="29" t="str">
        <f t="shared" si="57"/>
        <v xml:space="preserve"> AvellinoGroup SRL</v>
      </c>
      <c r="O277" t="str">
        <f t="shared" si="58"/>
        <v>PRIME (GRUPPO AVELLA SRL )</v>
      </c>
      <c r="P277" t="str">
        <f t="shared" si="60"/>
        <v/>
      </c>
      <c r="R277" t="str">
        <f t="shared" si="59"/>
        <v/>
      </c>
      <c r="T277" t="s">
        <v>871</v>
      </c>
      <c r="U277" t="str">
        <f t="shared" si="61"/>
        <v/>
      </c>
      <c r="V277" t="str">
        <f t="shared" si="62"/>
        <v/>
      </c>
      <c r="W277" t="str">
        <f t="shared" si="63"/>
        <v/>
      </c>
      <c r="X277" s="27" t="str">
        <f t="shared" si="64"/>
        <v/>
      </c>
      <c r="Y277" s="27" t="str">
        <f t="shared" si="65"/>
        <v/>
      </c>
      <c r="Z277" s="27" t="str">
        <f t="shared" si="66"/>
        <v/>
      </c>
      <c r="AA277" s="27" t="str">
        <f t="shared" si="67"/>
        <v/>
      </c>
      <c r="AB277" s="27" t="str">
        <f t="shared" si="68"/>
        <v/>
      </c>
      <c r="AC277" s="27" t="str">
        <f t="shared" si="69"/>
        <v/>
      </c>
    </row>
    <row r="278" spans="1:29" ht="15" customHeight="1" x14ac:dyDescent="0.3">
      <c r="A278" s="22" t="s">
        <v>227</v>
      </c>
      <c r="B278" s="23" t="s">
        <v>8</v>
      </c>
      <c r="C278" s="23" t="s">
        <v>9</v>
      </c>
      <c r="D278" s="24" t="s">
        <v>30</v>
      </c>
      <c r="E278" s="24" t="s">
        <v>42</v>
      </c>
      <c r="F278" s="18">
        <v>12.7019</v>
      </c>
      <c r="G278" s="19">
        <v>13.0259</v>
      </c>
      <c r="H278" s="20">
        <v>5.5613999999999999</v>
      </c>
      <c r="I278" s="21">
        <v>553.99599999999998</v>
      </c>
      <c r="J278" s="20">
        <v>562.68320000000006</v>
      </c>
      <c r="K278" s="20">
        <v>225.62440000000001</v>
      </c>
      <c r="M278" t="str">
        <f t="shared" si="56"/>
        <v>PONKY BABY W 72 BAG +KAPACHE</v>
      </c>
      <c r="N278" s="29" t="str">
        <f t="shared" si="57"/>
        <v xml:space="preserve"> RoseBeauty</v>
      </c>
      <c r="O278" t="str">
        <f t="shared" si="58"/>
        <v>PONKY (GULSAH KOZMETIK)</v>
      </c>
      <c r="P278" t="str">
        <f t="shared" si="60"/>
        <v xml:space="preserve"> RoseBeauty</v>
      </c>
      <c r="R278" t="str">
        <f t="shared" si="59"/>
        <v>PONKY (GULSAH KOZMETIK)</v>
      </c>
      <c r="T278" t="s">
        <v>226</v>
      </c>
      <c r="U278" t="str">
        <f t="shared" si="61"/>
        <v>BAGS</v>
      </c>
      <c r="V278" t="str">
        <f t="shared" si="62"/>
        <v>WITHOUT EXTRA PROTECTCARE INDICATION</v>
      </c>
      <c r="W278" t="str">
        <f t="shared" si="63"/>
        <v>72</v>
      </c>
      <c r="X278" s="27">
        <f t="shared" si="64"/>
        <v>63.770400000000002</v>
      </c>
      <c r="Y278" s="27">
        <f t="shared" si="65"/>
        <v>23.340299999999999</v>
      </c>
      <c r="Z278" s="27">
        <f t="shared" si="66"/>
        <v>11.8607</v>
      </c>
      <c r="AA278" s="27">
        <f t="shared" si="67"/>
        <v>2545.3452000000002</v>
      </c>
      <c r="AB278" s="27">
        <f t="shared" si="68"/>
        <v>949.45609999999999</v>
      </c>
      <c r="AC278" s="27">
        <f t="shared" si="69"/>
        <v>459.19099999999997</v>
      </c>
    </row>
    <row r="279" spans="1:29" ht="15" customHeight="1" x14ac:dyDescent="0.3">
      <c r="A279" s="14" t="s">
        <v>228</v>
      </c>
      <c r="B279" s="15" t="s">
        <v>6</v>
      </c>
      <c r="C279" s="16"/>
      <c r="D279" s="17"/>
      <c r="E279" s="17"/>
      <c r="F279" s="18">
        <v>1.18</v>
      </c>
      <c r="G279" s="19"/>
      <c r="H279" s="20"/>
      <c r="I279" s="21">
        <v>36.940399999999997</v>
      </c>
      <c r="J279" s="20"/>
      <c r="K279" s="20"/>
      <c r="M279" t="str">
        <f t="shared" si="56"/>
        <v>PONKY BABY WET TOWEL W 72 BAG ZHALTI</v>
      </c>
      <c r="N279" s="29" t="str">
        <f t="shared" si="57"/>
        <v xml:space="preserve"> RoseBeauty</v>
      </c>
      <c r="O279" t="str">
        <f t="shared" si="58"/>
        <v>PONKY (GULSAH KOZMETIK)</v>
      </c>
      <c r="P279" t="str">
        <f t="shared" si="60"/>
        <v xml:space="preserve"> RoseBeauty</v>
      </c>
      <c r="R279" t="str">
        <f t="shared" si="59"/>
        <v>PONKY (GULSAH KOZMETIK)</v>
      </c>
      <c r="T279" t="s">
        <v>227</v>
      </c>
      <c r="U279" t="str">
        <f t="shared" si="61"/>
        <v>BAGS</v>
      </c>
      <c r="V279" t="str">
        <f t="shared" si="62"/>
        <v>ALCOHOL FREE</v>
      </c>
      <c r="W279" t="str">
        <f t="shared" si="63"/>
        <v>72</v>
      </c>
      <c r="X279" s="27">
        <f t="shared" si="64"/>
        <v>12.7019</v>
      </c>
      <c r="Y279" s="27">
        <f t="shared" si="65"/>
        <v>13.0259</v>
      </c>
      <c r="Z279" s="27">
        <f t="shared" si="66"/>
        <v>5.5613999999999999</v>
      </c>
      <c r="AA279" s="27">
        <f t="shared" si="67"/>
        <v>553.99599999999998</v>
      </c>
      <c r="AB279" s="27">
        <f t="shared" si="68"/>
        <v>562.68320000000006</v>
      </c>
      <c r="AC279" s="27">
        <f t="shared" si="69"/>
        <v>225.62440000000001</v>
      </c>
    </row>
    <row r="280" spans="1:29" ht="15" customHeight="1" x14ac:dyDescent="0.3">
      <c r="A280" s="22" t="s">
        <v>229</v>
      </c>
      <c r="B280" s="23" t="s">
        <v>8</v>
      </c>
      <c r="C280" s="23" t="s">
        <v>9</v>
      </c>
      <c r="D280" s="24" t="s">
        <v>20</v>
      </c>
      <c r="E280" s="24" t="s">
        <v>42</v>
      </c>
      <c r="F280" s="18">
        <v>0.59</v>
      </c>
      <c r="G280" s="19"/>
      <c r="H280" s="20"/>
      <c r="I280" s="21">
        <v>18.470099999999999</v>
      </c>
      <c r="J280" s="20"/>
      <c r="K280" s="20"/>
      <c r="M280" t="str">
        <f t="shared" si="56"/>
        <v/>
      </c>
      <c r="N280" s="29" t="str">
        <f t="shared" si="57"/>
        <v xml:space="preserve"> RoseBeauty</v>
      </c>
      <c r="O280" t="str">
        <f t="shared" si="58"/>
        <v>PONKY (GULSAH KOZMETIK)</v>
      </c>
      <c r="P280" t="str">
        <f t="shared" si="60"/>
        <v/>
      </c>
      <c r="R280" t="str">
        <f t="shared" si="59"/>
        <v/>
      </c>
      <c r="T280" t="s">
        <v>871</v>
      </c>
      <c r="U280" t="str">
        <f t="shared" si="61"/>
        <v/>
      </c>
      <c r="V280" t="str">
        <f t="shared" si="62"/>
        <v/>
      </c>
      <c r="W280" t="str">
        <f t="shared" si="63"/>
        <v/>
      </c>
      <c r="X280" s="27" t="str">
        <f t="shared" si="64"/>
        <v/>
      </c>
      <c r="Y280" s="27" t="str">
        <f t="shared" si="65"/>
        <v/>
      </c>
      <c r="Z280" s="27" t="str">
        <f t="shared" si="66"/>
        <v/>
      </c>
      <c r="AA280" s="27" t="str">
        <f t="shared" si="67"/>
        <v/>
      </c>
      <c r="AB280" s="27" t="str">
        <f t="shared" si="68"/>
        <v/>
      </c>
      <c r="AC280" s="27" t="str">
        <f t="shared" si="69"/>
        <v/>
      </c>
    </row>
    <row r="281" spans="1:29" ht="15" customHeight="1" x14ac:dyDescent="0.3">
      <c r="A281" s="22" t="s">
        <v>230</v>
      </c>
      <c r="B281" s="23" t="s">
        <v>8</v>
      </c>
      <c r="C281" s="23" t="s">
        <v>9</v>
      </c>
      <c r="D281" s="24" t="s">
        <v>30</v>
      </c>
      <c r="E281" s="24" t="s">
        <v>42</v>
      </c>
      <c r="F281" s="18">
        <v>0.59</v>
      </c>
      <c r="G281" s="19"/>
      <c r="H281" s="20"/>
      <c r="I281" s="21">
        <v>18.470099999999999</v>
      </c>
      <c r="J281" s="20"/>
      <c r="K281" s="20"/>
      <c r="M281" t="str">
        <f t="shared" si="56"/>
        <v>POZZY EXTRA MILK&amp;HONEY PH5.5 W 72 BAG</v>
      </c>
      <c r="N281" s="29" t="str">
        <f t="shared" si="57"/>
        <v xml:space="preserve"> RoseBeauty</v>
      </c>
      <c r="O281" t="str">
        <f t="shared" si="58"/>
        <v>POZZY (GULSAH KOZMETIK)</v>
      </c>
      <c r="P281" t="str">
        <f t="shared" si="60"/>
        <v xml:space="preserve"> RoseBeauty</v>
      </c>
      <c r="R281" t="str">
        <f t="shared" si="59"/>
        <v>POZZY (GULSAH KOZMETIK)</v>
      </c>
      <c r="T281" t="s">
        <v>229</v>
      </c>
      <c r="U281" t="str">
        <f t="shared" si="61"/>
        <v>BAGS</v>
      </c>
      <c r="V281" t="str">
        <f t="shared" si="62"/>
        <v>PH BALANCED</v>
      </c>
      <c r="W281" t="str">
        <f t="shared" si="63"/>
        <v>72</v>
      </c>
      <c r="X281" s="27">
        <f t="shared" si="64"/>
        <v>0.59</v>
      </c>
      <c r="Y281" s="27">
        <f t="shared" si="65"/>
        <v>0</v>
      </c>
      <c r="Z281" s="27">
        <f t="shared" si="66"/>
        <v>0</v>
      </c>
      <c r="AA281" s="27">
        <f t="shared" si="67"/>
        <v>18.470099999999999</v>
      </c>
      <c r="AB281" s="27">
        <f t="shared" si="68"/>
        <v>0</v>
      </c>
      <c r="AC281" s="27">
        <f t="shared" si="69"/>
        <v>0</v>
      </c>
    </row>
    <row r="282" spans="1:29" ht="14.25" customHeight="1" x14ac:dyDescent="0.3">
      <c r="A282" s="25" t="s">
        <v>749</v>
      </c>
      <c r="B282" s="4" t="s">
        <v>5</v>
      </c>
      <c r="C282" s="4"/>
      <c r="D282" s="5"/>
      <c r="E282" s="5"/>
      <c r="F282" s="10">
        <v>230.7484</v>
      </c>
      <c r="G282" s="11">
        <v>302.06599999999997</v>
      </c>
      <c r="H282" s="12">
        <v>144.0025</v>
      </c>
      <c r="I282" s="13">
        <v>11792.665300000001</v>
      </c>
      <c r="J282" s="12">
        <v>15544.8174</v>
      </c>
      <c r="K282" s="12">
        <v>7126.6583000000001</v>
      </c>
      <c r="M282" t="str">
        <f t="shared" si="56"/>
        <v>POZZY EXTRA OLIVE OIL ALC.FREE W 72 BAG</v>
      </c>
      <c r="N282" s="29" t="str">
        <f t="shared" si="57"/>
        <v xml:space="preserve"> RoseBeauty</v>
      </c>
      <c r="O282" t="str">
        <f t="shared" si="58"/>
        <v>POZZY (GULSAH KOZMETIK)</v>
      </c>
      <c r="P282" t="str">
        <f t="shared" si="60"/>
        <v xml:space="preserve"> RoseBeauty</v>
      </c>
      <c r="R282" t="str">
        <f t="shared" si="59"/>
        <v>POZZY (GULSAH KOZMETIK)</v>
      </c>
      <c r="T282" t="s">
        <v>230</v>
      </c>
      <c r="U282" t="str">
        <f t="shared" si="61"/>
        <v>BAGS</v>
      </c>
      <c r="V282" t="str">
        <f t="shared" si="62"/>
        <v>ALCOHOL FREE</v>
      </c>
      <c r="W282" t="str">
        <f t="shared" si="63"/>
        <v>72</v>
      </c>
      <c r="X282" s="27">
        <f t="shared" si="64"/>
        <v>0.59</v>
      </c>
      <c r="Y282" s="27">
        <f t="shared" si="65"/>
        <v>0</v>
      </c>
      <c r="Z282" s="27">
        <f t="shared" si="66"/>
        <v>0</v>
      </c>
      <c r="AA282" s="27">
        <f t="shared" si="67"/>
        <v>18.470099999999999</v>
      </c>
      <c r="AB282" s="27">
        <f t="shared" si="68"/>
        <v>0</v>
      </c>
      <c r="AC282" s="27">
        <f t="shared" si="69"/>
        <v>0</v>
      </c>
    </row>
    <row r="283" spans="1:29" ht="15" customHeight="1" x14ac:dyDescent="0.3">
      <c r="A283" s="14" t="s">
        <v>231</v>
      </c>
      <c r="B283" s="15" t="s">
        <v>6</v>
      </c>
      <c r="C283" s="16"/>
      <c r="D283" s="17"/>
      <c r="E283" s="17"/>
      <c r="F283" s="18"/>
      <c r="G283" s="19">
        <v>3.052</v>
      </c>
      <c r="H283" s="20">
        <v>0.7581</v>
      </c>
      <c r="I283" s="21"/>
      <c r="J283" s="20">
        <v>36.4679</v>
      </c>
      <c r="K283" s="20">
        <v>10.828200000000001</v>
      </c>
      <c r="M283" t="str">
        <f t="shared" si="56"/>
        <v/>
      </c>
      <c r="N283" s="29" t="str">
        <f t="shared" si="57"/>
        <v xml:space="preserve"> RoseBeauty</v>
      </c>
      <c r="O283" t="str">
        <f t="shared" si="58"/>
        <v>POZZY (GULSAH KOZMETIK)</v>
      </c>
      <c r="P283" t="str">
        <f t="shared" si="60"/>
        <v/>
      </c>
      <c r="R283" t="str">
        <f t="shared" si="59"/>
        <v/>
      </c>
      <c r="T283" t="s">
        <v>871</v>
      </c>
      <c r="U283" t="str">
        <f t="shared" si="61"/>
        <v/>
      </c>
      <c r="V283" t="str">
        <f t="shared" si="62"/>
        <v/>
      </c>
      <c r="W283" t="str">
        <f t="shared" si="63"/>
        <v/>
      </c>
      <c r="X283" s="27" t="str">
        <f t="shared" si="64"/>
        <v/>
      </c>
      <c r="Y283" s="27" t="str">
        <f t="shared" si="65"/>
        <v/>
      </c>
      <c r="Z283" s="27" t="str">
        <f t="shared" si="66"/>
        <v/>
      </c>
      <c r="AA283" s="27" t="str">
        <f t="shared" si="67"/>
        <v/>
      </c>
      <c r="AB283" s="27" t="str">
        <f t="shared" si="68"/>
        <v/>
      </c>
      <c r="AC283" s="27" t="str">
        <f t="shared" si="69"/>
        <v/>
      </c>
    </row>
    <row r="284" spans="1:29" ht="15" customHeight="1" x14ac:dyDescent="0.3">
      <c r="A284" s="22" t="s">
        <v>232</v>
      </c>
      <c r="B284" s="23" t="s">
        <v>8</v>
      </c>
      <c r="C284" s="23" t="s">
        <v>9</v>
      </c>
      <c r="D284" s="24" t="s">
        <v>69</v>
      </c>
      <c r="E284" s="24" t="s">
        <v>15</v>
      </c>
      <c r="F284" s="18"/>
      <c r="G284" s="19">
        <v>1.1446000000000001</v>
      </c>
      <c r="H284" s="20">
        <v>0.29039999999999999</v>
      </c>
      <c r="I284" s="21"/>
      <c r="J284" s="20">
        <v>11.6808</v>
      </c>
      <c r="K284" s="20">
        <v>3.3864000000000001</v>
      </c>
      <c r="M284" t="str">
        <f t="shared" si="56"/>
        <v/>
      </c>
      <c r="N284" s="29" t="str">
        <f t="shared" si="57"/>
        <v xml:space="preserve"> RoseBeauty</v>
      </c>
      <c r="O284" t="str">
        <f t="shared" si="58"/>
        <v>POZZY (GULSAH KOZMETIK)</v>
      </c>
      <c r="P284" t="str">
        <f t="shared" si="60"/>
        <v/>
      </c>
      <c r="R284" t="str">
        <f t="shared" si="59"/>
        <v/>
      </c>
      <c r="T284" t="s">
        <v>871</v>
      </c>
      <c r="U284" t="str">
        <f t="shared" si="61"/>
        <v/>
      </c>
      <c r="V284" t="str">
        <f t="shared" si="62"/>
        <v/>
      </c>
      <c r="W284" t="str">
        <f t="shared" si="63"/>
        <v/>
      </c>
      <c r="X284" s="27" t="str">
        <f t="shared" si="64"/>
        <v/>
      </c>
      <c r="Y284" s="27" t="str">
        <f t="shared" si="65"/>
        <v/>
      </c>
      <c r="Z284" s="27" t="str">
        <f t="shared" si="66"/>
        <v/>
      </c>
      <c r="AA284" s="27" t="str">
        <f t="shared" si="67"/>
        <v/>
      </c>
      <c r="AB284" s="27" t="str">
        <f t="shared" si="68"/>
        <v/>
      </c>
      <c r="AC284" s="27" t="str">
        <f t="shared" si="69"/>
        <v/>
      </c>
    </row>
    <row r="285" spans="1:29" ht="15" customHeight="1" x14ac:dyDescent="0.3">
      <c r="A285" s="22" t="s">
        <v>233</v>
      </c>
      <c r="B285" s="23" t="s">
        <v>8</v>
      </c>
      <c r="C285" s="23" t="s">
        <v>9</v>
      </c>
      <c r="D285" s="24" t="s">
        <v>69</v>
      </c>
      <c r="E285" s="24" t="s">
        <v>15</v>
      </c>
      <c r="F285" s="18"/>
      <c r="G285" s="19">
        <v>0.49220000000000003</v>
      </c>
      <c r="H285" s="20">
        <v>0.1164</v>
      </c>
      <c r="I285" s="21"/>
      <c r="J285" s="20">
        <v>4.2202000000000002</v>
      </c>
      <c r="K285" s="20">
        <v>0.85</v>
      </c>
      <c r="M285" t="str">
        <f t="shared" si="56"/>
        <v>CLEANIC BABY ATOPICAL D-PANT. PH 50 BAG</v>
      </c>
      <c r="N285" s="29" t="str">
        <f t="shared" si="57"/>
        <v xml:space="preserve"> CleanHarper</v>
      </c>
      <c r="O285" t="str">
        <f t="shared" si="58"/>
        <v>CLEANIC (HARPER HYGIENICS)</v>
      </c>
      <c r="P285" t="str">
        <f t="shared" si="60"/>
        <v xml:space="preserve"> CleanHarper</v>
      </c>
      <c r="R285" t="str">
        <f t="shared" si="59"/>
        <v>CLEANIC (HARPER HYGIENICS)</v>
      </c>
      <c r="T285" t="s">
        <v>232</v>
      </c>
      <c r="U285" t="str">
        <f t="shared" si="61"/>
        <v>BAGS</v>
      </c>
      <c r="V285" t="str">
        <f t="shared" si="62"/>
        <v>HYPOALLERGENIC</v>
      </c>
      <c r="W285" t="str">
        <f t="shared" si="63"/>
        <v>50</v>
      </c>
      <c r="X285" s="27">
        <f t="shared" si="64"/>
        <v>0</v>
      </c>
      <c r="Y285" s="27">
        <f t="shared" si="65"/>
        <v>1.1446000000000001</v>
      </c>
      <c r="Z285" s="27">
        <f t="shared" si="66"/>
        <v>0.29039999999999999</v>
      </c>
      <c r="AA285" s="27">
        <f t="shared" si="67"/>
        <v>0</v>
      </c>
      <c r="AB285" s="27">
        <f t="shared" si="68"/>
        <v>11.6808</v>
      </c>
      <c r="AC285" s="27">
        <f t="shared" si="69"/>
        <v>3.3864000000000001</v>
      </c>
    </row>
    <row r="286" spans="1:29" ht="15" customHeight="1" x14ac:dyDescent="0.3">
      <c r="A286" s="22" t="s">
        <v>234</v>
      </c>
      <c r="B286" s="23" t="s">
        <v>8</v>
      </c>
      <c r="C286" s="23" t="s">
        <v>9</v>
      </c>
      <c r="D286" s="24" t="s">
        <v>20</v>
      </c>
      <c r="E286" s="24" t="s">
        <v>15</v>
      </c>
      <c r="F286" s="18"/>
      <c r="G286" s="19">
        <v>1.4152</v>
      </c>
      <c r="H286" s="20">
        <v>0.3513</v>
      </c>
      <c r="I286" s="21"/>
      <c r="J286" s="20">
        <v>20.5671</v>
      </c>
      <c r="K286" s="20">
        <v>6.5918999999999999</v>
      </c>
      <c r="M286" t="str">
        <f t="shared" si="56"/>
        <v>CLEANIC BABY PROBIOTICAL HYPOAL.50 BAG</v>
      </c>
      <c r="N286" s="29" t="str">
        <f t="shared" si="57"/>
        <v xml:space="preserve"> CleanHarper</v>
      </c>
      <c r="O286" t="str">
        <f t="shared" si="58"/>
        <v>CLEANIC (HARPER HYGIENICS)</v>
      </c>
      <c r="P286" t="str">
        <f t="shared" si="60"/>
        <v xml:space="preserve"> CleanHarper</v>
      </c>
      <c r="R286" t="str">
        <f t="shared" si="59"/>
        <v>CLEANIC (HARPER HYGIENICS)</v>
      </c>
      <c r="T286" t="s">
        <v>233</v>
      </c>
      <c r="U286" t="str">
        <f t="shared" si="61"/>
        <v>BAGS</v>
      </c>
      <c r="V286" t="str">
        <f t="shared" si="62"/>
        <v>HYPOALLERGENIC</v>
      </c>
      <c r="W286" t="str">
        <f t="shared" si="63"/>
        <v>50</v>
      </c>
      <c r="X286" s="27">
        <f t="shared" si="64"/>
        <v>0</v>
      </c>
      <c r="Y286" s="27">
        <f t="shared" si="65"/>
        <v>0.49220000000000003</v>
      </c>
      <c r="Z286" s="27">
        <f t="shared" si="66"/>
        <v>0.1164</v>
      </c>
      <c r="AA286" s="27">
        <f t="shared" si="67"/>
        <v>0</v>
      </c>
      <c r="AB286" s="27">
        <f t="shared" si="68"/>
        <v>4.2202000000000002</v>
      </c>
      <c r="AC286" s="27">
        <f t="shared" si="69"/>
        <v>0.85</v>
      </c>
    </row>
    <row r="287" spans="1:29" ht="15" customHeight="1" x14ac:dyDescent="0.3">
      <c r="A287" s="14" t="s">
        <v>235</v>
      </c>
      <c r="B287" s="15" t="s">
        <v>6</v>
      </c>
      <c r="C287" s="16"/>
      <c r="D287" s="17"/>
      <c r="E287" s="17"/>
      <c r="F287" s="18">
        <v>230.7484</v>
      </c>
      <c r="G287" s="19">
        <v>299.01389999999998</v>
      </c>
      <c r="H287" s="20">
        <v>143.24440000000001</v>
      </c>
      <c r="I287" s="21">
        <v>11792.665300000001</v>
      </c>
      <c r="J287" s="20">
        <v>15508.3496</v>
      </c>
      <c r="K287" s="20">
        <v>7115.8298999999997</v>
      </c>
      <c r="M287" t="str">
        <f t="shared" si="56"/>
        <v>CLEANIC BABY VEGEMILK VIT&amp;MIN.50 BAG</v>
      </c>
      <c r="N287" s="29" t="str">
        <f t="shared" si="57"/>
        <v xml:space="preserve"> CleanHarper</v>
      </c>
      <c r="O287" t="str">
        <f t="shared" si="58"/>
        <v>CLEANIC (HARPER HYGIENICS)</v>
      </c>
      <c r="P287" t="str">
        <f t="shared" si="60"/>
        <v xml:space="preserve"> CleanHarper</v>
      </c>
      <c r="R287" t="str">
        <f t="shared" si="59"/>
        <v>CLEANIC (HARPER HYGIENICS)</v>
      </c>
      <c r="T287" t="s">
        <v>234</v>
      </c>
      <c r="U287" t="str">
        <f t="shared" si="61"/>
        <v>BAGS</v>
      </c>
      <c r="V287" t="str">
        <f t="shared" si="62"/>
        <v>PH BALANCED</v>
      </c>
      <c r="W287" t="str">
        <f t="shared" si="63"/>
        <v>50</v>
      </c>
      <c r="X287" s="27">
        <f t="shared" si="64"/>
        <v>0</v>
      </c>
      <c r="Y287" s="27">
        <f t="shared" si="65"/>
        <v>1.4152</v>
      </c>
      <c r="Z287" s="27">
        <f t="shared" si="66"/>
        <v>0.3513</v>
      </c>
      <c r="AA287" s="27">
        <f t="shared" si="67"/>
        <v>0</v>
      </c>
      <c r="AB287" s="27">
        <f t="shared" si="68"/>
        <v>20.5671</v>
      </c>
      <c r="AC287" s="27">
        <f t="shared" si="69"/>
        <v>6.5918999999999999</v>
      </c>
    </row>
    <row r="288" spans="1:29" ht="15" customHeight="1" x14ac:dyDescent="0.3">
      <c r="A288" s="22" t="s">
        <v>236</v>
      </c>
      <c r="B288" s="23" t="s">
        <v>8</v>
      </c>
      <c r="C288" s="23" t="s">
        <v>9</v>
      </c>
      <c r="D288" s="24" t="s">
        <v>10</v>
      </c>
      <c r="E288" s="24" t="s">
        <v>24</v>
      </c>
      <c r="F288" s="18">
        <v>6.1999999999999998E-3</v>
      </c>
      <c r="G288" s="19">
        <v>21.155899999999999</v>
      </c>
      <c r="H288" s="20">
        <v>10.029400000000001</v>
      </c>
      <c r="I288" s="21">
        <v>0.32569999999999999</v>
      </c>
      <c r="J288" s="20">
        <v>1092.0349000000001</v>
      </c>
      <c r="K288" s="20">
        <v>489.28280000000001</v>
      </c>
      <c r="M288" t="str">
        <f t="shared" si="56"/>
        <v/>
      </c>
      <c r="N288" s="29" t="str">
        <f t="shared" si="57"/>
        <v xml:space="preserve"> CleanHarper</v>
      </c>
      <c r="O288" t="str">
        <f t="shared" si="58"/>
        <v>CLEANIC (HARPER HYGIENICS)</v>
      </c>
      <c r="P288" t="str">
        <f t="shared" si="60"/>
        <v/>
      </c>
      <c r="R288" t="str">
        <f t="shared" si="59"/>
        <v/>
      </c>
      <c r="T288" t="s">
        <v>871</v>
      </c>
      <c r="U288" t="str">
        <f t="shared" si="61"/>
        <v/>
      </c>
      <c r="V288" t="str">
        <f t="shared" si="62"/>
        <v/>
      </c>
      <c r="W288" t="str">
        <f t="shared" si="63"/>
        <v/>
      </c>
      <c r="X288" s="27" t="str">
        <f t="shared" si="64"/>
        <v/>
      </c>
      <c r="Y288" s="27" t="str">
        <f t="shared" si="65"/>
        <v/>
      </c>
      <c r="Z288" s="27" t="str">
        <f t="shared" si="66"/>
        <v/>
      </c>
      <c r="AA288" s="27" t="str">
        <f t="shared" si="67"/>
        <v/>
      </c>
      <c r="AB288" s="27" t="str">
        <f t="shared" si="68"/>
        <v/>
      </c>
      <c r="AC288" s="27" t="str">
        <f t="shared" si="69"/>
        <v/>
      </c>
    </row>
    <row r="289" spans="1:29" ht="15" customHeight="1" x14ac:dyDescent="0.3">
      <c r="A289" s="22" t="s">
        <v>237</v>
      </c>
      <c r="B289" s="23" t="s">
        <v>8</v>
      </c>
      <c r="C289" s="23" t="s">
        <v>9</v>
      </c>
      <c r="D289" s="24" t="s">
        <v>10</v>
      </c>
      <c r="E289" s="24" t="s">
        <v>42</v>
      </c>
      <c r="F289" s="18">
        <v>230.74209999999999</v>
      </c>
      <c r="G289" s="19">
        <v>277.85789999999997</v>
      </c>
      <c r="H289" s="20">
        <v>133.2149</v>
      </c>
      <c r="I289" s="21">
        <v>11792.3397</v>
      </c>
      <c r="J289" s="20">
        <v>14416.314700000001</v>
      </c>
      <c r="K289" s="20">
        <v>6626.5474000000004</v>
      </c>
      <c r="M289" t="str">
        <f t="shared" si="56"/>
        <v>PETINO DELICATO&amp;FRESH ALANTOIN 120 BAG</v>
      </c>
      <c r="N289" s="29" t="str">
        <f t="shared" si="57"/>
        <v xml:space="preserve"> CleanHarper</v>
      </c>
      <c r="O289" t="str">
        <f t="shared" si="58"/>
        <v>PETINO (HARPER HYGIENICS)</v>
      </c>
      <c r="P289" t="str">
        <f t="shared" si="60"/>
        <v xml:space="preserve"> CleanHarper</v>
      </c>
      <c r="R289" t="str">
        <f t="shared" si="59"/>
        <v>PETINO (HARPER HYGIENICS)</v>
      </c>
      <c r="T289" t="s">
        <v>236</v>
      </c>
      <c r="U289" t="str">
        <f t="shared" si="61"/>
        <v>BAGS</v>
      </c>
      <c r="V289" t="str">
        <f t="shared" si="62"/>
        <v>WITHOUT EXTRA PROTECTCARE INDICATION</v>
      </c>
      <c r="W289" t="str">
        <f t="shared" si="63"/>
        <v>120</v>
      </c>
      <c r="X289" s="27">
        <f t="shared" si="64"/>
        <v>6.1999999999999998E-3</v>
      </c>
      <c r="Y289" s="27">
        <f t="shared" si="65"/>
        <v>21.155899999999999</v>
      </c>
      <c r="Z289" s="27">
        <f t="shared" si="66"/>
        <v>10.029400000000001</v>
      </c>
      <c r="AA289" s="27">
        <f t="shared" si="67"/>
        <v>0.32569999999999999</v>
      </c>
      <c r="AB289" s="27">
        <f t="shared" si="68"/>
        <v>1092.0349000000001</v>
      </c>
      <c r="AC289" s="27">
        <f t="shared" si="69"/>
        <v>489.28280000000001</v>
      </c>
    </row>
    <row r="290" spans="1:29" ht="14.25" customHeight="1" x14ac:dyDescent="0.3">
      <c r="A290" s="25" t="s">
        <v>750</v>
      </c>
      <c r="B290" s="4" t="s">
        <v>5</v>
      </c>
      <c r="C290" s="4"/>
      <c r="D290" s="5"/>
      <c r="E290" s="5"/>
      <c r="F290" s="10">
        <v>332.01650000000001</v>
      </c>
      <c r="G290" s="11">
        <v>406.09359999999998</v>
      </c>
      <c r="H290" s="12">
        <v>185.505</v>
      </c>
      <c r="I290" s="13">
        <v>9811.9591</v>
      </c>
      <c r="J290" s="12">
        <v>12002.149100000001</v>
      </c>
      <c r="K290" s="12">
        <v>5143.8028000000004</v>
      </c>
      <c r="M290" t="str">
        <f t="shared" si="56"/>
        <v>PETINO DELICATO&amp;FRESH ALANTOIN 84/12FR</v>
      </c>
      <c r="N290" s="29" t="str">
        <f t="shared" si="57"/>
        <v xml:space="preserve"> CleanHarper</v>
      </c>
      <c r="O290" t="str">
        <f t="shared" si="58"/>
        <v>PETINO (HARPER HYGIENICS)</v>
      </c>
      <c r="P290" t="str">
        <f t="shared" si="60"/>
        <v xml:space="preserve"> CleanHarper</v>
      </c>
      <c r="R290" t="str">
        <f t="shared" si="59"/>
        <v>PETINO (HARPER HYGIENICS)</v>
      </c>
      <c r="T290" t="s">
        <v>237</v>
      </c>
      <c r="U290" t="str">
        <f t="shared" si="61"/>
        <v>BAGS</v>
      </c>
      <c r="V290" t="str">
        <f t="shared" si="62"/>
        <v>WITHOUT EXTRA PROTECTCARE INDICATION</v>
      </c>
      <c r="W290" t="str">
        <f t="shared" si="63"/>
        <v>72</v>
      </c>
      <c r="X290" s="27">
        <f t="shared" si="64"/>
        <v>230.74209999999999</v>
      </c>
      <c r="Y290" s="27">
        <f t="shared" si="65"/>
        <v>277.85789999999997</v>
      </c>
      <c r="Z290" s="27">
        <f t="shared" si="66"/>
        <v>133.2149</v>
      </c>
      <c r="AA290" s="27">
        <f t="shared" si="67"/>
        <v>11792.3397</v>
      </c>
      <c r="AB290" s="27">
        <f t="shared" si="68"/>
        <v>14416.314700000001</v>
      </c>
      <c r="AC290" s="27">
        <f t="shared" si="69"/>
        <v>6626.5474000000004</v>
      </c>
    </row>
    <row r="291" spans="1:29" ht="15" customHeight="1" x14ac:dyDescent="0.3">
      <c r="A291" s="14" t="s">
        <v>238</v>
      </c>
      <c r="B291" s="15" t="s">
        <v>6</v>
      </c>
      <c r="C291" s="16"/>
      <c r="D291" s="17"/>
      <c r="E291" s="17"/>
      <c r="F291" s="18">
        <v>332.01650000000001</v>
      </c>
      <c r="G291" s="19">
        <v>406.09359999999998</v>
      </c>
      <c r="H291" s="20">
        <v>185.505</v>
      </c>
      <c r="I291" s="21">
        <v>9811.9591</v>
      </c>
      <c r="J291" s="20">
        <v>12002.149100000001</v>
      </c>
      <c r="K291" s="20">
        <v>5143.8028000000004</v>
      </c>
      <c r="M291" t="str">
        <f t="shared" si="56"/>
        <v/>
      </c>
      <c r="N291" s="29" t="str">
        <f t="shared" si="57"/>
        <v xml:space="preserve"> CleanHarper</v>
      </c>
      <c r="O291" t="str">
        <f t="shared" si="58"/>
        <v>PETINO (HARPER HYGIENICS)</v>
      </c>
      <c r="P291" t="str">
        <f t="shared" si="60"/>
        <v/>
      </c>
      <c r="R291" t="str">
        <f t="shared" si="59"/>
        <v/>
      </c>
      <c r="T291" t="s">
        <v>871</v>
      </c>
      <c r="U291" t="str">
        <f t="shared" si="61"/>
        <v/>
      </c>
      <c r="V291" t="str">
        <f t="shared" si="62"/>
        <v/>
      </c>
      <c r="W291" t="str">
        <f t="shared" si="63"/>
        <v/>
      </c>
      <c r="X291" s="27" t="str">
        <f t="shared" si="64"/>
        <v/>
      </c>
      <c r="Y291" s="27" t="str">
        <f t="shared" si="65"/>
        <v/>
      </c>
      <c r="Z291" s="27" t="str">
        <f t="shared" si="66"/>
        <v/>
      </c>
      <c r="AA291" s="27" t="str">
        <f t="shared" si="67"/>
        <v/>
      </c>
      <c r="AB291" s="27" t="str">
        <f t="shared" si="68"/>
        <v/>
      </c>
      <c r="AC291" s="27" t="str">
        <f t="shared" si="69"/>
        <v/>
      </c>
    </row>
    <row r="292" spans="1:29" ht="15" customHeight="1" x14ac:dyDescent="0.3">
      <c r="A292" s="22" t="s">
        <v>239</v>
      </c>
      <c r="B292" s="23" t="s">
        <v>8</v>
      </c>
      <c r="C292" s="23" t="s">
        <v>9</v>
      </c>
      <c r="D292" s="24" t="s">
        <v>64</v>
      </c>
      <c r="E292" s="24" t="s">
        <v>32</v>
      </c>
      <c r="F292" s="18"/>
      <c r="G292" s="19"/>
      <c r="H292" s="20"/>
      <c r="I292" s="21"/>
      <c r="J292" s="20"/>
      <c r="K292" s="20"/>
      <c r="M292" t="str">
        <f t="shared" si="56"/>
        <v/>
      </c>
      <c r="N292" s="29" t="str">
        <f t="shared" si="57"/>
        <v xml:space="preserve"> CleanHarper</v>
      </c>
      <c r="O292" t="str">
        <f t="shared" si="58"/>
        <v>PETINO (HARPER HYGIENICS)</v>
      </c>
      <c r="P292" t="str">
        <f t="shared" si="60"/>
        <v/>
      </c>
      <c r="R292" t="str">
        <f t="shared" si="59"/>
        <v/>
      </c>
      <c r="T292" t="s">
        <v>871</v>
      </c>
      <c r="U292" t="str">
        <f t="shared" si="61"/>
        <v/>
      </c>
      <c r="V292" t="str">
        <f t="shared" si="62"/>
        <v/>
      </c>
      <c r="W292" t="str">
        <f t="shared" si="63"/>
        <v/>
      </c>
      <c r="X292" s="27" t="str">
        <f t="shared" si="64"/>
        <v/>
      </c>
      <c r="Y292" s="27" t="str">
        <f t="shared" si="65"/>
        <v/>
      </c>
      <c r="Z292" s="27" t="str">
        <f t="shared" si="66"/>
        <v/>
      </c>
      <c r="AA292" s="27" t="str">
        <f t="shared" si="67"/>
        <v/>
      </c>
      <c r="AB292" s="27" t="str">
        <f t="shared" si="68"/>
        <v/>
      </c>
      <c r="AC292" s="27" t="str">
        <f t="shared" si="69"/>
        <v/>
      </c>
    </row>
    <row r="293" spans="1:29" ht="15" customHeight="1" x14ac:dyDescent="0.3">
      <c r="A293" s="22" t="s">
        <v>240</v>
      </c>
      <c r="B293" s="23" t="s">
        <v>8</v>
      </c>
      <c r="C293" s="23" t="s">
        <v>9</v>
      </c>
      <c r="D293" s="24" t="s">
        <v>20</v>
      </c>
      <c r="E293" s="24" t="s">
        <v>15</v>
      </c>
      <c r="F293" s="18">
        <v>0.37059999999999998</v>
      </c>
      <c r="G293" s="19">
        <v>0.24890000000000001</v>
      </c>
      <c r="H293" s="20"/>
      <c r="I293" s="21">
        <v>9.2727000000000004</v>
      </c>
      <c r="J293" s="20">
        <v>7.0415000000000001</v>
      </c>
      <c r="K293" s="20"/>
      <c r="M293" t="str">
        <f t="shared" si="56"/>
        <v>MOLFIX SENSITIVE PH5.5 W 40 BAG</v>
      </c>
      <c r="N293" s="29" t="str">
        <f t="shared" si="57"/>
        <v xml:space="preserve"> LifeChem</v>
      </c>
      <c r="O293" t="str">
        <f t="shared" si="58"/>
        <v>MOLFIX (HAYAT KIMYA)</v>
      </c>
      <c r="P293" t="str">
        <f t="shared" si="60"/>
        <v xml:space="preserve"> LifeChem</v>
      </c>
      <c r="R293" t="str">
        <f t="shared" si="59"/>
        <v>MOLFIX (HAYAT KIMYA)</v>
      </c>
      <c r="T293" t="s">
        <v>239</v>
      </c>
      <c r="U293" t="str">
        <f t="shared" si="61"/>
        <v>BAGS</v>
      </c>
      <c r="V293" t="str">
        <f t="shared" si="62"/>
        <v>SENSITIVE</v>
      </c>
      <c r="W293" t="str">
        <f t="shared" si="63"/>
        <v>40</v>
      </c>
      <c r="X293" s="27">
        <f t="shared" si="64"/>
        <v>0</v>
      </c>
      <c r="Y293" s="27">
        <f t="shared" si="65"/>
        <v>0</v>
      </c>
      <c r="Z293" s="27">
        <f t="shared" si="66"/>
        <v>0</v>
      </c>
      <c r="AA293" s="27">
        <f t="shared" si="67"/>
        <v>0</v>
      </c>
      <c r="AB293" s="27">
        <f t="shared" si="68"/>
        <v>0</v>
      </c>
      <c r="AC293" s="27">
        <f t="shared" si="69"/>
        <v>0</v>
      </c>
    </row>
    <row r="294" spans="1:29" ht="15" customHeight="1" x14ac:dyDescent="0.3">
      <c r="A294" s="22" t="s">
        <v>241</v>
      </c>
      <c r="B294" s="23" t="s">
        <v>8</v>
      </c>
      <c r="C294" s="23" t="s">
        <v>9</v>
      </c>
      <c r="D294" s="24" t="s">
        <v>20</v>
      </c>
      <c r="E294" s="24" t="s">
        <v>99</v>
      </c>
      <c r="F294" s="18">
        <v>29.4162</v>
      </c>
      <c r="G294" s="19">
        <v>107.9663</v>
      </c>
      <c r="H294" s="20">
        <v>52.6723</v>
      </c>
      <c r="I294" s="21">
        <v>866.39819999999997</v>
      </c>
      <c r="J294" s="20">
        <v>3176.0981999999999</v>
      </c>
      <c r="K294" s="20">
        <v>1396.3396</v>
      </c>
      <c r="M294" t="str">
        <f t="shared" si="56"/>
        <v>MOLFIX BABY COTTON PH5.5 W 50 BAG HAYAT</v>
      </c>
      <c r="N294" s="29" t="str">
        <f t="shared" si="57"/>
        <v xml:space="preserve"> LifeChem</v>
      </c>
      <c r="O294" t="str">
        <f t="shared" si="58"/>
        <v>MOLFIX (HAYAT KIMYA)</v>
      </c>
      <c r="P294" t="str">
        <f t="shared" si="60"/>
        <v xml:space="preserve"> LifeChem</v>
      </c>
      <c r="R294" t="str">
        <f t="shared" si="59"/>
        <v>MOLFIX (HAYAT KIMYA)</v>
      </c>
      <c r="T294" t="s">
        <v>240</v>
      </c>
      <c r="U294" t="str">
        <f t="shared" si="61"/>
        <v>BAGS</v>
      </c>
      <c r="V294" t="str">
        <f t="shared" si="62"/>
        <v>PH BALANCED</v>
      </c>
      <c r="W294" t="str">
        <f t="shared" si="63"/>
        <v>50</v>
      </c>
      <c r="X294" s="27">
        <f t="shared" si="64"/>
        <v>0.37059999999999998</v>
      </c>
      <c r="Y294" s="27">
        <f t="shared" si="65"/>
        <v>0.24890000000000001</v>
      </c>
      <c r="Z294" s="27">
        <f t="shared" si="66"/>
        <v>0</v>
      </c>
      <c r="AA294" s="27">
        <f t="shared" si="67"/>
        <v>9.2727000000000004</v>
      </c>
      <c r="AB294" s="27">
        <f t="shared" si="68"/>
        <v>7.0415000000000001</v>
      </c>
      <c r="AC294" s="27">
        <f t="shared" si="69"/>
        <v>0</v>
      </c>
    </row>
    <row r="295" spans="1:29" ht="15" customHeight="1" x14ac:dyDescent="0.3">
      <c r="A295" s="22" t="s">
        <v>242</v>
      </c>
      <c r="B295" s="23" t="s">
        <v>8</v>
      </c>
      <c r="C295" s="23" t="s">
        <v>9</v>
      </c>
      <c r="D295" s="24" t="s">
        <v>20</v>
      </c>
      <c r="E295" s="24" t="s">
        <v>99</v>
      </c>
      <c r="F295" s="18">
        <v>2.2702</v>
      </c>
      <c r="G295" s="19">
        <v>6.8476999999999997</v>
      </c>
      <c r="H295" s="20">
        <v>4.3963000000000001</v>
      </c>
      <c r="I295" s="21">
        <v>71.277600000000007</v>
      </c>
      <c r="J295" s="20">
        <v>210.60059999999999</v>
      </c>
      <c r="K295" s="20">
        <v>121.2728</v>
      </c>
      <c r="M295" t="str">
        <f t="shared" si="56"/>
        <v>MOLFIX BABY IZOT.WATER PANT.&amp;LAN.W 60 BA</v>
      </c>
      <c r="N295" s="29" t="str">
        <f t="shared" si="57"/>
        <v xml:space="preserve"> LifeChem</v>
      </c>
      <c r="O295" t="str">
        <f t="shared" si="58"/>
        <v>MOLFIX (HAYAT KIMYA)</v>
      </c>
      <c r="P295" t="str">
        <f t="shared" si="60"/>
        <v xml:space="preserve"> LifeChem</v>
      </c>
      <c r="R295" t="str">
        <f t="shared" si="59"/>
        <v>MOLFIX (HAYAT KIMYA)</v>
      </c>
      <c r="T295" t="s">
        <v>241</v>
      </c>
      <c r="U295" t="str">
        <f t="shared" si="61"/>
        <v>BAGS</v>
      </c>
      <c r="V295" t="str">
        <f t="shared" si="62"/>
        <v>PH BALANCED</v>
      </c>
      <c r="W295" t="str">
        <f t="shared" si="63"/>
        <v>60</v>
      </c>
      <c r="X295" s="27">
        <f t="shared" si="64"/>
        <v>29.4162</v>
      </c>
      <c r="Y295" s="27">
        <f t="shared" si="65"/>
        <v>107.9663</v>
      </c>
      <c r="Z295" s="27">
        <f t="shared" si="66"/>
        <v>52.6723</v>
      </c>
      <c r="AA295" s="27">
        <f t="shared" si="67"/>
        <v>866.39819999999997</v>
      </c>
      <c r="AB295" s="27">
        <f t="shared" si="68"/>
        <v>3176.0981999999999</v>
      </c>
      <c r="AC295" s="27">
        <f t="shared" si="69"/>
        <v>1396.3396</v>
      </c>
    </row>
    <row r="296" spans="1:29" ht="15" customHeight="1" x14ac:dyDescent="0.3">
      <c r="A296" s="22" t="s">
        <v>243</v>
      </c>
      <c r="B296" s="23" t="s">
        <v>8</v>
      </c>
      <c r="C296" s="23" t="s">
        <v>9</v>
      </c>
      <c r="D296" s="24" t="s">
        <v>20</v>
      </c>
      <c r="E296" s="24" t="s">
        <v>99</v>
      </c>
      <c r="F296" s="18">
        <v>296.26589999999999</v>
      </c>
      <c r="G296" s="19">
        <v>290.55259999999998</v>
      </c>
      <c r="H296" s="20">
        <v>128.1713</v>
      </c>
      <c r="I296" s="21">
        <v>8749.3634000000002</v>
      </c>
      <c r="J296" s="20">
        <v>8593.8201000000008</v>
      </c>
      <c r="K296" s="20">
        <v>3618.6093999999998</v>
      </c>
      <c r="M296" t="str">
        <f t="shared" si="56"/>
        <v>MOLFIX BABY LOTION ISO.WATER W 3X60 BAG</v>
      </c>
      <c r="N296" s="29" t="str">
        <f t="shared" si="57"/>
        <v xml:space="preserve"> LifeChem</v>
      </c>
      <c r="O296" t="str">
        <f t="shared" si="58"/>
        <v>MOLFIX (HAYAT KIMYA)</v>
      </c>
      <c r="P296" t="str">
        <f t="shared" si="60"/>
        <v xml:space="preserve"> LifeChem</v>
      </c>
      <c r="R296" t="str">
        <f t="shared" si="59"/>
        <v>MOLFIX (HAYAT KIMYA)</v>
      </c>
      <c r="T296" t="s">
        <v>242</v>
      </c>
      <c r="U296" t="str">
        <f t="shared" si="61"/>
        <v>BAGS</v>
      </c>
      <c r="V296" t="str">
        <f t="shared" si="62"/>
        <v>PH BALANCED</v>
      </c>
      <c r="W296" t="str">
        <f t="shared" si="63"/>
        <v>60</v>
      </c>
      <c r="X296" s="27">
        <f t="shared" si="64"/>
        <v>2.2702</v>
      </c>
      <c r="Y296" s="27">
        <f t="shared" si="65"/>
        <v>6.8476999999999997</v>
      </c>
      <c r="Z296" s="27">
        <f t="shared" si="66"/>
        <v>4.3963000000000001</v>
      </c>
      <c r="AA296" s="27">
        <f t="shared" si="67"/>
        <v>71.277600000000007</v>
      </c>
      <c r="AB296" s="27">
        <f t="shared" si="68"/>
        <v>210.60059999999999</v>
      </c>
      <c r="AC296" s="27">
        <f t="shared" si="69"/>
        <v>121.2728</v>
      </c>
    </row>
    <row r="297" spans="1:29" ht="15" customHeight="1" x14ac:dyDescent="0.3">
      <c r="A297" s="22" t="s">
        <v>244</v>
      </c>
      <c r="B297" s="23" t="s">
        <v>8</v>
      </c>
      <c r="C297" s="23" t="s">
        <v>9</v>
      </c>
      <c r="D297" s="24" t="s">
        <v>20</v>
      </c>
      <c r="E297" s="24" t="s">
        <v>99</v>
      </c>
      <c r="F297" s="18">
        <v>2.9716999999999998</v>
      </c>
      <c r="G297" s="19">
        <v>0.47810000000000002</v>
      </c>
      <c r="H297" s="20">
        <v>0.26490000000000002</v>
      </c>
      <c r="I297" s="21">
        <v>93.2804</v>
      </c>
      <c r="J297" s="20">
        <v>14.5885</v>
      </c>
      <c r="K297" s="20">
        <v>7.5808999999999997</v>
      </c>
      <c r="M297" t="str">
        <f t="shared" si="56"/>
        <v>MOLFIX BABY LOTION PH5.5 W 60 BAG HAYAT</v>
      </c>
      <c r="N297" s="29" t="str">
        <f t="shared" si="57"/>
        <v xml:space="preserve"> LifeChem</v>
      </c>
      <c r="O297" t="str">
        <f t="shared" si="58"/>
        <v>MOLFIX (HAYAT KIMYA)</v>
      </c>
      <c r="P297" t="str">
        <f t="shared" si="60"/>
        <v xml:space="preserve"> LifeChem</v>
      </c>
      <c r="R297" t="str">
        <f t="shared" si="59"/>
        <v>MOLFIX (HAYAT KIMYA)</v>
      </c>
      <c r="T297" t="s">
        <v>243</v>
      </c>
      <c r="U297" t="str">
        <f t="shared" si="61"/>
        <v>BAGS</v>
      </c>
      <c r="V297" t="str">
        <f t="shared" si="62"/>
        <v>PH BALANCED</v>
      </c>
      <c r="W297" t="str">
        <f t="shared" si="63"/>
        <v>60</v>
      </c>
      <c r="X297" s="27">
        <f t="shared" si="64"/>
        <v>296.26589999999999</v>
      </c>
      <c r="Y297" s="27">
        <f t="shared" si="65"/>
        <v>290.55259999999998</v>
      </c>
      <c r="Z297" s="27">
        <f t="shared" si="66"/>
        <v>128.1713</v>
      </c>
      <c r="AA297" s="27">
        <f t="shared" si="67"/>
        <v>8749.3634000000002</v>
      </c>
      <c r="AB297" s="27">
        <f t="shared" si="68"/>
        <v>8593.8201000000008</v>
      </c>
      <c r="AC297" s="27">
        <f t="shared" si="69"/>
        <v>3618.6093999999998</v>
      </c>
    </row>
    <row r="298" spans="1:29" ht="15" customHeight="1" x14ac:dyDescent="0.3">
      <c r="A298" s="22" t="s">
        <v>245</v>
      </c>
      <c r="B298" s="23" t="s">
        <v>8</v>
      </c>
      <c r="C298" s="23" t="s">
        <v>9</v>
      </c>
      <c r="D298" s="24" t="s">
        <v>20</v>
      </c>
      <c r="E298" s="24" t="s">
        <v>123</v>
      </c>
      <c r="F298" s="18">
        <v>0.21840000000000001</v>
      </c>
      <c r="G298" s="19"/>
      <c r="H298" s="20"/>
      <c r="I298" s="21">
        <v>7.3784000000000001</v>
      </c>
      <c r="J298" s="20"/>
      <c r="K298" s="20"/>
      <c r="M298" t="str">
        <f t="shared" si="56"/>
        <v>MOLFIX BABY LOTION W 3X60 BAG HAYAT</v>
      </c>
      <c r="N298" s="29" t="str">
        <f t="shared" si="57"/>
        <v xml:space="preserve"> LifeChem</v>
      </c>
      <c r="O298" t="str">
        <f t="shared" si="58"/>
        <v>MOLFIX (HAYAT KIMYA)</v>
      </c>
      <c r="P298" t="str">
        <f t="shared" si="60"/>
        <v xml:space="preserve"> LifeChem</v>
      </c>
      <c r="R298" t="str">
        <f t="shared" si="59"/>
        <v>MOLFIX (HAYAT KIMYA)</v>
      </c>
      <c r="T298" t="s">
        <v>244</v>
      </c>
      <c r="U298" t="str">
        <f t="shared" si="61"/>
        <v>BAGS</v>
      </c>
      <c r="V298" t="str">
        <f t="shared" si="62"/>
        <v>PH BALANCED</v>
      </c>
      <c r="W298" t="str">
        <f t="shared" si="63"/>
        <v>60</v>
      </c>
      <c r="X298" s="27">
        <f t="shared" si="64"/>
        <v>2.9716999999999998</v>
      </c>
      <c r="Y298" s="27">
        <f t="shared" si="65"/>
        <v>0.47810000000000002</v>
      </c>
      <c r="Z298" s="27">
        <f t="shared" si="66"/>
        <v>0.26490000000000002</v>
      </c>
      <c r="AA298" s="27">
        <f t="shared" si="67"/>
        <v>93.2804</v>
      </c>
      <c r="AB298" s="27">
        <f t="shared" si="68"/>
        <v>14.5885</v>
      </c>
      <c r="AC298" s="27">
        <f t="shared" si="69"/>
        <v>7.5808999999999997</v>
      </c>
    </row>
    <row r="299" spans="1:29" ht="15" customHeight="1" x14ac:dyDescent="0.3">
      <c r="A299" s="22" t="s">
        <v>246</v>
      </c>
      <c r="B299" s="23" t="s">
        <v>8</v>
      </c>
      <c r="C299" s="23" t="s">
        <v>9</v>
      </c>
      <c r="D299" s="24" t="s">
        <v>10</v>
      </c>
      <c r="E299" s="24" t="s">
        <v>123</v>
      </c>
      <c r="F299" s="18">
        <v>0.50360000000000005</v>
      </c>
      <c r="G299" s="19"/>
      <c r="H299" s="20"/>
      <c r="I299" s="21">
        <v>14.988200000000001</v>
      </c>
      <c r="J299" s="20"/>
      <c r="K299" s="20"/>
      <c r="M299" t="str">
        <f t="shared" si="56"/>
        <v>MOLFIX BABY LOTION W 3X63 BAG HAYAT</v>
      </c>
      <c r="N299" s="29" t="str">
        <f t="shared" si="57"/>
        <v xml:space="preserve"> LifeChem</v>
      </c>
      <c r="O299" t="str">
        <f t="shared" si="58"/>
        <v>MOLFIX (HAYAT KIMYA)</v>
      </c>
      <c r="P299" t="str">
        <f t="shared" si="60"/>
        <v xml:space="preserve"> LifeChem</v>
      </c>
      <c r="R299" t="str">
        <f t="shared" si="59"/>
        <v>MOLFIX (HAYAT KIMYA)</v>
      </c>
      <c r="T299" t="s">
        <v>245</v>
      </c>
      <c r="U299" t="str">
        <f t="shared" si="61"/>
        <v>BAGS</v>
      </c>
      <c r="V299" t="str">
        <f t="shared" si="62"/>
        <v>PH BALANCED</v>
      </c>
      <c r="W299" t="str">
        <f t="shared" si="63"/>
        <v>63</v>
      </c>
      <c r="X299" s="27">
        <f t="shared" si="64"/>
        <v>0.21840000000000001</v>
      </c>
      <c r="Y299" s="27">
        <f t="shared" si="65"/>
        <v>0</v>
      </c>
      <c r="Z299" s="27">
        <f t="shared" si="66"/>
        <v>0</v>
      </c>
      <c r="AA299" s="27">
        <f t="shared" si="67"/>
        <v>7.3784000000000001</v>
      </c>
      <c r="AB299" s="27">
        <f t="shared" si="68"/>
        <v>0</v>
      </c>
      <c r="AC299" s="27">
        <f t="shared" si="69"/>
        <v>0</v>
      </c>
    </row>
    <row r="300" spans="1:29" ht="14.25" customHeight="1" x14ac:dyDescent="0.3">
      <c r="A300" s="25" t="s">
        <v>751</v>
      </c>
      <c r="B300" s="4" t="s">
        <v>5</v>
      </c>
      <c r="C300" s="4"/>
      <c r="D300" s="5"/>
      <c r="E300" s="5"/>
      <c r="F300" s="10">
        <v>4.0102000000000002</v>
      </c>
      <c r="G300" s="11">
        <v>6.6558000000000002</v>
      </c>
      <c r="H300" s="12"/>
      <c r="I300" s="13">
        <v>83.551900000000003</v>
      </c>
      <c r="J300" s="12">
        <v>115.5257</v>
      </c>
      <c r="K300" s="12"/>
      <c r="M300" t="str">
        <f t="shared" si="56"/>
        <v>MOLFIX BABY W 63 BAG HAYAT</v>
      </c>
      <c r="N300" s="29" t="str">
        <f t="shared" si="57"/>
        <v xml:space="preserve"> LifeChem</v>
      </c>
      <c r="O300" t="str">
        <f t="shared" si="58"/>
        <v>MOLFIX (HAYAT KIMYA)</v>
      </c>
      <c r="P300" t="str">
        <f t="shared" si="60"/>
        <v xml:space="preserve"> LifeChem</v>
      </c>
      <c r="R300" t="str">
        <f t="shared" si="59"/>
        <v>MOLFIX (HAYAT KIMYA)</v>
      </c>
      <c r="T300" t="s">
        <v>246</v>
      </c>
      <c r="U300" t="str">
        <f t="shared" si="61"/>
        <v>BAGS</v>
      </c>
      <c r="V300" t="str">
        <f t="shared" si="62"/>
        <v>WITHOUT EXTRA PROTECTCARE INDICATION</v>
      </c>
      <c r="W300" t="str">
        <f t="shared" si="63"/>
        <v>63</v>
      </c>
      <c r="X300" s="27">
        <f t="shared" si="64"/>
        <v>0.50360000000000005</v>
      </c>
      <c r="Y300" s="27">
        <f t="shared" si="65"/>
        <v>0</v>
      </c>
      <c r="Z300" s="27">
        <f t="shared" si="66"/>
        <v>0</v>
      </c>
      <c r="AA300" s="27">
        <f t="shared" si="67"/>
        <v>14.988200000000001</v>
      </c>
      <c r="AB300" s="27">
        <f t="shared" si="68"/>
        <v>0</v>
      </c>
      <c r="AC300" s="27">
        <f t="shared" si="69"/>
        <v>0</v>
      </c>
    </row>
    <row r="301" spans="1:29" ht="15" customHeight="1" x14ac:dyDescent="0.3">
      <c r="A301" s="14" t="s">
        <v>247</v>
      </c>
      <c r="B301" s="15" t="s">
        <v>6</v>
      </c>
      <c r="C301" s="16"/>
      <c r="D301" s="17"/>
      <c r="E301" s="17"/>
      <c r="F301" s="18">
        <v>4.0102000000000002</v>
      </c>
      <c r="G301" s="19">
        <v>6.6558000000000002</v>
      </c>
      <c r="H301" s="20"/>
      <c r="I301" s="21">
        <v>83.551900000000003</v>
      </c>
      <c r="J301" s="20">
        <v>115.5257</v>
      </c>
      <c r="K301" s="20"/>
      <c r="M301" t="str">
        <f t="shared" si="56"/>
        <v/>
      </c>
      <c r="N301" s="29" t="str">
        <f t="shared" si="57"/>
        <v xml:space="preserve"> LifeChem</v>
      </c>
      <c r="O301" t="str">
        <f t="shared" si="58"/>
        <v>MOLFIX (HAYAT KIMYA)</v>
      </c>
      <c r="P301" t="str">
        <f t="shared" si="60"/>
        <v/>
      </c>
      <c r="R301" t="str">
        <f t="shared" si="59"/>
        <v/>
      </c>
      <c r="T301" t="s">
        <v>871</v>
      </c>
      <c r="U301" t="str">
        <f t="shared" si="61"/>
        <v/>
      </c>
      <c r="V301" t="str">
        <f t="shared" si="62"/>
        <v/>
      </c>
      <c r="W301" t="str">
        <f t="shared" si="63"/>
        <v/>
      </c>
      <c r="X301" s="27" t="str">
        <f t="shared" si="64"/>
        <v/>
      </c>
      <c r="Y301" s="27" t="str">
        <f t="shared" si="65"/>
        <v/>
      </c>
      <c r="Z301" s="27" t="str">
        <f t="shared" si="66"/>
        <v/>
      </c>
      <c r="AA301" s="27" t="str">
        <f t="shared" si="67"/>
        <v/>
      </c>
      <c r="AB301" s="27" t="str">
        <f t="shared" si="68"/>
        <v/>
      </c>
      <c r="AC301" s="27" t="str">
        <f t="shared" si="69"/>
        <v/>
      </c>
    </row>
    <row r="302" spans="1:29" ht="15" customHeight="1" x14ac:dyDescent="0.3">
      <c r="A302" s="22" t="s">
        <v>248</v>
      </c>
      <c r="B302" s="23" t="s">
        <v>8</v>
      </c>
      <c r="C302" s="23" t="s">
        <v>9</v>
      </c>
      <c r="D302" s="24" t="s">
        <v>249</v>
      </c>
      <c r="E302" s="24" t="s">
        <v>11</v>
      </c>
      <c r="F302" s="18">
        <v>0.17610000000000001</v>
      </c>
      <c r="G302" s="19">
        <v>1.0699999999999999E-2</v>
      </c>
      <c r="H302" s="20"/>
      <c r="I302" s="21">
        <v>3.1602000000000001</v>
      </c>
      <c r="J302" s="20">
        <v>0.19450000000000001</v>
      </c>
      <c r="K302" s="20"/>
      <c r="M302" t="str">
        <f t="shared" si="56"/>
        <v/>
      </c>
      <c r="N302" s="29" t="str">
        <f t="shared" si="57"/>
        <v xml:space="preserve"> LifeChem</v>
      </c>
      <c r="O302" t="str">
        <f t="shared" si="58"/>
        <v>MOLFIX (HAYAT KIMYA)</v>
      </c>
      <c r="P302" t="str">
        <f t="shared" si="60"/>
        <v/>
      </c>
      <c r="R302" t="str">
        <f t="shared" si="59"/>
        <v/>
      </c>
      <c r="T302" t="s">
        <v>871</v>
      </c>
      <c r="U302" t="str">
        <f t="shared" si="61"/>
        <v/>
      </c>
      <c r="V302" t="str">
        <f t="shared" si="62"/>
        <v/>
      </c>
      <c r="W302" t="str">
        <f t="shared" si="63"/>
        <v/>
      </c>
      <c r="X302" s="27" t="str">
        <f t="shared" si="64"/>
        <v/>
      </c>
      <c r="Y302" s="27" t="str">
        <f t="shared" si="65"/>
        <v/>
      </c>
      <c r="Z302" s="27" t="str">
        <f t="shared" si="66"/>
        <v/>
      </c>
      <c r="AA302" s="27" t="str">
        <f t="shared" si="67"/>
        <v/>
      </c>
      <c r="AB302" s="27" t="str">
        <f t="shared" si="68"/>
        <v/>
      </c>
      <c r="AC302" s="27" t="str">
        <f t="shared" si="69"/>
        <v/>
      </c>
    </row>
    <row r="303" spans="1:29" ht="15" customHeight="1" x14ac:dyDescent="0.3">
      <c r="A303" s="22" t="s">
        <v>250</v>
      </c>
      <c r="B303" s="23" t="s">
        <v>8</v>
      </c>
      <c r="C303" s="23" t="s">
        <v>9</v>
      </c>
      <c r="D303" s="24" t="s">
        <v>249</v>
      </c>
      <c r="E303" s="24" t="s">
        <v>11</v>
      </c>
      <c r="F303" s="18">
        <v>0.50239999999999996</v>
      </c>
      <c r="G303" s="19">
        <v>6.6451000000000002</v>
      </c>
      <c r="H303" s="20"/>
      <c r="I303" s="21">
        <v>10.56</v>
      </c>
      <c r="J303" s="20">
        <v>115.3312</v>
      </c>
      <c r="K303" s="20"/>
      <c r="M303" t="str">
        <f t="shared" si="56"/>
        <v>HIMALAYA ALOE VERA&amp;INDIANLOTUS W 20 BAG</v>
      </c>
      <c r="N303" s="29" t="str">
        <f t="shared" si="57"/>
        <v xml:space="preserve"> MountainMedicine</v>
      </c>
      <c r="O303" t="str">
        <f t="shared" si="58"/>
        <v>HIMALAYA (HIMALAYA DRUG)</v>
      </c>
      <c r="P303" t="str">
        <f t="shared" si="60"/>
        <v xml:space="preserve"> MountainMedicine</v>
      </c>
      <c r="R303" t="str">
        <f t="shared" si="59"/>
        <v>HIMALAYA (HIMALAYA DRUG)</v>
      </c>
      <c r="T303" t="s">
        <v>248</v>
      </c>
      <c r="U303" t="str">
        <f t="shared" si="61"/>
        <v>BAGS</v>
      </c>
      <c r="V303" t="str">
        <f t="shared" si="62"/>
        <v>ALCOHOL FREE &amp; HYPOALLERGENIC</v>
      </c>
      <c r="W303" t="str">
        <f t="shared" si="63"/>
        <v>20</v>
      </c>
      <c r="X303" s="27">
        <f t="shared" si="64"/>
        <v>0.17610000000000001</v>
      </c>
      <c r="Y303" s="27">
        <f t="shared" si="65"/>
        <v>1.0699999999999999E-2</v>
      </c>
      <c r="Z303" s="27">
        <f t="shared" si="66"/>
        <v>0</v>
      </c>
      <c r="AA303" s="27">
        <f t="shared" si="67"/>
        <v>3.1602000000000001</v>
      </c>
      <c r="AB303" s="27">
        <f t="shared" si="68"/>
        <v>0.19450000000000001</v>
      </c>
      <c r="AC303" s="27">
        <f t="shared" si="69"/>
        <v>0</v>
      </c>
    </row>
    <row r="304" spans="1:29" ht="15" customHeight="1" x14ac:dyDescent="0.3">
      <c r="A304" s="22" t="s">
        <v>251</v>
      </c>
      <c r="B304" s="23" t="s">
        <v>8</v>
      </c>
      <c r="C304" s="23" t="s">
        <v>9</v>
      </c>
      <c r="D304" s="24" t="s">
        <v>249</v>
      </c>
      <c r="E304" s="24" t="s">
        <v>34</v>
      </c>
      <c r="F304" s="18">
        <v>0.31990000000000002</v>
      </c>
      <c r="G304" s="19"/>
      <c r="H304" s="20"/>
      <c r="I304" s="21">
        <v>7.3638000000000003</v>
      </c>
      <c r="J304" s="20"/>
      <c r="K304" s="20"/>
      <c r="M304" t="str">
        <f t="shared" si="56"/>
        <v>HIMALAYA SOOTHING&amp;PROTECTINGBABY W 20BAG</v>
      </c>
      <c r="N304" s="29" t="str">
        <f t="shared" si="57"/>
        <v xml:space="preserve"> MountainMedicine</v>
      </c>
      <c r="O304" t="str">
        <f t="shared" si="58"/>
        <v>HIMALAYA (HIMALAYA DRUG)</v>
      </c>
      <c r="P304" t="str">
        <f t="shared" si="60"/>
        <v xml:space="preserve"> MountainMedicine</v>
      </c>
      <c r="R304" t="str">
        <f t="shared" si="59"/>
        <v>HIMALAYA (HIMALAYA DRUG)</v>
      </c>
      <c r="T304" t="s">
        <v>250</v>
      </c>
      <c r="U304" t="str">
        <f t="shared" si="61"/>
        <v>BAGS</v>
      </c>
      <c r="V304" t="str">
        <f t="shared" si="62"/>
        <v>ALCOHOL FREE &amp; HYPOALLERGENIC</v>
      </c>
      <c r="W304" t="str">
        <f t="shared" si="63"/>
        <v>20</v>
      </c>
      <c r="X304" s="27">
        <f t="shared" si="64"/>
        <v>0.50239999999999996</v>
      </c>
      <c r="Y304" s="27">
        <f t="shared" si="65"/>
        <v>6.6451000000000002</v>
      </c>
      <c r="Z304" s="27">
        <f t="shared" si="66"/>
        <v>0</v>
      </c>
      <c r="AA304" s="27">
        <f t="shared" si="67"/>
        <v>10.56</v>
      </c>
      <c r="AB304" s="27">
        <f t="shared" si="68"/>
        <v>115.3312</v>
      </c>
      <c r="AC304" s="27">
        <f t="shared" si="69"/>
        <v>0</v>
      </c>
    </row>
    <row r="305" spans="1:29" ht="15" customHeight="1" x14ac:dyDescent="0.3">
      <c r="A305" s="22" t="s">
        <v>252</v>
      </c>
      <c r="B305" s="23" t="s">
        <v>8</v>
      </c>
      <c r="C305" s="23" t="s">
        <v>9</v>
      </c>
      <c r="D305" s="24" t="s">
        <v>249</v>
      </c>
      <c r="E305" s="24" t="s">
        <v>34</v>
      </c>
      <c r="F305" s="18">
        <v>3.0116000000000001</v>
      </c>
      <c r="G305" s="19"/>
      <c r="H305" s="20"/>
      <c r="I305" s="21">
        <v>62.468000000000004</v>
      </c>
      <c r="J305" s="20"/>
      <c r="K305" s="20"/>
      <c r="M305" t="str">
        <f t="shared" si="56"/>
        <v>HIMALAYA ALOE VERA&amp;INDIANLOTUS W 56 BAG</v>
      </c>
      <c r="N305" s="29" t="str">
        <f t="shared" si="57"/>
        <v xml:space="preserve"> MountainMedicine</v>
      </c>
      <c r="O305" t="str">
        <f t="shared" si="58"/>
        <v>HIMALAYA (HIMALAYA DRUG)</v>
      </c>
      <c r="P305" t="str">
        <f t="shared" si="60"/>
        <v xml:space="preserve"> MountainMedicine</v>
      </c>
      <c r="R305" t="str">
        <f t="shared" si="59"/>
        <v>HIMALAYA (HIMALAYA DRUG)</v>
      </c>
      <c r="T305" t="s">
        <v>251</v>
      </c>
      <c r="U305" t="str">
        <f t="shared" si="61"/>
        <v>BAGS</v>
      </c>
      <c r="V305" t="str">
        <f t="shared" si="62"/>
        <v>ALCOHOL FREE &amp; HYPOALLERGENIC</v>
      </c>
      <c r="W305" t="str">
        <f t="shared" si="63"/>
        <v>56</v>
      </c>
      <c r="X305" s="27">
        <f t="shared" si="64"/>
        <v>0.31990000000000002</v>
      </c>
      <c r="Y305" s="27">
        <f t="shared" si="65"/>
        <v>0</v>
      </c>
      <c r="Z305" s="27">
        <f t="shared" si="66"/>
        <v>0</v>
      </c>
      <c r="AA305" s="27">
        <f t="shared" si="67"/>
        <v>7.3638000000000003</v>
      </c>
      <c r="AB305" s="27">
        <f t="shared" si="68"/>
        <v>0</v>
      </c>
      <c r="AC305" s="27">
        <f t="shared" si="69"/>
        <v>0</v>
      </c>
    </row>
    <row r="306" spans="1:29" ht="14.25" customHeight="1" x14ac:dyDescent="0.3">
      <c r="A306" s="25" t="s">
        <v>752</v>
      </c>
      <c r="B306" s="4" t="s">
        <v>5</v>
      </c>
      <c r="C306" s="4"/>
      <c r="D306" s="5"/>
      <c r="E306" s="5"/>
      <c r="F306" s="10">
        <v>113.4864</v>
      </c>
      <c r="G306" s="11">
        <v>49.046199999999999</v>
      </c>
      <c r="H306" s="12">
        <v>12.333</v>
      </c>
      <c r="I306" s="13">
        <v>2663.5762</v>
      </c>
      <c r="J306" s="12">
        <v>1050.6376</v>
      </c>
      <c r="K306" s="12">
        <v>244.38679999999999</v>
      </c>
      <c r="M306" t="str">
        <f t="shared" si="56"/>
        <v>HIMALAYA SOOTHING&amp;PROTECTINGBABY W 56BAG</v>
      </c>
      <c r="N306" s="29" t="str">
        <f t="shared" si="57"/>
        <v xml:space="preserve"> MountainMedicine</v>
      </c>
      <c r="O306" t="str">
        <f t="shared" si="58"/>
        <v>HIMALAYA (HIMALAYA DRUG)</v>
      </c>
      <c r="P306" t="str">
        <f t="shared" si="60"/>
        <v xml:space="preserve"> MountainMedicine</v>
      </c>
      <c r="R306" t="str">
        <f t="shared" si="59"/>
        <v>HIMALAYA (HIMALAYA DRUG)</v>
      </c>
      <c r="T306" t="s">
        <v>252</v>
      </c>
      <c r="U306" t="str">
        <f t="shared" si="61"/>
        <v>BAGS</v>
      </c>
      <c r="V306" t="str">
        <f t="shared" si="62"/>
        <v>ALCOHOL FREE &amp; HYPOALLERGENIC</v>
      </c>
      <c r="W306" t="str">
        <f t="shared" si="63"/>
        <v>56</v>
      </c>
      <c r="X306" s="27">
        <f t="shared" si="64"/>
        <v>3.0116000000000001</v>
      </c>
      <c r="Y306" s="27">
        <f t="shared" si="65"/>
        <v>0</v>
      </c>
      <c r="Z306" s="27">
        <f t="shared" si="66"/>
        <v>0</v>
      </c>
      <c r="AA306" s="27">
        <f t="shared" si="67"/>
        <v>62.468000000000004</v>
      </c>
      <c r="AB306" s="27">
        <f t="shared" si="68"/>
        <v>0</v>
      </c>
      <c r="AC306" s="27">
        <f t="shared" si="69"/>
        <v>0</v>
      </c>
    </row>
    <row r="307" spans="1:29" ht="15" customHeight="1" x14ac:dyDescent="0.3">
      <c r="A307" s="14" t="s">
        <v>253</v>
      </c>
      <c r="B307" s="15" t="s">
        <v>6</v>
      </c>
      <c r="C307" s="16"/>
      <c r="D307" s="17"/>
      <c r="E307" s="17"/>
      <c r="F307" s="18">
        <v>113.4864</v>
      </c>
      <c r="G307" s="19">
        <v>49.046199999999999</v>
      </c>
      <c r="H307" s="20">
        <v>12.333</v>
      </c>
      <c r="I307" s="21">
        <v>2663.5762</v>
      </c>
      <c r="J307" s="20">
        <v>1050.6376</v>
      </c>
      <c r="K307" s="20">
        <v>244.38679999999999</v>
      </c>
      <c r="M307" t="str">
        <f t="shared" si="56"/>
        <v/>
      </c>
      <c r="N307" s="29" t="str">
        <f t="shared" si="57"/>
        <v xml:space="preserve"> MountainMedicine</v>
      </c>
      <c r="O307" t="str">
        <f t="shared" si="58"/>
        <v>HIMALAYA (HIMALAYA DRUG)</v>
      </c>
      <c r="P307" t="str">
        <f t="shared" si="60"/>
        <v/>
      </c>
      <c r="R307" t="str">
        <f t="shared" si="59"/>
        <v/>
      </c>
      <c r="T307" t="s">
        <v>871</v>
      </c>
      <c r="U307" t="str">
        <f t="shared" si="61"/>
        <v/>
      </c>
      <c r="V307" t="str">
        <f t="shared" si="62"/>
        <v/>
      </c>
      <c r="W307" t="str">
        <f t="shared" si="63"/>
        <v/>
      </c>
      <c r="X307" s="27" t="str">
        <f t="shared" si="64"/>
        <v/>
      </c>
      <c r="Y307" s="27" t="str">
        <f t="shared" si="65"/>
        <v/>
      </c>
      <c r="Z307" s="27" t="str">
        <f t="shared" si="66"/>
        <v/>
      </c>
      <c r="AA307" s="27" t="str">
        <f t="shared" si="67"/>
        <v/>
      </c>
      <c r="AB307" s="27" t="str">
        <f t="shared" si="68"/>
        <v/>
      </c>
      <c r="AC307" s="27" t="str">
        <f t="shared" si="69"/>
        <v/>
      </c>
    </row>
    <row r="308" spans="1:29" ht="15" customHeight="1" x14ac:dyDescent="0.3">
      <c r="A308" s="22" t="s">
        <v>254</v>
      </c>
      <c r="B308" s="23" t="s">
        <v>8</v>
      </c>
      <c r="C308" s="23" t="s">
        <v>9</v>
      </c>
      <c r="D308" s="24" t="s">
        <v>20</v>
      </c>
      <c r="E308" s="24" t="s">
        <v>13</v>
      </c>
      <c r="F308" s="18">
        <v>1.7111000000000001</v>
      </c>
      <c r="G308" s="19">
        <v>0.48920000000000002</v>
      </c>
      <c r="H308" s="20">
        <v>7.6600000000000001E-2</v>
      </c>
      <c r="I308" s="21">
        <v>14.330299999999999</v>
      </c>
      <c r="J308" s="20">
        <v>3.8454999999999999</v>
      </c>
      <c r="K308" s="20">
        <v>0.62309999999999999</v>
      </c>
      <c r="M308" t="str">
        <f t="shared" si="56"/>
        <v/>
      </c>
      <c r="N308" s="29" t="str">
        <f t="shared" si="57"/>
        <v xml:space="preserve"> MountainMedicine</v>
      </c>
      <c r="O308" t="str">
        <f t="shared" si="58"/>
        <v>HIMALAYA (HIMALAYA DRUG)</v>
      </c>
      <c r="P308" t="str">
        <f t="shared" si="60"/>
        <v/>
      </c>
      <c r="R308" t="str">
        <f t="shared" si="59"/>
        <v/>
      </c>
      <c r="T308" t="s">
        <v>871</v>
      </c>
      <c r="U308" t="str">
        <f t="shared" si="61"/>
        <v/>
      </c>
      <c r="V308" t="str">
        <f t="shared" si="62"/>
        <v/>
      </c>
      <c r="W308" t="str">
        <f t="shared" si="63"/>
        <v/>
      </c>
      <c r="X308" s="27" t="str">
        <f t="shared" si="64"/>
        <v/>
      </c>
      <c r="Y308" s="27" t="str">
        <f t="shared" si="65"/>
        <v/>
      </c>
      <c r="Z308" s="27" t="str">
        <f t="shared" si="66"/>
        <v/>
      </c>
      <c r="AA308" s="27" t="str">
        <f t="shared" si="67"/>
        <v/>
      </c>
      <c r="AB308" s="27" t="str">
        <f t="shared" si="68"/>
        <v/>
      </c>
      <c r="AC308" s="27" t="str">
        <f t="shared" si="69"/>
        <v/>
      </c>
    </row>
    <row r="309" spans="1:29" ht="15" customHeight="1" x14ac:dyDescent="0.3">
      <c r="A309" s="22" t="s">
        <v>255</v>
      </c>
      <c r="B309" s="23" t="s">
        <v>8</v>
      </c>
      <c r="C309" s="23" t="s">
        <v>9</v>
      </c>
      <c r="D309" s="24" t="s">
        <v>64</v>
      </c>
      <c r="E309" s="24" t="s">
        <v>256</v>
      </c>
      <c r="F309" s="18">
        <v>88.057900000000004</v>
      </c>
      <c r="G309" s="19">
        <v>26.767399999999999</v>
      </c>
      <c r="H309" s="20">
        <v>2.3372999999999999</v>
      </c>
      <c r="I309" s="21">
        <v>2166.7952</v>
      </c>
      <c r="J309" s="20">
        <v>614.64589999999998</v>
      </c>
      <c r="K309" s="20">
        <v>48.202599999999997</v>
      </c>
      <c r="M309" t="str">
        <f t="shared" si="56"/>
        <v>HIPP BABY SANFT ALMOND PH5.5 W 10 BAG</v>
      </c>
      <c r="N309" s="29" t="str">
        <f t="shared" si="57"/>
        <v xml:space="preserve"> Swift GMBH</v>
      </c>
      <c r="O309" t="str">
        <f t="shared" si="58"/>
        <v>HIPP (HIPP GMBH)</v>
      </c>
      <c r="P309" t="str">
        <f t="shared" si="60"/>
        <v xml:space="preserve"> Swift GMBH</v>
      </c>
      <c r="R309" t="str">
        <f t="shared" si="59"/>
        <v>HIPP (HIPP GMBH)</v>
      </c>
      <c r="T309" t="s">
        <v>254</v>
      </c>
      <c r="U309" t="str">
        <f t="shared" si="61"/>
        <v>BAGS</v>
      </c>
      <c r="V309" t="str">
        <f t="shared" si="62"/>
        <v>PH BALANCED</v>
      </c>
      <c r="W309" t="str">
        <f t="shared" si="63"/>
        <v>10</v>
      </c>
      <c r="X309" s="27">
        <f t="shared" si="64"/>
        <v>1.7111000000000001</v>
      </c>
      <c r="Y309" s="27">
        <f t="shared" si="65"/>
        <v>0.48920000000000002</v>
      </c>
      <c r="Z309" s="27">
        <f t="shared" si="66"/>
        <v>7.6600000000000001E-2</v>
      </c>
      <c r="AA309" s="27">
        <f t="shared" si="67"/>
        <v>14.330299999999999</v>
      </c>
      <c r="AB309" s="27">
        <f t="shared" si="68"/>
        <v>3.8454999999999999</v>
      </c>
      <c r="AC309" s="27">
        <f t="shared" si="69"/>
        <v>0.62309999999999999</v>
      </c>
    </row>
    <row r="310" spans="1:29" ht="15" customHeight="1" x14ac:dyDescent="0.3">
      <c r="A310" s="22" t="s">
        <v>257</v>
      </c>
      <c r="B310" s="23" t="s">
        <v>8</v>
      </c>
      <c r="C310" s="23" t="s">
        <v>9</v>
      </c>
      <c r="D310" s="24" t="s">
        <v>10</v>
      </c>
      <c r="E310" s="24" t="s">
        <v>34</v>
      </c>
      <c r="F310" s="18">
        <v>1.0826</v>
      </c>
      <c r="G310" s="19">
        <v>0.79220000000000002</v>
      </c>
      <c r="H310" s="20"/>
      <c r="I310" s="21">
        <v>19.760000000000002</v>
      </c>
      <c r="J310" s="20">
        <v>17.024000000000001</v>
      </c>
      <c r="K310" s="20"/>
      <c r="M310" t="str">
        <f t="shared" si="56"/>
        <v>HIPP BABY ULTRASENSITIVE MANDEL W 52 BAG</v>
      </c>
      <c r="N310" s="29" t="str">
        <f t="shared" si="57"/>
        <v xml:space="preserve"> Swift GMBH</v>
      </c>
      <c r="O310" t="str">
        <f t="shared" si="58"/>
        <v>HIPP (HIPP GMBH)</v>
      </c>
      <c r="P310" t="str">
        <f t="shared" si="60"/>
        <v xml:space="preserve"> Swift GMBH</v>
      </c>
      <c r="R310" t="str">
        <f t="shared" si="59"/>
        <v>HIPP (HIPP GMBH)</v>
      </c>
      <c r="T310" t="s">
        <v>255</v>
      </c>
      <c r="U310" t="str">
        <f t="shared" si="61"/>
        <v>BAGS</v>
      </c>
      <c r="V310" t="str">
        <f t="shared" si="62"/>
        <v>SENSITIVE</v>
      </c>
      <c r="W310" t="str">
        <f t="shared" si="63"/>
        <v>52</v>
      </c>
      <c r="X310" s="27">
        <f t="shared" si="64"/>
        <v>88.057900000000004</v>
      </c>
      <c r="Y310" s="27">
        <f t="shared" si="65"/>
        <v>26.767399999999999</v>
      </c>
      <c r="Z310" s="27">
        <f t="shared" si="66"/>
        <v>2.3372999999999999</v>
      </c>
      <c r="AA310" s="27">
        <f t="shared" si="67"/>
        <v>2166.7952</v>
      </c>
      <c r="AB310" s="27">
        <f t="shared" si="68"/>
        <v>614.64589999999998</v>
      </c>
      <c r="AC310" s="27">
        <f t="shared" si="69"/>
        <v>48.202599999999997</v>
      </c>
    </row>
    <row r="311" spans="1:29" ht="15" customHeight="1" x14ac:dyDescent="0.3">
      <c r="A311" s="22" t="s">
        <v>258</v>
      </c>
      <c r="B311" s="23" t="s">
        <v>8</v>
      </c>
      <c r="C311" s="23" t="s">
        <v>9</v>
      </c>
      <c r="D311" s="24" t="s">
        <v>20</v>
      </c>
      <c r="E311" s="24" t="s">
        <v>34</v>
      </c>
      <c r="F311" s="18">
        <v>0.44109999999999999</v>
      </c>
      <c r="G311" s="19">
        <v>0.41260000000000002</v>
      </c>
      <c r="H311" s="20">
        <v>4.5600000000000002E-2</v>
      </c>
      <c r="I311" s="21">
        <v>8.4567999999999994</v>
      </c>
      <c r="J311" s="20">
        <v>6.601</v>
      </c>
      <c r="K311" s="20">
        <v>0.72929999999999995</v>
      </c>
      <c r="M311" t="str">
        <f t="shared" si="56"/>
        <v>HIPP BABY ALMOND W 56 BAG</v>
      </c>
      <c r="N311" s="29" t="str">
        <f t="shared" si="57"/>
        <v xml:space="preserve"> Swift GMBH</v>
      </c>
      <c r="O311" t="str">
        <f t="shared" si="58"/>
        <v>HIPP (HIPP GMBH)</v>
      </c>
      <c r="P311" t="str">
        <f t="shared" si="60"/>
        <v xml:space="preserve"> Swift GMBH</v>
      </c>
      <c r="R311" t="str">
        <f t="shared" si="59"/>
        <v>HIPP (HIPP GMBH)</v>
      </c>
      <c r="T311" t="s">
        <v>257</v>
      </c>
      <c r="U311" t="str">
        <f t="shared" si="61"/>
        <v>BAGS</v>
      </c>
      <c r="V311" t="str">
        <f t="shared" si="62"/>
        <v>WITHOUT EXTRA PROTECTCARE INDICATION</v>
      </c>
      <c r="W311" t="str">
        <f t="shared" si="63"/>
        <v>56</v>
      </c>
      <c r="X311" s="27">
        <f t="shared" si="64"/>
        <v>1.0826</v>
      </c>
      <c r="Y311" s="27">
        <f t="shared" si="65"/>
        <v>0.79220000000000002</v>
      </c>
      <c r="Z311" s="27">
        <f t="shared" si="66"/>
        <v>0</v>
      </c>
      <c r="AA311" s="27">
        <f t="shared" si="67"/>
        <v>19.760000000000002</v>
      </c>
      <c r="AB311" s="27">
        <f t="shared" si="68"/>
        <v>17.024000000000001</v>
      </c>
      <c r="AC311" s="27">
        <f t="shared" si="69"/>
        <v>0</v>
      </c>
    </row>
    <row r="312" spans="1:29" ht="15" customHeight="1" x14ac:dyDescent="0.3">
      <c r="A312" s="22" t="s">
        <v>259</v>
      </c>
      <c r="B312" s="23" t="s">
        <v>8</v>
      </c>
      <c r="C312" s="23" t="s">
        <v>9</v>
      </c>
      <c r="D312" s="24" t="s">
        <v>64</v>
      </c>
      <c r="E312" s="24" t="s">
        <v>34</v>
      </c>
      <c r="F312" s="18">
        <v>2.1700000000000001E-2</v>
      </c>
      <c r="G312" s="19"/>
      <c r="H312" s="20"/>
      <c r="I312" s="21">
        <v>0.48470000000000002</v>
      </c>
      <c r="J312" s="20"/>
      <c r="K312" s="20"/>
      <c r="M312" t="str">
        <f t="shared" si="56"/>
        <v>HIPP BABY GENTLE CARING W 56 BAG</v>
      </c>
      <c r="N312" s="29" t="str">
        <f t="shared" si="57"/>
        <v xml:space="preserve"> Swift GMBH</v>
      </c>
      <c r="O312" t="str">
        <f t="shared" si="58"/>
        <v>HIPP (HIPP GMBH)</v>
      </c>
      <c r="P312" t="str">
        <f t="shared" si="60"/>
        <v xml:space="preserve"> Swift GMBH</v>
      </c>
      <c r="R312" t="str">
        <f t="shared" si="59"/>
        <v>HIPP (HIPP GMBH)</v>
      </c>
      <c r="T312" t="s">
        <v>258</v>
      </c>
      <c r="U312" t="str">
        <f t="shared" si="61"/>
        <v>BAGS</v>
      </c>
      <c r="V312" t="str">
        <f t="shared" si="62"/>
        <v>PH BALANCED</v>
      </c>
      <c r="W312" t="str">
        <f t="shared" si="63"/>
        <v>56</v>
      </c>
      <c r="X312" s="27">
        <f t="shared" si="64"/>
        <v>0.44109999999999999</v>
      </c>
      <c r="Y312" s="27">
        <f t="shared" si="65"/>
        <v>0.41260000000000002</v>
      </c>
      <c r="Z312" s="27">
        <f t="shared" si="66"/>
        <v>4.5600000000000002E-2</v>
      </c>
      <c r="AA312" s="27">
        <f t="shared" si="67"/>
        <v>8.4567999999999994</v>
      </c>
      <c r="AB312" s="27">
        <f t="shared" si="68"/>
        <v>6.601</v>
      </c>
      <c r="AC312" s="27">
        <f t="shared" si="69"/>
        <v>0.72929999999999995</v>
      </c>
    </row>
    <row r="313" spans="1:29" ht="15" customHeight="1" x14ac:dyDescent="0.3">
      <c r="A313" s="22" t="s">
        <v>260</v>
      </c>
      <c r="B313" s="23" t="s">
        <v>8</v>
      </c>
      <c r="C313" s="23" t="s">
        <v>9</v>
      </c>
      <c r="D313" s="24" t="s">
        <v>20</v>
      </c>
      <c r="E313" s="24" t="s">
        <v>34</v>
      </c>
      <c r="F313" s="18">
        <v>1.675</v>
      </c>
      <c r="G313" s="19">
        <v>2.4634999999999998</v>
      </c>
      <c r="H313" s="20">
        <v>0.86060000000000003</v>
      </c>
      <c r="I313" s="21">
        <v>31.331099999999999</v>
      </c>
      <c r="J313" s="20">
        <v>43.584000000000003</v>
      </c>
      <c r="K313" s="20">
        <v>15.645899999999999</v>
      </c>
      <c r="M313" t="str">
        <f t="shared" si="56"/>
        <v>HIPP BABY SANFT FEUCHT TUCHER W 56 BAG</v>
      </c>
      <c r="N313" s="29" t="str">
        <f t="shared" si="57"/>
        <v xml:space="preserve"> Swift GMBH</v>
      </c>
      <c r="O313" t="str">
        <f t="shared" si="58"/>
        <v>HIPP (HIPP GMBH)</v>
      </c>
      <c r="P313" t="str">
        <f t="shared" si="60"/>
        <v xml:space="preserve"> Swift GMBH</v>
      </c>
      <c r="R313" t="str">
        <f t="shared" si="59"/>
        <v>HIPP (HIPP GMBH)</v>
      </c>
      <c r="T313" t="s">
        <v>259</v>
      </c>
      <c r="U313" t="str">
        <f t="shared" si="61"/>
        <v>BAGS</v>
      </c>
      <c r="V313" t="str">
        <f t="shared" si="62"/>
        <v>SENSITIVE</v>
      </c>
      <c r="W313" t="str">
        <f t="shared" si="63"/>
        <v>56</v>
      </c>
      <c r="X313" s="27">
        <f t="shared" si="64"/>
        <v>2.1700000000000001E-2</v>
      </c>
      <c r="Y313" s="27">
        <f t="shared" si="65"/>
        <v>0</v>
      </c>
      <c r="Z313" s="27">
        <f t="shared" si="66"/>
        <v>0</v>
      </c>
      <c r="AA313" s="27">
        <f t="shared" si="67"/>
        <v>0.48470000000000002</v>
      </c>
      <c r="AB313" s="27">
        <f t="shared" si="68"/>
        <v>0</v>
      </c>
      <c r="AC313" s="27">
        <f t="shared" si="69"/>
        <v>0</v>
      </c>
    </row>
    <row r="314" spans="1:29" ht="15" customHeight="1" x14ac:dyDescent="0.3">
      <c r="A314" s="22" t="s">
        <v>261</v>
      </c>
      <c r="B314" s="23" t="s">
        <v>8</v>
      </c>
      <c r="C314" s="23" t="s">
        <v>9</v>
      </c>
      <c r="D314" s="24" t="s">
        <v>20</v>
      </c>
      <c r="E314" s="24" t="s">
        <v>34</v>
      </c>
      <c r="F314" s="18">
        <v>9.3126999999999995</v>
      </c>
      <c r="G314" s="19">
        <v>6.4108999999999998</v>
      </c>
      <c r="H314" s="20">
        <v>5.0708000000000002</v>
      </c>
      <c r="I314" s="21">
        <v>206.11410000000001</v>
      </c>
      <c r="J314" s="20">
        <v>126.16</v>
      </c>
      <c r="K314" s="20">
        <v>101.6622</v>
      </c>
      <c r="M314" t="str">
        <f t="shared" si="56"/>
        <v>HIPP BABYSANFT BIOMANDELEXT.W 2X56+POD.</v>
      </c>
      <c r="N314" s="29" t="str">
        <f t="shared" si="57"/>
        <v xml:space="preserve"> Swift GMBH</v>
      </c>
      <c r="O314" t="str">
        <f t="shared" si="58"/>
        <v>HIPP (HIPP GMBH)</v>
      </c>
      <c r="P314" t="str">
        <f t="shared" si="60"/>
        <v xml:space="preserve"> Swift GMBH</v>
      </c>
      <c r="R314" t="str">
        <f t="shared" si="59"/>
        <v>HIPP (HIPP GMBH)</v>
      </c>
      <c r="T314" t="s">
        <v>260</v>
      </c>
      <c r="U314" t="str">
        <f t="shared" si="61"/>
        <v>BAGS</v>
      </c>
      <c r="V314" t="str">
        <f t="shared" si="62"/>
        <v>PH BALANCED</v>
      </c>
      <c r="W314" t="str">
        <f t="shared" si="63"/>
        <v>56</v>
      </c>
      <c r="X314" s="27">
        <f t="shared" si="64"/>
        <v>1.675</v>
      </c>
      <c r="Y314" s="27">
        <f t="shared" si="65"/>
        <v>2.4634999999999998</v>
      </c>
      <c r="Z314" s="27">
        <f t="shared" si="66"/>
        <v>0.86060000000000003</v>
      </c>
      <c r="AA314" s="27">
        <f t="shared" si="67"/>
        <v>31.331099999999999</v>
      </c>
      <c r="AB314" s="27">
        <f t="shared" si="68"/>
        <v>43.584000000000003</v>
      </c>
      <c r="AC314" s="27">
        <f t="shared" si="69"/>
        <v>15.645899999999999</v>
      </c>
    </row>
    <row r="315" spans="1:29" ht="15" customHeight="1" x14ac:dyDescent="0.3">
      <c r="A315" s="22" t="s">
        <v>262</v>
      </c>
      <c r="B315" s="23" t="s">
        <v>8</v>
      </c>
      <c r="C315" s="23" t="s">
        <v>9</v>
      </c>
      <c r="D315" s="24" t="s">
        <v>20</v>
      </c>
      <c r="E315" s="24" t="s">
        <v>34</v>
      </c>
      <c r="F315" s="18">
        <v>11.1845</v>
      </c>
      <c r="G315" s="19">
        <v>11.7105</v>
      </c>
      <c r="H315" s="20">
        <v>3.9420000000000002</v>
      </c>
      <c r="I315" s="21">
        <v>216.30410000000001</v>
      </c>
      <c r="J315" s="20">
        <v>238.77709999999999</v>
      </c>
      <c r="K315" s="20">
        <v>77.523899999999998</v>
      </c>
      <c r="M315" t="str">
        <f t="shared" si="56"/>
        <v>HIPP BABYSANFT BIOMANDELEXTR. W 2X56 BAG</v>
      </c>
      <c r="N315" s="29" t="str">
        <f t="shared" si="57"/>
        <v xml:space="preserve"> Swift GMBH</v>
      </c>
      <c r="O315" t="str">
        <f t="shared" si="58"/>
        <v>HIPP (HIPP GMBH)</v>
      </c>
      <c r="P315" t="str">
        <f t="shared" si="60"/>
        <v xml:space="preserve"> Swift GMBH</v>
      </c>
      <c r="R315" t="str">
        <f t="shared" si="59"/>
        <v>HIPP (HIPP GMBH)</v>
      </c>
      <c r="T315" t="s">
        <v>261</v>
      </c>
      <c r="U315" t="str">
        <f t="shared" si="61"/>
        <v>BAGS</v>
      </c>
      <c r="V315" t="str">
        <f t="shared" si="62"/>
        <v>PH BALANCED</v>
      </c>
      <c r="W315" t="str">
        <f t="shared" si="63"/>
        <v>56</v>
      </c>
      <c r="X315" s="27">
        <f t="shared" si="64"/>
        <v>9.3126999999999995</v>
      </c>
      <c r="Y315" s="27">
        <f t="shared" si="65"/>
        <v>6.4108999999999998</v>
      </c>
      <c r="Z315" s="27">
        <f t="shared" si="66"/>
        <v>5.0708000000000002</v>
      </c>
      <c r="AA315" s="27">
        <f t="shared" si="67"/>
        <v>206.11410000000001</v>
      </c>
      <c r="AB315" s="27">
        <f t="shared" si="68"/>
        <v>126.16</v>
      </c>
      <c r="AC315" s="27">
        <f t="shared" si="69"/>
        <v>101.6622</v>
      </c>
    </row>
    <row r="316" spans="1:29" ht="14.25" customHeight="1" x14ac:dyDescent="0.3">
      <c r="A316" s="25" t="s">
        <v>753</v>
      </c>
      <c r="B316" s="4" t="s">
        <v>5</v>
      </c>
      <c r="C316" s="4"/>
      <c r="D316" s="5"/>
      <c r="E316" s="5"/>
      <c r="F316" s="10">
        <v>6.6299999999999998E-2</v>
      </c>
      <c r="G316" s="11">
        <v>0.12959999999999999</v>
      </c>
      <c r="H316" s="12">
        <v>7.1499999999999994E-2</v>
      </c>
      <c r="I316" s="13">
        <v>0.504</v>
      </c>
      <c r="J316" s="12">
        <v>0.91539999999999999</v>
      </c>
      <c r="K316" s="12">
        <v>0.52459999999999996</v>
      </c>
      <c r="M316" t="str">
        <f t="shared" si="56"/>
        <v>HIPP BABYSANFT BIOMANDELEXTRACT W 56 BAG</v>
      </c>
      <c r="N316" s="29" t="str">
        <f t="shared" si="57"/>
        <v xml:space="preserve"> Swift GMBH</v>
      </c>
      <c r="O316" t="str">
        <f t="shared" si="58"/>
        <v>HIPP (HIPP GMBH)</v>
      </c>
      <c r="P316" t="str">
        <f t="shared" si="60"/>
        <v xml:space="preserve"> Swift GMBH</v>
      </c>
      <c r="R316" t="str">
        <f t="shared" si="59"/>
        <v>HIPP (HIPP GMBH)</v>
      </c>
      <c r="T316" t="s">
        <v>262</v>
      </c>
      <c r="U316" t="str">
        <f t="shared" si="61"/>
        <v>BAGS</v>
      </c>
      <c r="V316" t="str">
        <f t="shared" si="62"/>
        <v>PH BALANCED</v>
      </c>
      <c r="W316" t="str">
        <f t="shared" si="63"/>
        <v>56</v>
      </c>
      <c r="X316" s="27">
        <f t="shared" si="64"/>
        <v>11.1845</v>
      </c>
      <c r="Y316" s="27">
        <f t="shared" si="65"/>
        <v>11.7105</v>
      </c>
      <c r="Z316" s="27">
        <f t="shared" si="66"/>
        <v>3.9420000000000002</v>
      </c>
      <c r="AA316" s="27">
        <f t="shared" si="67"/>
        <v>216.30410000000001</v>
      </c>
      <c r="AB316" s="27">
        <f t="shared" si="68"/>
        <v>238.77709999999999</v>
      </c>
      <c r="AC316" s="27">
        <f t="shared" si="69"/>
        <v>77.523899999999998</v>
      </c>
    </row>
    <row r="317" spans="1:29" ht="15" customHeight="1" x14ac:dyDescent="0.3">
      <c r="A317" s="14" t="s">
        <v>263</v>
      </c>
      <c r="B317" s="15" t="s">
        <v>6</v>
      </c>
      <c r="C317" s="16"/>
      <c r="D317" s="17"/>
      <c r="E317" s="17"/>
      <c r="F317" s="18">
        <v>6.6299999999999998E-2</v>
      </c>
      <c r="G317" s="19">
        <v>0.12959999999999999</v>
      </c>
      <c r="H317" s="20">
        <v>7.1499999999999994E-2</v>
      </c>
      <c r="I317" s="21">
        <v>0.504</v>
      </c>
      <c r="J317" s="20">
        <v>0.91539999999999999</v>
      </c>
      <c r="K317" s="20">
        <v>0.52459999999999996</v>
      </c>
      <c r="M317" t="str">
        <f t="shared" si="56"/>
        <v/>
      </c>
      <c r="N317" s="29" t="str">
        <f t="shared" si="57"/>
        <v xml:space="preserve"> Swift GMBH</v>
      </c>
      <c r="O317" t="str">
        <f t="shared" si="58"/>
        <v>HIPP (HIPP GMBH)</v>
      </c>
      <c r="P317" t="str">
        <f t="shared" si="60"/>
        <v/>
      </c>
      <c r="R317" t="str">
        <f t="shared" si="59"/>
        <v/>
      </c>
      <c r="T317" t="s">
        <v>871</v>
      </c>
      <c r="U317" t="str">
        <f t="shared" si="61"/>
        <v/>
      </c>
      <c r="V317" t="str">
        <f t="shared" si="62"/>
        <v/>
      </c>
      <c r="W317" t="str">
        <f t="shared" si="63"/>
        <v/>
      </c>
      <c r="X317" s="27" t="str">
        <f t="shared" si="64"/>
        <v/>
      </c>
      <c r="Y317" s="27" t="str">
        <f t="shared" si="65"/>
        <v/>
      </c>
      <c r="Z317" s="27" t="str">
        <f t="shared" si="66"/>
        <v/>
      </c>
      <c r="AA317" s="27" t="str">
        <f t="shared" si="67"/>
        <v/>
      </c>
      <c r="AB317" s="27" t="str">
        <f t="shared" si="68"/>
        <v/>
      </c>
      <c r="AC317" s="27" t="str">
        <f t="shared" si="69"/>
        <v/>
      </c>
    </row>
    <row r="318" spans="1:29" ht="15" customHeight="1" x14ac:dyDescent="0.3">
      <c r="A318" s="22" t="s">
        <v>264</v>
      </c>
      <c r="B318" s="23" t="s">
        <v>8</v>
      </c>
      <c r="C318" s="23" t="s">
        <v>9</v>
      </c>
      <c r="D318" s="24" t="s">
        <v>69</v>
      </c>
      <c r="E318" s="24" t="s">
        <v>42</v>
      </c>
      <c r="F318" s="18">
        <v>6.6299999999999998E-2</v>
      </c>
      <c r="G318" s="19">
        <v>0.12959999999999999</v>
      </c>
      <c r="H318" s="20">
        <v>7.1499999999999994E-2</v>
      </c>
      <c r="I318" s="21">
        <v>0.504</v>
      </c>
      <c r="J318" s="20">
        <v>0.91539999999999999</v>
      </c>
      <c r="K318" s="20">
        <v>0.52459999999999996</v>
      </c>
      <c r="M318" t="str">
        <f t="shared" si="56"/>
        <v/>
      </c>
      <c r="N318" s="29" t="str">
        <f t="shared" si="57"/>
        <v xml:space="preserve"> Swift GMBH</v>
      </c>
      <c r="O318" t="str">
        <f t="shared" si="58"/>
        <v>HIPP (HIPP GMBH)</v>
      </c>
      <c r="P318" t="str">
        <f t="shared" si="60"/>
        <v/>
      </c>
      <c r="R318" t="str">
        <f t="shared" si="59"/>
        <v/>
      </c>
      <c r="T318" t="s">
        <v>871</v>
      </c>
      <c r="U318" t="str">
        <f t="shared" si="61"/>
        <v/>
      </c>
      <c r="V318" t="str">
        <f t="shared" si="62"/>
        <v/>
      </c>
      <c r="W318" t="str">
        <f t="shared" si="63"/>
        <v/>
      </c>
      <c r="X318" s="27" t="str">
        <f t="shared" si="64"/>
        <v/>
      </c>
      <c r="Y318" s="27" t="str">
        <f t="shared" si="65"/>
        <v/>
      </c>
      <c r="Z318" s="27" t="str">
        <f t="shared" si="66"/>
        <v/>
      </c>
      <c r="AA318" s="27" t="str">
        <f t="shared" si="67"/>
        <v/>
      </c>
      <c r="AB318" s="27" t="str">
        <f t="shared" si="68"/>
        <v/>
      </c>
      <c r="AC318" s="27" t="str">
        <f t="shared" si="69"/>
        <v/>
      </c>
    </row>
    <row r="319" spans="1:29" ht="14.25" customHeight="1" x14ac:dyDescent="0.3">
      <c r="A319" s="25" t="s">
        <v>754</v>
      </c>
      <c r="B319" s="4" t="s">
        <v>5</v>
      </c>
      <c r="C319" s="4"/>
      <c r="D319" s="5"/>
      <c r="E319" s="5"/>
      <c r="F319" s="10">
        <v>220.27789999999999</v>
      </c>
      <c r="G319" s="11">
        <v>271.99849999999998</v>
      </c>
      <c r="H319" s="12">
        <v>141.2388</v>
      </c>
      <c r="I319" s="13">
        <v>1748.9223999999999</v>
      </c>
      <c r="J319" s="12">
        <v>2358.5315000000001</v>
      </c>
      <c r="K319" s="12">
        <v>1240.7411999999999</v>
      </c>
      <c r="M319" t="str">
        <f t="shared" si="56"/>
        <v>BIONIKE TRIDERM BABY CLEANSING 72 BAG</v>
      </c>
      <c r="N319" s="29" t="str">
        <f t="shared" si="57"/>
        <v xml:space="preserve"> InsideGlobal</v>
      </c>
      <c r="O319" t="str">
        <f t="shared" si="58"/>
        <v>BIONIKE (ICIM INTERNATIONAL)</v>
      </c>
      <c r="P319" t="str">
        <f t="shared" si="60"/>
        <v xml:space="preserve"> InsideGlobal</v>
      </c>
      <c r="R319" t="str">
        <f t="shared" si="59"/>
        <v>BIONIKE (ICIM INTERNATIONAL)</v>
      </c>
      <c r="T319" t="s">
        <v>264</v>
      </c>
      <c r="U319" t="str">
        <f t="shared" si="61"/>
        <v>BAGS</v>
      </c>
      <c r="V319" t="str">
        <f t="shared" si="62"/>
        <v>HYPOALLERGENIC</v>
      </c>
      <c r="W319" t="str">
        <f t="shared" si="63"/>
        <v>72</v>
      </c>
      <c r="X319" s="27">
        <f t="shared" si="64"/>
        <v>6.6299999999999998E-2</v>
      </c>
      <c r="Y319" s="27">
        <f t="shared" si="65"/>
        <v>0.12959999999999999</v>
      </c>
      <c r="Z319" s="27">
        <f t="shared" si="66"/>
        <v>7.1499999999999994E-2</v>
      </c>
      <c r="AA319" s="27">
        <f t="shared" si="67"/>
        <v>0.504</v>
      </c>
      <c r="AB319" s="27">
        <f t="shared" si="68"/>
        <v>0.91539999999999999</v>
      </c>
      <c r="AC319" s="27">
        <f t="shared" si="69"/>
        <v>0.52459999999999996</v>
      </c>
    </row>
    <row r="320" spans="1:29" ht="15" customHeight="1" x14ac:dyDescent="0.3">
      <c r="A320" s="14" t="s">
        <v>265</v>
      </c>
      <c r="B320" s="15" t="s">
        <v>6</v>
      </c>
      <c r="C320" s="16"/>
      <c r="D320" s="17"/>
      <c r="E320" s="17"/>
      <c r="F320" s="18">
        <v>220.27789999999999</v>
      </c>
      <c r="G320" s="19">
        <v>271.99849999999998</v>
      </c>
      <c r="H320" s="20">
        <v>141.2388</v>
      </c>
      <c r="I320" s="21">
        <v>1748.9223999999999</v>
      </c>
      <c r="J320" s="20">
        <v>2358.5315000000001</v>
      </c>
      <c r="K320" s="20">
        <v>1240.7411999999999</v>
      </c>
      <c r="M320" t="str">
        <f t="shared" si="56"/>
        <v/>
      </c>
      <c r="N320" s="29" t="str">
        <f t="shared" si="57"/>
        <v xml:space="preserve"> InsideGlobal</v>
      </c>
      <c r="O320" t="str">
        <f t="shared" si="58"/>
        <v>BIONIKE (ICIM INTERNATIONAL)</v>
      </c>
      <c r="P320" t="str">
        <f t="shared" si="60"/>
        <v/>
      </c>
      <c r="R320" t="str">
        <f t="shared" si="59"/>
        <v/>
      </c>
      <c r="T320" t="s">
        <v>871</v>
      </c>
      <c r="U320" t="str">
        <f t="shared" si="61"/>
        <v/>
      </c>
      <c r="V320" t="str">
        <f t="shared" si="62"/>
        <v/>
      </c>
      <c r="W320" t="str">
        <f t="shared" si="63"/>
        <v/>
      </c>
      <c r="X320" s="27" t="str">
        <f t="shared" si="64"/>
        <v/>
      </c>
      <c r="Y320" s="27" t="str">
        <f t="shared" si="65"/>
        <v/>
      </c>
      <c r="Z320" s="27" t="str">
        <f t="shared" si="66"/>
        <v/>
      </c>
      <c r="AA320" s="27" t="str">
        <f t="shared" si="67"/>
        <v/>
      </c>
      <c r="AB320" s="27" t="str">
        <f t="shared" si="68"/>
        <v/>
      </c>
      <c r="AC320" s="27" t="str">
        <f t="shared" si="69"/>
        <v/>
      </c>
    </row>
    <row r="321" spans="1:29" ht="15" customHeight="1" x14ac:dyDescent="0.3">
      <c r="A321" s="22" t="s">
        <v>266</v>
      </c>
      <c r="B321" s="23" t="s">
        <v>8</v>
      </c>
      <c r="C321" s="23" t="s">
        <v>9</v>
      </c>
      <c r="D321" s="24" t="s">
        <v>10</v>
      </c>
      <c r="E321" s="24" t="s">
        <v>13</v>
      </c>
      <c r="F321" s="18">
        <v>0.61529999999999996</v>
      </c>
      <c r="G321" s="19">
        <v>0.502</v>
      </c>
      <c r="H321" s="20">
        <v>4.99E-2</v>
      </c>
      <c r="I321" s="21">
        <v>4.0616000000000003</v>
      </c>
      <c r="J321" s="20">
        <v>3.2562000000000002</v>
      </c>
      <c r="K321" s="20">
        <v>0.25269999999999998</v>
      </c>
      <c r="M321" t="str">
        <f t="shared" si="56"/>
        <v/>
      </c>
      <c r="N321" s="29" t="str">
        <f t="shared" si="57"/>
        <v xml:space="preserve"> InsideGlobal</v>
      </c>
      <c r="O321" t="str">
        <f t="shared" si="58"/>
        <v>BIONIKE (ICIM INTERNATIONAL)</v>
      </c>
      <c r="P321" t="str">
        <f t="shared" si="60"/>
        <v/>
      </c>
      <c r="R321" t="str">
        <f t="shared" si="59"/>
        <v/>
      </c>
      <c r="T321" t="s">
        <v>871</v>
      </c>
      <c r="U321" t="str">
        <f t="shared" si="61"/>
        <v/>
      </c>
      <c r="V321" t="str">
        <f t="shared" si="62"/>
        <v/>
      </c>
      <c r="W321" t="str">
        <f t="shared" si="63"/>
        <v/>
      </c>
      <c r="X321" s="27" t="str">
        <f t="shared" si="64"/>
        <v/>
      </c>
      <c r="Y321" s="27" t="str">
        <f t="shared" si="65"/>
        <v/>
      </c>
      <c r="Z321" s="27" t="str">
        <f t="shared" si="66"/>
        <v/>
      </c>
      <c r="AA321" s="27" t="str">
        <f t="shared" si="67"/>
        <v/>
      </c>
      <c r="AB321" s="27" t="str">
        <f t="shared" si="68"/>
        <v/>
      </c>
      <c r="AC321" s="27" t="str">
        <f t="shared" si="69"/>
        <v/>
      </c>
    </row>
    <row r="322" spans="1:29" ht="15" customHeight="1" x14ac:dyDescent="0.3">
      <c r="A322" s="22" t="s">
        <v>267</v>
      </c>
      <c r="B322" s="23" t="s">
        <v>8</v>
      </c>
      <c r="C322" s="23" t="s">
        <v>9</v>
      </c>
      <c r="D322" s="24" t="s">
        <v>10</v>
      </c>
      <c r="E322" s="24" t="s">
        <v>268</v>
      </c>
      <c r="F322" s="18">
        <v>18.4224</v>
      </c>
      <c r="G322" s="19">
        <v>21.849599999999999</v>
      </c>
      <c r="H322" s="20">
        <v>15.9329</v>
      </c>
      <c r="I322" s="21">
        <v>154.90440000000001</v>
      </c>
      <c r="J322" s="20">
        <v>191.65379999999999</v>
      </c>
      <c r="K322" s="20">
        <v>151.1</v>
      </c>
      <c r="M322" t="str">
        <f t="shared" si="56"/>
        <v>WATERWIPES FRUITEXTR.99.9%WATER W 10 BAG</v>
      </c>
      <c r="N322" s="29" t="str">
        <f t="shared" si="57"/>
        <v xml:space="preserve"> CelticWind Ltd</v>
      </c>
      <c r="O322" t="str">
        <f t="shared" si="58"/>
        <v>WATER WIPES (IRISH BREEZE LTD)</v>
      </c>
      <c r="P322" t="str">
        <f t="shared" si="60"/>
        <v xml:space="preserve"> CelticWind Ltd</v>
      </c>
      <c r="R322" t="str">
        <f t="shared" si="59"/>
        <v>WATER WIPES (IRISH BREEZE LTD)</v>
      </c>
      <c r="T322" t="s">
        <v>266</v>
      </c>
      <c r="U322" t="str">
        <f t="shared" si="61"/>
        <v>BAGS</v>
      </c>
      <c r="V322" t="str">
        <f t="shared" si="62"/>
        <v>WITHOUT EXTRA PROTECTCARE INDICATION</v>
      </c>
      <c r="W322" t="str">
        <f t="shared" si="63"/>
        <v>10</v>
      </c>
      <c r="X322" s="27">
        <f t="shared" si="64"/>
        <v>0.61529999999999996</v>
      </c>
      <c r="Y322" s="27">
        <f t="shared" si="65"/>
        <v>0.502</v>
      </c>
      <c r="Z322" s="27">
        <f t="shared" si="66"/>
        <v>4.99E-2</v>
      </c>
      <c r="AA322" s="27">
        <f t="shared" si="67"/>
        <v>4.0616000000000003</v>
      </c>
      <c r="AB322" s="27">
        <f t="shared" si="68"/>
        <v>3.2562000000000002</v>
      </c>
      <c r="AC322" s="27">
        <f t="shared" si="69"/>
        <v>0.25269999999999998</v>
      </c>
    </row>
    <row r="323" spans="1:29" ht="15" customHeight="1" x14ac:dyDescent="0.3">
      <c r="A323" s="22" t="s">
        <v>269</v>
      </c>
      <c r="B323" s="23" t="s">
        <v>8</v>
      </c>
      <c r="C323" s="23" t="s">
        <v>9</v>
      </c>
      <c r="D323" s="24" t="s">
        <v>10</v>
      </c>
      <c r="E323" s="24" t="s">
        <v>270</v>
      </c>
      <c r="F323" s="18">
        <v>1.851</v>
      </c>
      <c r="G323" s="19">
        <v>2.4146999999999998</v>
      </c>
      <c r="H323" s="20">
        <v>0.80920000000000003</v>
      </c>
      <c r="I323" s="21">
        <v>10.083500000000001</v>
      </c>
      <c r="J323" s="20">
        <v>14.928100000000001</v>
      </c>
      <c r="K323" s="20">
        <v>5.5830000000000002</v>
      </c>
      <c r="M323" t="str">
        <f t="shared" si="56"/>
        <v>WATERWIPES FRUITEXTR.99.9%WATER W 240BAG</v>
      </c>
      <c r="N323" s="29" t="str">
        <f t="shared" si="57"/>
        <v xml:space="preserve"> CelticWind Ltd</v>
      </c>
      <c r="O323" t="str">
        <f t="shared" si="58"/>
        <v>WATER WIPES (IRISH BREEZE LTD)</v>
      </c>
      <c r="P323" t="str">
        <f t="shared" si="60"/>
        <v xml:space="preserve"> CelticWind Ltd</v>
      </c>
      <c r="R323" t="str">
        <f t="shared" si="59"/>
        <v>WATER WIPES (IRISH BREEZE LTD)</v>
      </c>
      <c r="T323" t="s">
        <v>267</v>
      </c>
      <c r="U323" t="str">
        <f t="shared" si="61"/>
        <v>BAGS</v>
      </c>
      <c r="V323" t="str">
        <f t="shared" si="62"/>
        <v>WITHOUT EXTRA PROTECTCARE INDICATION</v>
      </c>
      <c r="W323" t="str">
        <f t="shared" si="63"/>
        <v>240</v>
      </c>
      <c r="X323" s="27">
        <f t="shared" si="64"/>
        <v>18.4224</v>
      </c>
      <c r="Y323" s="27">
        <f t="shared" si="65"/>
        <v>21.849599999999999</v>
      </c>
      <c r="Z323" s="27">
        <f t="shared" si="66"/>
        <v>15.9329</v>
      </c>
      <c r="AA323" s="27">
        <f t="shared" si="67"/>
        <v>154.90440000000001</v>
      </c>
      <c r="AB323" s="27">
        <f t="shared" si="68"/>
        <v>191.65379999999999</v>
      </c>
      <c r="AC323" s="27">
        <f t="shared" si="69"/>
        <v>151.1</v>
      </c>
    </row>
    <row r="324" spans="1:29" ht="15" customHeight="1" x14ac:dyDescent="0.3">
      <c r="A324" s="22" t="s">
        <v>271</v>
      </c>
      <c r="B324" s="23" t="s">
        <v>8</v>
      </c>
      <c r="C324" s="23" t="s">
        <v>9</v>
      </c>
      <c r="D324" s="24" t="s">
        <v>10</v>
      </c>
      <c r="E324" s="24" t="s">
        <v>99</v>
      </c>
      <c r="F324" s="18">
        <v>198.11109999999999</v>
      </c>
      <c r="G324" s="19">
        <v>233.6309</v>
      </c>
      <c r="H324" s="20">
        <v>113.3126</v>
      </c>
      <c r="I324" s="21">
        <v>1569.5084999999999</v>
      </c>
      <c r="J324" s="20">
        <v>2030.1902</v>
      </c>
      <c r="K324" s="20">
        <v>989.67420000000004</v>
      </c>
      <c r="M324" t="str">
        <f t="shared" si="56"/>
        <v>WATERWIPES FRUITEXTR.99.9%WATER W 28 BAG</v>
      </c>
      <c r="N324" s="29" t="str">
        <f t="shared" si="57"/>
        <v xml:space="preserve"> CelticWind Ltd</v>
      </c>
      <c r="O324" t="str">
        <f t="shared" si="58"/>
        <v>WATER WIPES (IRISH BREEZE LTD)</v>
      </c>
      <c r="P324" t="str">
        <f t="shared" si="60"/>
        <v xml:space="preserve"> CelticWind Ltd</v>
      </c>
      <c r="R324" t="str">
        <f t="shared" si="59"/>
        <v>WATER WIPES (IRISH BREEZE LTD)</v>
      </c>
      <c r="T324" t="s">
        <v>269</v>
      </c>
      <c r="U324" t="str">
        <f t="shared" si="61"/>
        <v>BAGS</v>
      </c>
      <c r="V324" t="str">
        <f t="shared" si="62"/>
        <v>WITHOUT EXTRA PROTECTCARE INDICATION</v>
      </c>
      <c r="W324" t="str">
        <f t="shared" si="63"/>
        <v>28</v>
      </c>
      <c r="X324" s="27">
        <f t="shared" si="64"/>
        <v>1.851</v>
      </c>
      <c r="Y324" s="27">
        <f t="shared" si="65"/>
        <v>2.4146999999999998</v>
      </c>
      <c r="Z324" s="27">
        <f t="shared" si="66"/>
        <v>0.80920000000000003</v>
      </c>
      <c r="AA324" s="27">
        <f t="shared" si="67"/>
        <v>10.083500000000001</v>
      </c>
      <c r="AB324" s="27">
        <f t="shared" si="68"/>
        <v>14.928100000000001</v>
      </c>
      <c r="AC324" s="27">
        <f t="shared" si="69"/>
        <v>5.5830000000000002</v>
      </c>
    </row>
    <row r="325" spans="1:29" ht="15" customHeight="1" x14ac:dyDescent="0.3">
      <c r="A325" s="22" t="s">
        <v>272</v>
      </c>
      <c r="B325" s="23" t="s">
        <v>8</v>
      </c>
      <c r="C325" s="23" t="s">
        <v>9</v>
      </c>
      <c r="D325" s="24" t="s">
        <v>10</v>
      </c>
      <c r="E325" s="24" t="s">
        <v>99</v>
      </c>
      <c r="F325" s="18">
        <v>1.278</v>
      </c>
      <c r="G325" s="19">
        <v>13.6012</v>
      </c>
      <c r="H325" s="20">
        <v>11.1342</v>
      </c>
      <c r="I325" s="21">
        <v>10.3644</v>
      </c>
      <c r="J325" s="20">
        <v>118.5029</v>
      </c>
      <c r="K325" s="20">
        <v>94.131399999999999</v>
      </c>
      <c r="M325" t="str">
        <f t="shared" ref="M325:M388" si="70">IF(B324="ITEM",A324,"")</f>
        <v>WATERWIPES FRUITEXTR.99.9%WATER W 60 BAG</v>
      </c>
      <c r="N325" s="29" t="str">
        <f t="shared" si="57"/>
        <v xml:space="preserve"> CelticWind Ltd</v>
      </c>
      <c r="O325" t="str">
        <f t="shared" si="58"/>
        <v>WATER WIPES (IRISH BREEZE LTD)</v>
      </c>
      <c r="P325" t="str">
        <f t="shared" si="60"/>
        <v xml:space="preserve"> CelticWind Ltd</v>
      </c>
      <c r="R325" t="str">
        <f t="shared" si="59"/>
        <v>WATER WIPES (IRISH BREEZE LTD)</v>
      </c>
      <c r="T325" t="s">
        <v>271</v>
      </c>
      <c r="U325" t="str">
        <f t="shared" si="61"/>
        <v>BAGS</v>
      </c>
      <c r="V325" t="str">
        <f t="shared" si="62"/>
        <v>WITHOUT EXTRA PROTECTCARE INDICATION</v>
      </c>
      <c r="W325" t="str">
        <f t="shared" si="63"/>
        <v>60</v>
      </c>
      <c r="X325" s="27">
        <f t="shared" si="64"/>
        <v>198.11109999999999</v>
      </c>
      <c r="Y325" s="27">
        <f t="shared" si="65"/>
        <v>233.6309</v>
      </c>
      <c r="Z325" s="27">
        <f t="shared" si="66"/>
        <v>113.3126</v>
      </c>
      <c r="AA325" s="27">
        <f t="shared" si="67"/>
        <v>1569.5084999999999</v>
      </c>
      <c r="AB325" s="27">
        <f t="shared" si="68"/>
        <v>2030.1902</v>
      </c>
      <c r="AC325" s="27">
        <f t="shared" si="69"/>
        <v>989.67420000000004</v>
      </c>
    </row>
    <row r="326" spans="1:29" ht="14.25" customHeight="1" x14ac:dyDescent="0.3">
      <c r="A326" s="25" t="s">
        <v>755</v>
      </c>
      <c r="B326" s="4" t="s">
        <v>5</v>
      </c>
      <c r="C326" s="4"/>
      <c r="D326" s="5"/>
      <c r="E326" s="5"/>
      <c r="F326" s="10"/>
      <c r="G326" s="11">
        <v>0.44869999999999999</v>
      </c>
      <c r="H326" s="12">
        <v>0.1852</v>
      </c>
      <c r="I326" s="13"/>
      <c r="J326" s="12">
        <v>7.1882999999999999</v>
      </c>
      <c r="K326" s="12">
        <v>2.9676999999999998</v>
      </c>
      <c r="M326" t="str">
        <f t="shared" si="70"/>
        <v>WATERWIPES SOAPBERRY99.9%WATER W 60 BAG</v>
      </c>
      <c r="N326" s="29" t="str">
        <f t="shared" si="57"/>
        <v xml:space="preserve"> CelticWind Ltd</v>
      </c>
      <c r="O326" t="str">
        <f t="shared" si="58"/>
        <v>WATER WIPES (IRISH BREEZE LTD)</v>
      </c>
      <c r="P326" t="str">
        <f t="shared" si="60"/>
        <v xml:space="preserve"> CelticWind Ltd</v>
      </c>
      <c r="R326" t="str">
        <f t="shared" si="59"/>
        <v>WATER WIPES (IRISH BREEZE LTD)</v>
      </c>
      <c r="T326" t="s">
        <v>272</v>
      </c>
      <c r="U326" t="str">
        <f t="shared" si="61"/>
        <v>BAGS</v>
      </c>
      <c r="V326" t="str">
        <f t="shared" si="62"/>
        <v>WITHOUT EXTRA PROTECTCARE INDICATION</v>
      </c>
      <c r="W326" t="str">
        <f t="shared" si="63"/>
        <v>60</v>
      </c>
      <c r="X326" s="27">
        <f t="shared" si="64"/>
        <v>1.278</v>
      </c>
      <c r="Y326" s="27">
        <f t="shared" si="65"/>
        <v>13.6012</v>
      </c>
      <c r="Z326" s="27">
        <f t="shared" si="66"/>
        <v>11.1342</v>
      </c>
      <c r="AA326" s="27">
        <f t="shared" si="67"/>
        <v>10.3644</v>
      </c>
      <c r="AB326" s="27">
        <f t="shared" si="68"/>
        <v>118.5029</v>
      </c>
      <c r="AC326" s="27">
        <f t="shared" si="69"/>
        <v>94.131399999999999</v>
      </c>
    </row>
    <row r="327" spans="1:29" ht="15" customHeight="1" x14ac:dyDescent="0.3">
      <c r="A327" s="14" t="s">
        <v>273</v>
      </c>
      <c r="B327" s="15" t="s">
        <v>6</v>
      </c>
      <c r="C327" s="16"/>
      <c r="D327" s="17"/>
      <c r="E327" s="17"/>
      <c r="F327" s="18"/>
      <c r="G327" s="19">
        <v>0.2286</v>
      </c>
      <c r="H327" s="20">
        <v>8.4099999999999994E-2</v>
      </c>
      <c r="I327" s="21"/>
      <c r="J327" s="20">
        <v>3.6671999999999998</v>
      </c>
      <c r="K327" s="20">
        <v>1.3489</v>
      </c>
      <c r="M327" t="str">
        <f t="shared" si="70"/>
        <v/>
      </c>
      <c r="N327" s="29" t="str">
        <f t="shared" ref="N327:N390" si="71">IF(B324="MANUFACTURER",A324,N326)</f>
        <v xml:space="preserve"> CelticWind Ltd</v>
      </c>
      <c r="O327" t="str">
        <f t="shared" ref="O327:O390" si="72">IF(B325="BRAND",A325,O326)</f>
        <v>WATER WIPES (IRISH BREEZE LTD)</v>
      </c>
      <c r="P327" t="str">
        <f t="shared" si="60"/>
        <v/>
      </c>
      <c r="R327" t="str">
        <f t="shared" ref="R327:R390" si="73">IF(B326="ITEM",O327,"")</f>
        <v/>
      </c>
      <c r="T327" t="s">
        <v>871</v>
      </c>
      <c r="U327" t="str">
        <f t="shared" si="61"/>
        <v/>
      </c>
      <c r="V327" t="str">
        <f t="shared" si="62"/>
        <v/>
      </c>
      <c r="W327" t="str">
        <f t="shared" si="63"/>
        <v/>
      </c>
      <c r="X327" s="27" t="str">
        <f t="shared" si="64"/>
        <v/>
      </c>
      <c r="Y327" s="27" t="str">
        <f t="shared" si="65"/>
        <v/>
      </c>
      <c r="Z327" s="27" t="str">
        <f t="shared" si="66"/>
        <v/>
      </c>
      <c r="AA327" s="27" t="str">
        <f t="shared" si="67"/>
        <v/>
      </c>
      <c r="AB327" s="27" t="str">
        <f t="shared" si="68"/>
        <v/>
      </c>
      <c r="AC327" s="27" t="str">
        <f t="shared" si="69"/>
        <v/>
      </c>
    </row>
    <row r="328" spans="1:29" ht="15" customHeight="1" x14ac:dyDescent="0.3">
      <c r="A328" s="22" t="s">
        <v>822</v>
      </c>
      <c r="B328" s="23" t="s">
        <v>8</v>
      </c>
      <c r="C328" s="23" t="s">
        <v>9</v>
      </c>
      <c r="D328" s="24" t="s">
        <v>10</v>
      </c>
      <c r="E328" s="24" t="s">
        <v>34</v>
      </c>
      <c r="F328" s="18"/>
      <c r="G328" s="19">
        <v>0.2286</v>
      </c>
      <c r="H328" s="20">
        <v>8.4099999999999994E-2</v>
      </c>
      <c r="I328" s="21"/>
      <c r="J328" s="20">
        <v>3.6671999999999998</v>
      </c>
      <c r="K328" s="20">
        <v>1.3489</v>
      </c>
      <c r="M328" t="str">
        <f t="shared" si="70"/>
        <v/>
      </c>
      <c r="N328" s="29" t="str">
        <f t="shared" si="71"/>
        <v xml:space="preserve"> CelticWind Ltd</v>
      </c>
      <c r="O328" t="str">
        <f t="shared" si="72"/>
        <v>WATER WIPES (IRISH BREEZE LTD)</v>
      </c>
      <c r="P328" t="str">
        <f t="shared" ref="P328:P391" si="74">IF(B327="ITEM",N328,"")</f>
        <v/>
      </c>
      <c r="R328" t="str">
        <f t="shared" si="73"/>
        <v/>
      </c>
      <c r="T328" t="s">
        <v>871</v>
      </c>
      <c r="U328" t="str">
        <f t="shared" ref="U328:U391" si="75">IF(B327="ITEM",C327,"")</f>
        <v/>
      </c>
      <c r="V328" t="str">
        <f t="shared" ref="V328:V391" si="76">IF(B327="ITEM",D327,"")</f>
        <v/>
      </c>
      <c r="W328" t="str">
        <f t="shared" ref="W328:W391" si="77">IF(B327="ITEM",E327,"")</f>
        <v/>
      </c>
      <c r="X328" s="27" t="str">
        <f t="shared" ref="X328:X391" si="78">IF(B327 = "ITEM",F327,"")</f>
        <v/>
      </c>
      <c r="Y328" s="27" t="str">
        <f t="shared" ref="Y328:Y391" si="79">IF(B327="ITEM",G327,"")</f>
        <v/>
      </c>
      <c r="Z328" s="27" t="str">
        <f t="shared" ref="Z328:Z391" si="80">IF(B327="ITEM",H327,"")</f>
        <v/>
      </c>
      <c r="AA328" s="27" t="str">
        <f t="shared" ref="AA328:AA391" si="81">IF(B327="ITEM",I327,"")</f>
        <v/>
      </c>
      <c r="AB328" s="27" t="str">
        <f t="shared" ref="AB328:AB391" si="82">IF(B327="ITEM",J327,"")</f>
        <v/>
      </c>
      <c r="AC328" s="27" t="str">
        <f t="shared" ref="AC328:AC391" si="83">IF(B327="ITEM",K327,"")</f>
        <v/>
      </c>
    </row>
    <row r="329" spans="1:29" ht="15" customHeight="1" x14ac:dyDescent="0.3">
      <c r="A329" s="14" t="s">
        <v>274</v>
      </c>
      <c r="B329" s="15" t="s">
        <v>6</v>
      </c>
      <c r="C329" s="16"/>
      <c r="D329" s="17"/>
      <c r="E329" s="17"/>
      <c r="F329" s="18"/>
      <c r="G329" s="19">
        <v>0.22009999999999999</v>
      </c>
      <c r="H329" s="20">
        <v>0.1012</v>
      </c>
      <c r="I329" s="21"/>
      <c r="J329" s="20">
        <v>3.5211000000000001</v>
      </c>
      <c r="K329" s="20">
        <v>1.6187</v>
      </c>
      <c r="M329" t="str">
        <f t="shared" si="70"/>
        <v>PAW PATROL  FreshClean 56 W BAG</v>
      </c>
      <c r="N329" s="29" t="str">
        <f t="shared" si="71"/>
        <v xml:space="preserve"> JellyHealth</v>
      </c>
      <c r="O329" t="str">
        <f t="shared" si="72"/>
        <v>PAW PATROL (JELLYWORKS HEALTHCARE)</v>
      </c>
      <c r="P329" t="str">
        <f t="shared" si="74"/>
        <v xml:space="preserve"> JellyHealth</v>
      </c>
      <c r="R329" t="str">
        <f t="shared" si="73"/>
        <v>PAW PATROL (JELLYWORKS HEALTHCARE)</v>
      </c>
      <c r="T329" t="s">
        <v>822</v>
      </c>
      <c r="U329" t="str">
        <f t="shared" si="75"/>
        <v>BAGS</v>
      </c>
      <c r="V329" t="str">
        <f t="shared" si="76"/>
        <v>WITHOUT EXTRA PROTECTCARE INDICATION</v>
      </c>
      <c r="W329" t="str">
        <f t="shared" si="77"/>
        <v>56</v>
      </c>
      <c r="X329" s="27">
        <f t="shared" si="78"/>
        <v>0</v>
      </c>
      <c r="Y329" s="27">
        <f t="shared" si="79"/>
        <v>0.2286</v>
      </c>
      <c r="Z329" s="27">
        <f t="shared" si="80"/>
        <v>8.4099999999999994E-2</v>
      </c>
      <c r="AA329" s="27">
        <f t="shared" si="81"/>
        <v>0</v>
      </c>
      <c r="AB329" s="27">
        <f t="shared" si="82"/>
        <v>3.6671999999999998</v>
      </c>
      <c r="AC329" s="27">
        <f t="shared" si="83"/>
        <v>1.3489</v>
      </c>
    </row>
    <row r="330" spans="1:29" ht="15" customHeight="1" x14ac:dyDescent="0.3">
      <c r="A330" s="22" t="s">
        <v>275</v>
      </c>
      <c r="B330" s="23" t="s">
        <v>8</v>
      </c>
      <c r="C330" s="23" t="s">
        <v>9</v>
      </c>
      <c r="D330" s="24" t="s">
        <v>10</v>
      </c>
      <c r="E330" s="24" t="s">
        <v>34</v>
      </c>
      <c r="F330" s="18"/>
      <c r="G330" s="19">
        <v>0.22009999999999999</v>
      </c>
      <c r="H330" s="20">
        <v>0.1012</v>
      </c>
      <c r="I330" s="21"/>
      <c r="J330" s="20">
        <v>3.5211000000000001</v>
      </c>
      <c r="K330" s="20">
        <v>1.6187</v>
      </c>
      <c r="M330" t="str">
        <f t="shared" si="70"/>
        <v/>
      </c>
      <c r="N330" s="29" t="str">
        <f t="shared" si="71"/>
        <v xml:space="preserve"> JellyHealth</v>
      </c>
      <c r="O330" t="str">
        <f t="shared" si="72"/>
        <v>PAW PATROL (JELLYWORKS HEALTHCARE)</v>
      </c>
      <c r="P330" t="str">
        <f t="shared" si="74"/>
        <v/>
      </c>
      <c r="R330" t="str">
        <f t="shared" si="73"/>
        <v/>
      </c>
      <c r="T330" t="s">
        <v>871</v>
      </c>
      <c r="U330" t="str">
        <f t="shared" si="75"/>
        <v/>
      </c>
      <c r="V330" t="str">
        <f t="shared" si="76"/>
        <v/>
      </c>
      <c r="W330" t="str">
        <f t="shared" si="77"/>
        <v/>
      </c>
      <c r="X330" s="27" t="str">
        <f t="shared" si="78"/>
        <v/>
      </c>
      <c r="Y330" s="27" t="str">
        <f t="shared" si="79"/>
        <v/>
      </c>
      <c r="Z330" s="27" t="str">
        <f t="shared" si="80"/>
        <v/>
      </c>
      <c r="AA330" s="27" t="str">
        <f t="shared" si="81"/>
        <v/>
      </c>
      <c r="AB330" s="27" t="str">
        <f t="shared" si="82"/>
        <v/>
      </c>
      <c r="AC330" s="27" t="str">
        <f t="shared" si="83"/>
        <v/>
      </c>
    </row>
    <row r="331" spans="1:29" ht="14.25" customHeight="1" x14ac:dyDescent="0.3">
      <c r="A331" s="25" t="s">
        <v>756</v>
      </c>
      <c r="B331" s="4" t="s">
        <v>5</v>
      </c>
      <c r="C331" s="4"/>
      <c r="D331" s="5"/>
      <c r="E331" s="5"/>
      <c r="F331" s="10">
        <v>34.405999999999999</v>
      </c>
      <c r="G331" s="11">
        <v>2.0082</v>
      </c>
      <c r="H331" s="12">
        <v>5.9400000000000001E-2</v>
      </c>
      <c r="I331" s="13">
        <v>1027.0906</v>
      </c>
      <c r="J331" s="12">
        <v>44.666600000000003</v>
      </c>
      <c r="K331" s="12">
        <v>0.51659999999999995</v>
      </c>
      <c r="M331" t="str">
        <f t="shared" si="70"/>
        <v>PEPPA PIG BABY MUDDY PUDDLE 56 W BAG</v>
      </c>
      <c r="N331" s="29" t="str">
        <f t="shared" si="71"/>
        <v xml:space="preserve"> JellyHealth</v>
      </c>
      <c r="O331" t="str">
        <f t="shared" si="72"/>
        <v>PEPPA PIG (JELLYWORKS HEALTHCARE)</v>
      </c>
      <c r="P331" t="str">
        <f t="shared" si="74"/>
        <v xml:space="preserve"> JellyHealth</v>
      </c>
      <c r="R331" t="str">
        <f t="shared" si="73"/>
        <v>PEPPA PIG (JELLYWORKS HEALTHCARE)</v>
      </c>
      <c r="T331" t="s">
        <v>275</v>
      </c>
      <c r="U331" t="str">
        <f t="shared" si="75"/>
        <v>BAGS</v>
      </c>
      <c r="V331" t="str">
        <f t="shared" si="76"/>
        <v>WITHOUT EXTRA PROTECTCARE INDICATION</v>
      </c>
      <c r="W331" t="str">
        <f t="shared" si="77"/>
        <v>56</v>
      </c>
      <c r="X331" s="27">
        <f t="shared" si="78"/>
        <v>0</v>
      </c>
      <c r="Y331" s="27">
        <f t="shared" si="79"/>
        <v>0.22009999999999999</v>
      </c>
      <c r="Z331" s="27">
        <f t="shared" si="80"/>
        <v>0.1012</v>
      </c>
      <c r="AA331" s="27">
        <f t="shared" si="81"/>
        <v>0</v>
      </c>
      <c r="AB331" s="27">
        <f t="shared" si="82"/>
        <v>3.5211000000000001</v>
      </c>
      <c r="AC331" s="27">
        <f t="shared" si="83"/>
        <v>1.6187</v>
      </c>
    </row>
    <row r="332" spans="1:29" ht="15" customHeight="1" x14ac:dyDescent="0.3">
      <c r="A332" s="14" t="s">
        <v>276</v>
      </c>
      <c r="B332" s="15" t="s">
        <v>6</v>
      </c>
      <c r="C332" s="16"/>
      <c r="D332" s="17"/>
      <c r="E332" s="17"/>
      <c r="F332" s="18">
        <v>34.405999999999999</v>
      </c>
      <c r="G332" s="19">
        <v>2.0082</v>
      </c>
      <c r="H332" s="20">
        <v>5.9400000000000001E-2</v>
      </c>
      <c r="I332" s="21">
        <v>1027.0906</v>
      </c>
      <c r="J332" s="20">
        <v>44.666600000000003</v>
      </c>
      <c r="K332" s="20">
        <v>0.51659999999999995</v>
      </c>
      <c r="M332" t="str">
        <f t="shared" si="70"/>
        <v/>
      </c>
      <c r="N332" s="29" t="str">
        <f t="shared" si="71"/>
        <v xml:space="preserve"> JellyHealth</v>
      </c>
      <c r="O332" t="str">
        <f t="shared" si="72"/>
        <v>PEPPA PIG (JELLYWORKS HEALTHCARE)</v>
      </c>
      <c r="P332" t="str">
        <f t="shared" si="74"/>
        <v/>
      </c>
      <c r="R332" t="str">
        <f t="shared" si="73"/>
        <v/>
      </c>
      <c r="T332" t="s">
        <v>871</v>
      </c>
      <c r="U332" t="str">
        <f t="shared" si="75"/>
        <v/>
      </c>
      <c r="V332" t="str">
        <f t="shared" si="76"/>
        <v/>
      </c>
      <c r="W332" t="str">
        <f t="shared" si="77"/>
        <v/>
      </c>
      <c r="X332" s="27" t="str">
        <f t="shared" si="78"/>
        <v/>
      </c>
      <c r="Y332" s="27" t="str">
        <f t="shared" si="79"/>
        <v/>
      </c>
      <c r="Z332" s="27" t="str">
        <f t="shared" si="80"/>
        <v/>
      </c>
      <c r="AA332" s="27" t="str">
        <f t="shared" si="81"/>
        <v/>
      </c>
      <c r="AB332" s="27" t="str">
        <f t="shared" si="82"/>
        <v/>
      </c>
      <c r="AC332" s="27" t="str">
        <f t="shared" si="83"/>
        <v/>
      </c>
    </row>
    <row r="333" spans="1:29" ht="15" customHeight="1" x14ac:dyDescent="0.3">
      <c r="A333" s="22" t="s">
        <v>277</v>
      </c>
      <c r="B333" s="23" t="s">
        <v>8</v>
      </c>
      <c r="C333" s="23" t="s">
        <v>9</v>
      </c>
      <c r="D333" s="24" t="s">
        <v>249</v>
      </c>
      <c r="E333" s="24" t="s">
        <v>11</v>
      </c>
      <c r="F333" s="18">
        <v>0.3851</v>
      </c>
      <c r="G333" s="19">
        <v>0.10680000000000001</v>
      </c>
      <c r="H333" s="20"/>
      <c r="I333" s="21">
        <v>4.9682000000000004</v>
      </c>
      <c r="J333" s="20">
        <v>1.3105</v>
      </c>
      <c r="K333" s="20"/>
      <c r="M333" t="str">
        <f t="shared" si="70"/>
        <v/>
      </c>
      <c r="N333" s="29" t="str">
        <f t="shared" si="71"/>
        <v xml:space="preserve"> JellyHealth</v>
      </c>
      <c r="O333" t="str">
        <f t="shared" si="72"/>
        <v>PEPPA PIG (JELLYWORKS HEALTHCARE)</v>
      </c>
      <c r="P333" t="str">
        <f t="shared" si="74"/>
        <v/>
      </c>
      <c r="R333" t="str">
        <f t="shared" si="73"/>
        <v/>
      </c>
      <c r="T333" t="s">
        <v>871</v>
      </c>
      <c r="U333" t="str">
        <f t="shared" si="75"/>
        <v/>
      </c>
      <c r="V333" t="str">
        <f t="shared" si="76"/>
        <v/>
      </c>
      <c r="W333" t="str">
        <f t="shared" si="77"/>
        <v/>
      </c>
      <c r="X333" s="27" t="str">
        <f t="shared" si="78"/>
        <v/>
      </c>
      <c r="Y333" s="27" t="str">
        <f t="shared" si="79"/>
        <v/>
      </c>
      <c r="Z333" s="27" t="str">
        <f t="shared" si="80"/>
        <v/>
      </c>
      <c r="AA333" s="27" t="str">
        <f t="shared" si="81"/>
        <v/>
      </c>
      <c r="AB333" s="27" t="str">
        <f t="shared" si="82"/>
        <v/>
      </c>
      <c r="AC333" s="27" t="str">
        <f t="shared" si="83"/>
        <v/>
      </c>
    </row>
    <row r="334" spans="1:29" ht="15" customHeight="1" x14ac:dyDescent="0.3">
      <c r="A334" s="22" t="s">
        <v>278</v>
      </c>
      <c r="B334" s="23" t="s">
        <v>8</v>
      </c>
      <c r="C334" s="23" t="s">
        <v>9</v>
      </c>
      <c r="D334" s="24" t="s">
        <v>64</v>
      </c>
      <c r="E334" s="24" t="s">
        <v>34</v>
      </c>
      <c r="F334" s="18">
        <v>1.0960000000000001</v>
      </c>
      <c r="G334" s="19">
        <v>0.3664</v>
      </c>
      <c r="H334" s="20">
        <v>5.7799999999999997E-2</v>
      </c>
      <c r="I334" s="21">
        <v>13.8332</v>
      </c>
      <c r="J334" s="20">
        <v>3.4159999999999999</v>
      </c>
      <c r="K334" s="20">
        <v>0.48</v>
      </c>
      <c r="M334" t="str">
        <f t="shared" si="70"/>
        <v>JOHNSONS BABY GENTLE ALL OVER W 20 BAG</v>
      </c>
      <c r="N334" s="29" t="str">
        <f t="shared" si="71"/>
        <v xml:space="preserve"> Thomson &amp; Thomson</v>
      </c>
      <c r="O334" t="str">
        <f t="shared" si="72"/>
        <v>JOHNSONS (JOHNSON &amp; JOHNSON INT.)</v>
      </c>
      <c r="P334" t="str">
        <f t="shared" si="74"/>
        <v xml:space="preserve"> Thomson &amp; Thomson</v>
      </c>
      <c r="R334" t="str">
        <f t="shared" si="73"/>
        <v>JOHNSONS (JOHNSON &amp; JOHNSON INT.)</v>
      </c>
      <c r="T334" t="s">
        <v>277</v>
      </c>
      <c r="U334" t="str">
        <f t="shared" si="75"/>
        <v>BAGS</v>
      </c>
      <c r="V334" t="str">
        <f t="shared" si="76"/>
        <v>ALCOHOL FREE &amp; HYPOALLERGENIC</v>
      </c>
      <c r="W334" t="str">
        <f t="shared" si="77"/>
        <v>20</v>
      </c>
      <c r="X334" s="27">
        <f t="shared" si="78"/>
        <v>0.3851</v>
      </c>
      <c r="Y334" s="27">
        <f t="shared" si="79"/>
        <v>0.10680000000000001</v>
      </c>
      <c r="Z334" s="27">
        <f t="shared" si="80"/>
        <v>0</v>
      </c>
      <c r="AA334" s="27">
        <f t="shared" si="81"/>
        <v>4.9682000000000004</v>
      </c>
      <c r="AB334" s="27">
        <f t="shared" si="82"/>
        <v>1.3105</v>
      </c>
      <c r="AC334" s="27">
        <f t="shared" si="83"/>
        <v>0</v>
      </c>
    </row>
    <row r="335" spans="1:29" ht="15" customHeight="1" x14ac:dyDescent="0.3">
      <c r="A335" s="22" t="s">
        <v>279</v>
      </c>
      <c r="B335" s="23" t="s">
        <v>8</v>
      </c>
      <c r="C335" s="23" t="s">
        <v>9</v>
      </c>
      <c r="D335" s="24" t="s">
        <v>64</v>
      </c>
      <c r="E335" s="24" t="s">
        <v>34</v>
      </c>
      <c r="F335" s="18">
        <v>8.1957000000000004</v>
      </c>
      <c r="G335" s="19">
        <v>0.14119999999999999</v>
      </c>
      <c r="H335" s="20">
        <v>1.1000000000000001E-3</v>
      </c>
      <c r="I335" s="21">
        <v>213.62710000000001</v>
      </c>
      <c r="J335" s="20">
        <v>2.6021999999999998</v>
      </c>
      <c r="K335" s="20">
        <v>1.6E-2</v>
      </c>
      <c r="M335" t="str">
        <f t="shared" si="70"/>
        <v>JOHNSONS BAB COT.TOU SEN.W56+BOD+SHG+IGR</v>
      </c>
      <c r="N335" s="29" t="str">
        <f t="shared" si="71"/>
        <v xml:space="preserve"> Thomson &amp; Thomson</v>
      </c>
      <c r="O335" t="str">
        <f t="shared" si="72"/>
        <v>JOHNSONS (JOHNSON &amp; JOHNSON INT.)</v>
      </c>
      <c r="P335" t="str">
        <f t="shared" si="74"/>
        <v xml:space="preserve"> Thomson &amp; Thomson</v>
      </c>
      <c r="R335" t="str">
        <f t="shared" si="73"/>
        <v>JOHNSONS (JOHNSON &amp; JOHNSON INT.)</v>
      </c>
      <c r="T335" t="s">
        <v>278</v>
      </c>
      <c r="U335" t="str">
        <f t="shared" si="75"/>
        <v>BAGS</v>
      </c>
      <c r="V335" t="str">
        <f t="shared" si="76"/>
        <v>SENSITIVE</v>
      </c>
      <c r="W335" t="str">
        <f t="shared" si="77"/>
        <v>56</v>
      </c>
      <c r="X335" s="27">
        <f t="shared" si="78"/>
        <v>1.0960000000000001</v>
      </c>
      <c r="Y335" s="27">
        <f t="shared" si="79"/>
        <v>0.3664</v>
      </c>
      <c r="Z335" s="27">
        <f t="shared" si="80"/>
        <v>5.7799999999999997E-2</v>
      </c>
      <c r="AA335" s="27">
        <f t="shared" si="81"/>
        <v>13.8332</v>
      </c>
      <c r="AB335" s="27">
        <f t="shared" si="82"/>
        <v>3.4159999999999999</v>
      </c>
      <c r="AC335" s="27">
        <f t="shared" si="83"/>
        <v>0.48</v>
      </c>
    </row>
    <row r="336" spans="1:29" ht="15" customHeight="1" x14ac:dyDescent="0.3">
      <c r="A336" s="22" t="s">
        <v>280</v>
      </c>
      <c r="B336" s="23" t="s">
        <v>8</v>
      </c>
      <c r="C336" s="23" t="s">
        <v>9</v>
      </c>
      <c r="D336" s="24" t="s">
        <v>249</v>
      </c>
      <c r="E336" s="24" t="s">
        <v>34</v>
      </c>
      <c r="F336" s="18">
        <v>2.8999999999999998E-3</v>
      </c>
      <c r="G336" s="19"/>
      <c r="H336" s="20"/>
      <c r="I336" s="21">
        <v>0.17960000000000001</v>
      </c>
      <c r="J336" s="20"/>
      <c r="K336" s="20"/>
      <c r="M336" t="str">
        <f t="shared" si="70"/>
        <v>JOHNSONS BABY COTTON TOUCH SENS.W 56 BAG</v>
      </c>
      <c r="N336" s="29" t="str">
        <f t="shared" si="71"/>
        <v xml:space="preserve"> Thomson &amp; Thomson</v>
      </c>
      <c r="O336" t="str">
        <f t="shared" si="72"/>
        <v>JOHNSONS (JOHNSON &amp; JOHNSON INT.)</v>
      </c>
      <c r="P336" t="str">
        <f t="shared" si="74"/>
        <v xml:space="preserve"> Thomson &amp; Thomson</v>
      </c>
      <c r="R336" t="str">
        <f t="shared" si="73"/>
        <v>JOHNSONS (JOHNSON &amp; JOHNSON INT.)</v>
      </c>
      <c r="T336" t="s">
        <v>279</v>
      </c>
      <c r="U336" t="str">
        <f t="shared" si="75"/>
        <v>BAGS</v>
      </c>
      <c r="V336" t="str">
        <f t="shared" si="76"/>
        <v>SENSITIVE</v>
      </c>
      <c r="W336" t="str">
        <f t="shared" si="77"/>
        <v>56</v>
      </c>
      <c r="X336" s="27">
        <f t="shared" si="78"/>
        <v>8.1957000000000004</v>
      </c>
      <c r="Y336" s="27">
        <f t="shared" si="79"/>
        <v>0.14119999999999999</v>
      </c>
      <c r="Z336" s="27">
        <f t="shared" si="80"/>
        <v>1.1000000000000001E-3</v>
      </c>
      <c r="AA336" s="27">
        <f t="shared" si="81"/>
        <v>213.62710000000001</v>
      </c>
      <c r="AB336" s="27">
        <f t="shared" si="82"/>
        <v>2.6021999999999998</v>
      </c>
      <c r="AC336" s="27">
        <f t="shared" si="83"/>
        <v>1.6E-2</v>
      </c>
    </row>
    <row r="337" spans="1:29" ht="15" customHeight="1" x14ac:dyDescent="0.3">
      <c r="A337" s="22" t="s">
        <v>281</v>
      </c>
      <c r="B337" s="23" t="s">
        <v>8</v>
      </c>
      <c r="C337" s="23" t="s">
        <v>9</v>
      </c>
      <c r="D337" s="24" t="s">
        <v>249</v>
      </c>
      <c r="E337" s="24" t="s">
        <v>34</v>
      </c>
      <c r="F337" s="18"/>
      <c r="G337" s="19"/>
      <c r="H337" s="20"/>
      <c r="I337" s="21"/>
      <c r="J337" s="20"/>
      <c r="K337" s="20"/>
      <c r="M337" t="str">
        <f t="shared" si="70"/>
        <v>JOHNSONS BABY GENTLE ALL OVER W 3X56 BAG</v>
      </c>
      <c r="N337" s="29" t="str">
        <f t="shared" si="71"/>
        <v xml:space="preserve"> Thomson &amp; Thomson</v>
      </c>
      <c r="O337" t="str">
        <f t="shared" si="72"/>
        <v>JOHNSONS (JOHNSON &amp; JOHNSON INT.)</v>
      </c>
      <c r="P337" t="str">
        <f t="shared" si="74"/>
        <v xml:space="preserve"> Thomson &amp; Thomson</v>
      </c>
      <c r="R337" t="str">
        <f t="shared" si="73"/>
        <v>JOHNSONS (JOHNSON &amp; JOHNSON INT.)</v>
      </c>
      <c r="T337" t="s">
        <v>280</v>
      </c>
      <c r="U337" t="str">
        <f t="shared" si="75"/>
        <v>BAGS</v>
      </c>
      <c r="V337" t="str">
        <f t="shared" si="76"/>
        <v>ALCOHOL FREE &amp; HYPOALLERGENIC</v>
      </c>
      <c r="W337" t="str">
        <f t="shared" si="77"/>
        <v>56</v>
      </c>
      <c r="X337" s="27">
        <f t="shared" si="78"/>
        <v>2.8999999999999998E-3</v>
      </c>
      <c r="Y337" s="27">
        <f t="shared" si="79"/>
        <v>0</v>
      </c>
      <c r="Z337" s="27">
        <f t="shared" si="80"/>
        <v>0</v>
      </c>
      <c r="AA337" s="27">
        <f t="shared" si="81"/>
        <v>0.17960000000000001</v>
      </c>
      <c r="AB337" s="27">
        <f t="shared" si="82"/>
        <v>0</v>
      </c>
      <c r="AC337" s="27">
        <f t="shared" si="83"/>
        <v>0</v>
      </c>
    </row>
    <row r="338" spans="1:29" ht="15" customHeight="1" x14ac:dyDescent="0.3">
      <c r="A338" s="22" t="s">
        <v>282</v>
      </c>
      <c r="B338" s="23" t="s">
        <v>8</v>
      </c>
      <c r="C338" s="23" t="s">
        <v>9</v>
      </c>
      <c r="D338" s="24" t="s">
        <v>10</v>
      </c>
      <c r="E338" s="24" t="s">
        <v>34</v>
      </c>
      <c r="F338" s="18">
        <v>0.22670000000000001</v>
      </c>
      <c r="G338" s="19"/>
      <c r="H338" s="20"/>
      <c r="I338" s="21">
        <v>4.5189000000000004</v>
      </c>
      <c r="J338" s="20"/>
      <c r="K338" s="20"/>
      <c r="M338" t="str">
        <f t="shared" si="70"/>
        <v>JOHNSONS BABY GENTLE ALL OVER W 56 BAG</v>
      </c>
      <c r="N338" s="29" t="str">
        <f t="shared" si="71"/>
        <v xml:space="preserve"> Thomson &amp; Thomson</v>
      </c>
      <c r="O338" t="str">
        <f t="shared" si="72"/>
        <v>JOHNSONS (JOHNSON &amp; JOHNSON INT.)</v>
      </c>
      <c r="P338" t="str">
        <f t="shared" si="74"/>
        <v xml:space="preserve"> Thomson &amp; Thomson</v>
      </c>
      <c r="R338" t="str">
        <f t="shared" si="73"/>
        <v>JOHNSONS (JOHNSON &amp; JOHNSON INT.)</v>
      </c>
      <c r="T338" t="s">
        <v>281</v>
      </c>
      <c r="U338" t="str">
        <f t="shared" si="75"/>
        <v>BAGS</v>
      </c>
      <c r="V338" t="str">
        <f t="shared" si="76"/>
        <v>ALCOHOL FREE &amp; HYPOALLERGENIC</v>
      </c>
      <c r="W338" t="str">
        <f t="shared" si="77"/>
        <v>56</v>
      </c>
      <c r="X338" s="27">
        <f t="shared" si="78"/>
        <v>0</v>
      </c>
      <c r="Y338" s="27">
        <f t="shared" si="79"/>
        <v>0</v>
      </c>
      <c r="Z338" s="27">
        <f t="shared" si="80"/>
        <v>0</v>
      </c>
      <c r="AA338" s="27">
        <f t="shared" si="81"/>
        <v>0</v>
      </c>
      <c r="AB338" s="27">
        <f t="shared" si="82"/>
        <v>0</v>
      </c>
      <c r="AC338" s="27">
        <f t="shared" si="83"/>
        <v>0</v>
      </c>
    </row>
    <row r="339" spans="1:29" ht="15" customHeight="1" x14ac:dyDescent="0.3">
      <c r="A339" s="22" t="s">
        <v>283</v>
      </c>
      <c r="B339" s="23" t="s">
        <v>8</v>
      </c>
      <c r="C339" s="23" t="s">
        <v>9</v>
      </c>
      <c r="D339" s="24" t="s">
        <v>249</v>
      </c>
      <c r="E339" s="24" t="s">
        <v>42</v>
      </c>
      <c r="F339" s="18">
        <v>24.499500000000001</v>
      </c>
      <c r="G339" s="19">
        <v>1.3658999999999999</v>
      </c>
      <c r="H339" s="20">
        <v>5.9999999999999995E-4</v>
      </c>
      <c r="I339" s="21">
        <v>789.96360000000004</v>
      </c>
      <c r="J339" s="20">
        <v>36.531500000000001</v>
      </c>
      <c r="K339" s="20">
        <v>2.06E-2</v>
      </c>
      <c r="M339" t="str">
        <f t="shared" si="70"/>
        <v>JOHNSONS BABY SILK EXTRACT W 56 BAG</v>
      </c>
      <c r="N339" s="29" t="str">
        <f t="shared" si="71"/>
        <v xml:space="preserve"> Thomson &amp; Thomson</v>
      </c>
      <c r="O339" t="str">
        <f t="shared" si="72"/>
        <v>JOHNSONS (JOHNSON &amp; JOHNSON INT.)</v>
      </c>
      <c r="P339" t="str">
        <f t="shared" si="74"/>
        <v xml:space="preserve"> Thomson &amp; Thomson</v>
      </c>
      <c r="R339" t="str">
        <f t="shared" si="73"/>
        <v>JOHNSONS (JOHNSON &amp; JOHNSON INT.)</v>
      </c>
      <c r="T339" t="s">
        <v>282</v>
      </c>
      <c r="U339" t="str">
        <f t="shared" si="75"/>
        <v>BAGS</v>
      </c>
      <c r="V339" t="str">
        <f t="shared" si="76"/>
        <v>WITHOUT EXTRA PROTECTCARE INDICATION</v>
      </c>
      <c r="W339" t="str">
        <f t="shared" si="77"/>
        <v>56</v>
      </c>
      <c r="X339" s="27">
        <f t="shared" si="78"/>
        <v>0.22670000000000001</v>
      </c>
      <c r="Y339" s="27">
        <f t="shared" si="79"/>
        <v>0</v>
      </c>
      <c r="Z339" s="27">
        <f t="shared" si="80"/>
        <v>0</v>
      </c>
      <c r="AA339" s="27">
        <f t="shared" si="81"/>
        <v>4.5189000000000004</v>
      </c>
      <c r="AB339" s="27">
        <f t="shared" si="82"/>
        <v>0</v>
      </c>
      <c r="AC339" s="27">
        <f t="shared" si="83"/>
        <v>0</v>
      </c>
    </row>
    <row r="340" spans="1:29" ht="15" customHeight="1" x14ac:dyDescent="0.3">
      <c r="A340" s="22" t="s">
        <v>284</v>
      </c>
      <c r="B340" s="23" t="s">
        <v>8</v>
      </c>
      <c r="C340" s="23" t="s">
        <v>9</v>
      </c>
      <c r="D340" s="24" t="s">
        <v>64</v>
      </c>
      <c r="E340" s="24" t="s">
        <v>42</v>
      </c>
      <c r="F340" s="18"/>
      <c r="G340" s="19">
        <v>2.8000000000000001E-2</v>
      </c>
      <c r="H340" s="20"/>
      <c r="I340" s="21"/>
      <c r="J340" s="20">
        <v>0.80640000000000001</v>
      </c>
      <c r="K340" s="20"/>
      <c r="M340" t="str">
        <f t="shared" si="70"/>
        <v>JOHNSONS BABY GENTLE ALL OVER W 72 BAG K</v>
      </c>
      <c r="N340" s="29" t="str">
        <f t="shared" si="71"/>
        <v xml:space="preserve"> Thomson &amp; Thomson</v>
      </c>
      <c r="O340" t="str">
        <f t="shared" si="72"/>
        <v>JOHNSONS (JOHNSON &amp; JOHNSON INT.)</v>
      </c>
      <c r="P340" t="str">
        <f t="shared" si="74"/>
        <v xml:space="preserve"> Thomson &amp; Thomson</v>
      </c>
      <c r="R340" t="str">
        <f t="shared" si="73"/>
        <v>JOHNSONS (JOHNSON &amp; JOHNSON INT.)</v>
      </c>
      <c r="T340" t="s">
        <v>283</v>
      </c>
      <c r="U340" t="str">
        <f t="shared" si="75"/>
        <v>BAGS</v>
      </c>
      <c r="V340" t="str">
        <f t="shared" si="76"/>
        <v>ALCOHOL FREE &amp; HYPOALLERGENIC</v>
      </c>
      <c r="W340" t="str">
        <f t="shared" si="77"/>
        <v>72</v>
      </c>
      <c r="X340" s="27">
        <f t="shared" si="78"/>
        <v>24.499500000000001</v>
      </c>
      <c r="Y340" s="27">
        <f t="shared" si="79"/>
        <v>1.3658999999999999</v>
      </c>
      <c r="Z340" s="27">
        <f t="shared" si="80"/>
        <v>5.9999999999999995E-4</v>
      </c>
      <c r="AA340" s="27">
        <f t="shared" si="81"/>
        <v>789.96360000000004</v>
      </c>
      <c r="AB340" s="27">
        <f t="shared" si="82"/>
        <v>36.531500000000001</v>
      </c>
      <c r="AC340" s="27">
        <f t="shared" si="83"/>
        <v>2.06E-2</v>
      </c>
    </row>
    <row r="341" spans="1:29" ht="14.25" customHeight="1" x14ac:dyDescent="0.3">
      <c r="A341" s="25" t="s">
        <v>757</v>
      </c>
      <c r="B341" s="4" t="s">
        <v>5</v>
      </c>
      <c r="C341" s="4"/>
      <c r="D341" s="5"/>
      <c r="E341" s="5"/>
      <c r="F341" s="10"/>
      <c r="G341" s="11">
        <v>10.2052</v>
      </c>
      <c r="H341" s="12">
        <v>14.4321</v>
      </c>
      <c r="I341" s="13"/>
      <c r="J341" s="12">
        <v>569.2527</v>
      </c>
      <c r="K341" s="12">
        <v>716.4248</v>
      </c>
      <c r="M341" t="str">
        <f t="shared" si="70"/>
        <v>JOHNSONS BABY SENSITIVE ALC.FREE W 72 BA</v>
      </c>
      <c r="N341" s="29" t="str">
        <f t="shared" si="71"/>
        <v xml:space="preserve"> Thomson &amp; Thomson</v>
      </c>
      <c r="O341" t="str">
        <f t="shared" si="72"/>
        <v>JOHNSONS (JOHNSON &amp; JOHNSON INT.)</v>
      </c>
      <c r="P341" t="str">
        <f t="shared" si="74"/>
        <v xml:space="preserve"> Thomson &amp; Thomson</v>
      </c>
      <c r="R341" t="str">
        <f t="shared" si="73"/>
        <v>JOHNSONS (JOHNSON &amp; JOHNSON INT.)</v>
      </c>
      <c r="T341" t="s">
        <v>284</v>
      </c>
      <c r="U341" t="str">
        <f t="shared" si="75"/>
        <v>BAGS</v>
      </c>
      <c r="V341" t="str">
        <f t="shared" si="76"/>
        <v>SENSITIVE</v>
      </c>
      <c r="W341" t="str">
        <f t="shared" si="77"/>
        <v>72</v>
      </c>
      <c r="X341" s="27">
        <f t="shared" si="78"/>
        <v>0</v>
      </c>
      <c r="Y341" s="27">
        <f t="shared" si="79"/>
        <v>2.8000000000000001E-2</v>
      </c>
      <c r="Z341" s="27">
        <f t="shared" si="80"/>
        <v>0</v>
      </c>
      <c r="AA341" s="27">
        <f t="shared" si="81"/>
        <v>0</v>
      </c>
      <c r="AB341" s="27">
        <f t="shared" si="82"/>
        <v>0.80640000000000001</v>
      </c>
      <c r="AC341" s="27">
        <f t="shared" si="83"/>
        <v>0</v>
      </c>
    </row>
    <row r="342" spans="1:29" ht="15" customHeight="1" x14ac:dyDescent="0.3">
      <c r="A342" s="14" t="s">
        <v>285</v>
      </c>
      <c r="B342" s="15" t="s">
        <v>6</v>
      </c>
      <c r="C342" s="16"/>
      <c r="D342" s="17"/>
      <c r="E342" s="17"/>
      <c r="F342" s="18"/>
      <c r="G342" s="19">
        <v>10.2052</v>
      </c>
      <c r="H342" s="20">
        <v>14.4321</v>
      </c>
      <c r="I342" s="21"/>
      <c r="J342" s="20">
        <v>569.2527</v>
      </c>
      <c r="K342" s="20">
        <v>716.4248</v>
      </c>
      <c r="M342" t="str">
        <f t="shared" si="70"/>
        <v/>
      </c>
      <c r="N342" s="29" t="str">
        <f t="shared" si="71"/>
        <v xml:space="preserve"> Thomson &amp; Thomson</v>
      </c>
      <c r="O342" t="str">
        <f t="shared" si="72"/>
        <v>JOHNSONS (JOHNSON &amp; JOHNSON INT.)</v>
      </c>
      <c r="P342" t="str">
        <f t="shared" si="74"/>
        <v/>
      </c>
      <c r="R342" t="str">
        <f t="shared" si="73"/>
        <v/>
      </c>
      <c r="T342" t="s">
        <v>871</v>
      </c>
      <c r="U342" t="str">
        <f t="shared" si="75"/>
        <v/>
      </c>
      <c r="V342" t="str">
        <f t="shared" si="76"/>
        <v/>
      </c>
      <c r="W342" t="str">
        <f t="shared" si="77"/>
        <v/>
      </c>
      <c r="X342" s="27" t="str">
        <f t="shared" si="78"/>
        <v/>
      </c>
      <c r="Y342" s="27" t="str">
        <f t="shared" si="79"/>
        <v/>
      </c>
      <c r="Z342" s="27" t="str">
        <f t="shared" si="80"/>
        <v/>
      </c>
      <c r="AA342" s="27" t="str">
        <f t="shared" si="81"/>
        <v/>
      </c>
      <c r="AB342" s="27" t="str">
        <f t="shared" si="82"/>
        <v/>
      </c>
      <c r="AC342" s="27" t="str">
        <f t="shared" si="83"/>
        <v/>
      </c>
    </row>
    <row r="343" spans="1:29" ht="15" customHeight="1" x14ac:dyDescent="0.3">
      <c r="A343" s="22" t="s">
        <v>286</v>
      </c>
      <c r="B343" s="23" t="s">
        <v>8</v>
      </c>
      <c r="C343" s="23" t="s">
        <v>9</v>
      </c>
      <c r="D343" s="24" t="s">
        <v>20</v>
      </c>
      <c r="E343" s="24" t="s">
        <v>42</v>
      </c>
      <c r="F343" s="18"/>
      <c r="G343" s="19">
        <v>10.2052</v>
      </c>
      <c r="H343" s="20">
        <v>14.4321</v>
      </c>
      <c r="I343" s="21"/>
      <c r="J343" s="20">
        <v>569.2527</v>
      </c>
      <c r="K343" s="20">
        <v>716.4248</v>
      </c>
      <c r="M343" t="str">
        <f t="shared" si="70"/>
        <v/>
      </c>
      <c r="N343" s="29" t="str">
        <f t="shared" si="71"/>
        <v xml:space="preserve"> Thomson &amp; Thomson</v>
      </c>
      <c r="O343" t="str">
        <f t="shared" si="72"/>
        <v>JOHNSONS (JOHNSON &amp; JOHNSON INT.)</v>
      </c>
      <c r="P343" t="str">
        <f t="shared" si="74"/>
        <v/>
      </c>
      <c r="R343" t="str">
        <f t="shared" si="73"/>
        <v/>
      </c>
      <c r="T343" t="s">
        <v>871</v>
      </c>
      <c r="U343" t="str">
        <f t="shared" si="75"/>
        <v/>
      </c>
      <c r="V343" t="str">
        <f t="shared" si="76"/>
        <v/>
      </c>
      <c r="W343" t="str">
        <f t="shared" si="77"/>
        <v/>
      </c>
      <c r="X343" s="27" t="str">
        <f t="shared" si="78"/>
        <v/>
      </c>
      <c r="Y343" s="27" t="str">
        <f t="shared" si="79"/>
        <v/>
      </c>
      <c r="Z343" s="27" t="str">
        <f t="shared" si="80"/>
        <v/>
      </c>
      <c r="AA343" s="27" t="str">
        <f t="shared" si="81"/>
        <v/>
      </c>
      <c r="AB343" s="27" t="str">
        <f t="shared" si="82"/>
        <v/>
      </c>
      <c r="AC343" s="27" t="str">
        <f t="shared" si="83"/>
        <v/>
      </c>
    </row>
    <row r="344" spans="1:29" ht="14.25" customHeight="1" x14ac:dyDescent="0.3">
      <c r="A344" s="25" t="s">
        <v>758</v>
      </c>
      <c r="B344" s="4" t="s">
        <v>5</v>
      </c>
      <c r="C344" s="4"/>
      <c r="D344" s="5"/>
      <c r="E344" s="5"/>
      <c r="F344" s="10"/>
      <c r="G344" s="11"/>
      <c r="H344" s="12"/>
      <c r="I344" s="13"/>
      <c r="J344" s="12"/>
      <c r="K344" s="12"/>
      <c r="M344" t="str">
        <f t="shared" si="70"/>
        <v>MAIA BABY PURE&amp;SENSITIVE PH5.5 W 72 BAG</v>
      </c>
      <c r="N344" s="29" t="str">
        <f t="shared" si="71"/>
        <v xml:space="preserve"> KalesCo</v>
      </c>
      <c r="O344" t="str">
        <f t="shared" si="72"/>
        <v>MAIA (KALESAN)</v>
      </c>
      <c r="P344" t="str">
        <f t="shared" si="74"/>
        <v xml:space="preserve"> KalesCo</v>
      </c>
      <c r="R344" t="str">
        <f t="shared" si="73"/>
        <v>MAIA (KALESAN)</v>
      </c>
      <c r="T344" t="s">
        <v>286</v>
      </c>
      <c r="U344" t="str">
        <f t="shared" si="75"/>
        <v>BAGS</v>
      </c>
      <c r="V344" t="str">
        <f t="shared" si="76"/>
        <v>PH BALANCED</v>
      </c>
      <c r="W344" t="str">
        <f t="shared" si="77"/>
        <v>72</v>
      </c>
      <c r="X344" s="27">
        <f t="shared" si="78"/>
        <v>0</v>
      </c>
      <c r="Y344" s="27">
        <f t="shared" si="79"/>
        <v>10.2052</v>
      </c>
      <c r="Z344" s="27">
        <f t="shared" si="80"/>
        <v>14.4321</v>
      </c>
      <c r="AA344" s="27">
        <f t="shared" si="81"/>
        <v>0</v>
      </c>
      <c r="AB344" s="27">
        <f t="shared" si="82"/>
        <v>569.2527</v>
      </c>
      <c r="AC344" s="27">
        <f t="shared" si="83"/>
        <v>716.4248</v>
      </c>
    </row>
    <row r="345" spans="1:29" ht="15" customHeight="1" x14ac:dyDescent="0.3">
      <c r="A345" s="14" t="s">
        <v>287</v>
      </c>
      <c r="B345" s="15" t="s">
        <v>6</v>
      </c>
      <c r="C345" s="16"/>
      <c r="D345" s="17"/>
      <c r="E345" s="17"/>
      <c r="F345" s="18"/>
      <c r="G345" s="19"/>
      <c r="H345" s="20"/>
      <c r="I345" s="21"/>
      <c r="J345" s="20"/>
      <c r="K345" s="20"/>
      <c r="M345" t="str">
        <f t="shared" si="70"/>
        <v/>
      </c>
      <c r="N345" s="29" t="str">
        <f t="shared" si="71"/>
        <v xml:space="preserve"> KalesCo</v>
      </c>
      <c r="O345" t="str">
        <f t="shared" si="72"/>
        <v>MAIA (KALESAN)</v>
      </c>
      <c r="P345" t="str">
        <f t="shared" si="74"/>
        <v/>
      </c>
      <c r="R345" t="str">
        <f t="shared" si="73"/>
        <v/>
      </c>
      <c r="T345" t="s">
        <v>871</v>
      </c>
      <c r="U345" t="str">
        <f t="shared" si="75"/>
        <v/>
      </c>
      <c r="V345" t="str">
        <f t="shared" si="76"/>
        <v/>
      </c>
      <c r="W345" t="str">
        <f t="shared" si="77"/>
        <v/>
      </c>
      <c r="X345" s="27" t="str">
        <f t="shared" si="78"/>
        <v/>
      </c>
      <c r="Y345" s="27" t="str">
        <f t="shared" si="79"/>
        <v/>
      </c>
      <c r="Z345" s="27" t="str">
        <f t="shared" si="80"/>
        <v/>
      </c>
      <c r="AA345" s="27" t="str">
        <f t="shared" si="81"/>
        <v/>
      </c>
      <c r="AB345" s="27" t="str">
        <f t="shared" si="82"/>
        <v/>
      </c>
      <c r="AC345" s="27" t="str">
        <f t="shared" si="83"/>
        <v/>
      </c>
    </row>
    <row r="346" spans="1:29" ht="15" customHeight="1" x14ac:dyDescent="0.3">
      <c r="A346" s="22" t="s">
        <v>288</v>
      </c>
      <c r="B346" s="23" t="s">
        <v>8</v>
      </c>
      <c r="C346" s="23" t="s">
        <v>9</v>
      </c>
      <c r="D346" s="24" t="s">
        <v>20</v>
      </c>
      <c r="E346" s="24" t="s">
        <v>42</v>
      </c>
      <c r="F346" s="18"/>
      <c r="G346" s="19"/>
      <c r="H346" s="20"/>
      <c r="I346" s="21"/>
      <c r="J346" s="20"/>
      <c r="K346" s="20"/>
      <c r="M346" t="str">
        <f t="shared" si="70"/>
        <v/>
      </c>
      <c r="N346" s="29" t="str">
        <f t="shared" si="71"/>
        <v xml:space="preserve"> KalesCo</v>
      </c>
      <c r="O346" t="str">
        <f t="shared" si="72"/>
        <v>MAIA (KALESAN)</v>
      </c>
      <c r="P346" t="str">
        <f t="shared" si="74"/>
        <v/>
      </c>
      <c r="R346" t="str">
        <f t="shared" si="73"/>
        <v/>
      </c>
      <c r="T346" t="s">
        <v>871</v>
      </c>
      <c r="U346" t="str">
        <f t="shared" si="75"/>
        <v/>
      </c>
      <c r="V346" t="str">
        <f t="shared" si="76"/>
        <v/>
      </c>
      <c r="W346" t="str">
        <f t="shared" si="77"/>
        <v/>
      </c>
      <c r="X346" s="27" t="str">
        <f t="shared" si="78"/>
        <v/>
      </c>
      <c r="Y346" s="27" t="str">
        <f t="shared" si="79"/>
        <v/>
      </c>
      <c r="Z346" s="27" t="str">
        <f t="shared" si="80"/>
        <v/>
      </c>
      <c r="AA346" s="27" t="str">
        <f t="shared" si="81"/>
        <v/>
      </c>
      <c r="AB346" s="27" t="str">
        <f t="shared" si="82"/>
        <v/>
      </c>
      <c r="AC346" s="27" t="str">
        <f t="shared" si="83"/>
        <v/>
      </c>
    </row>
    <row r="347" spans="1:29" ht="14.25" customHeight="1" x14ac:dyDescent="0.3">
      <c r="A347" s="25" t="s">
        <v>759</v>
      </c>
      <c r="B347" s="4" t="s">
        <v>5</v>
      </c>
      <c r="C347" s="4"/>
      <c r="D347" s="5"/>
      <c r="E347" s="5"/>
      <c r="F347" s="10">
        <v>1.1900000000000001E-2</v>
      </c>
      <c r="G347" s="11"/>
      <c r="H347" s="12"/>
      <c r="I347" s="13">
        <v>0.14000000000000001</v>
      </c>
      <c r="J347" s="12"/>
      <c r="K347" s="12"/>
      <c r="M347" t="str">
        <f t="shared" si="70"/>
        <v>BEBECAN PH5.5 ALC.FREE W 72 BAG KANTARA</v>
      </c>
      <c r="N347" s="29" t="str">
        <f t="shared" si="71"/>
        <v xml:space="preserve"> Kantara Productions Distribution</v>
      </c>
      <c r="O347" t="str">
        <f t="shared" si="72"/>
        <v>BEBECEN (KANTARA PRODUKSIYON DAGITIM)</v>
      </c>
      <c r="P347" t="str">
        <f t="shared" si="74"/>
        <v xml:space="preserve"> Kantara Productions Distribution</v>
      </c>
      <c r="R347" t="str">
        <f t="shared" si="73"/>
        <v>BEBECEN (KANTARA PRODUKSIYON DAGITIM)</v>
      </c>
      <c r="T347" t="s">
        <v>288</v>
      </c>
      <c r="U347" t="str">
        <f t="shared" si="75"/>
        <v>BAGS</v>
      </c>
      <c r="V347" t="str">
        <f t="shared" si="76"/>
        <v>PH BALANCED</v>
      </c>
      <c r="W347" t="str">
        <f t="shared" si="77"/>
        <v>72</v>
      </c>
      <c r="X347" s="27">
        <f t="shared" si="78"/>
        <v>0</v>
      </c>
      <c r="Y347" s="27">
        <f t="shared" si="79"/>
        <v>0</v>
      </c>
      <c r="Z347" s="27">
        <f t="shared" si="80"/>
        <v>0</v>
      </c>
      <c r="AA347" s="27">
        <f t="shared" si="81"/>
        <v>0</v>
      </c>
      <c r="AB347" s="27">
        <f t="shared" si="82"/>
        <v>0</v>
      </c>
      <c r="AC347" s="27">
        <f t="shared" si="83"/>
        <v>0</v>
      </c>
    </row>
    <row r="348" spans="1:29" ht="15" customHeight="1" x14ac:dyDescent="0.3">
      <c r="A348" s="14" t="s">
        <v>289</v>
      </c>
      <c r="B348" s="15" t="s">
        <v>6</v>
      </c>
      <c r="C348" s="16"/>
      <c r="D348" s="17"/>
      <c r="E348" s="17"/>
      <c r="F348" s="18">
        <v>1.1900000000000001E-2</v>
      </c>
      <c r="G348" s="19"/>
      <c r="H348" s="20"/>
      <c r="I348" s="21">
        <v>0.14000000000000001</v>
      </c>
      <c r="J348" s="20"/>
      <c r="K348" s="20"/>
      <c r="M348" t="str">
        <f t="shared" si="70"/>
        <v/>
      </c>
      <c r="N348" s="29" t="str">
        <f t="shared" si="71"/>
        <v xml:space="preserve"> Kantara Productions Distribution</v>
      </c>
      <c r="O348" t="str">
        <f t="shared" si="72"/>
        <v>BEBECEN (KANTARA PRODUKSIYON DAGITIM)</v>
      </c>
      <c r="P348" t="str">
        <f t="shared" si="74"/>
        <v/>
      </c>
      <c r="R348" t="str">
        <f t="shared" si="73"/>
        <v/>
      </c>
      <c r="T348" t="s">
        <v>871</v>
      </c>
      <c r="U348" t="str">
        <f t="shared" si="75"/>
        <v/>
      </c>
      <c r="V348" t="str">
        <f t="shared" si="76"/>
        <v/>
      </c>
      <c r="W348" t="str">
        <f t="shared" si="77"/>
        <v/>
      </c>
      <c r="X348" s="27" t="str">
        <f t="shared" si="78"/>
        <v/>
      </c>
      <c r="Y348" s="27" t="str">
        <f t="shared" si="79"/>
        <v/>
      </c>
      <c r="Z348" s="27" t="str">
        <f t="shared" si="80"/>
        <v/>
      </c>
      <c r="AA348" s="27" t="str">
        <f t="shared" si="81"/>
        <v/>
      </c>
      <c r="AB348" s="27" t="str">
        <f t="shared" si="82"/>
        <v/>
      </c>
      <c r="AC348" s="27" t="str">
        <f t="shared" si="83"/>
        <v/>
      </c>
    </row>
    <row r="349" spans="1:29" ht="15" customHeight="1" x14ac:dyDescent="0.3">
      <c r="A349" s="22" t="s">
        <v>290</v>
      </c>
      <c r="B349" s="23" t="s">
        <v>8</v>
      </c>
      <c r="C349" s="23" t="s">
        <v>9</v>
      </c>
      <c r="D349" s="24" t="s">
        <v>10</v>
      </c>
      <c r="E349" s="24" t="s">
        <v>26</v>
      </c>
      <c r="F349" s="18">
        <v>1.1900000000000001E-2</v>
      </c>
      <c r="G349" s="19"/>
      <c r="H349" s="20"/>
      <c r="I349" s="21">
        <v>0.14000000000000001</v>
      </c>
      <c r="J349" s="20"/>
      <c r="K349" s="20"/>
      <c r="M349" t="str">
        <f t="shared" si="70"/>
        <v/>
      </c>
      <c r="N349" s="29" t="str">
        <f t="shared" si="71"/>
        <v xml:space="preserve"> Kantara Productions Distribution</v>
      </c>
      <c r="O349" t="str">
        <f t="shared" si="72"/>
        <v>BEBECEN (KANTARA PRODUKSIYON DAGITIM)</v>
      </c>
      <c r="P349" t="str">
        <f t="shared" si="74"/>
        <v/>
      </c>
      <c r="R349" t="str">
        <f t="shared" si="73"/>
        <v/>
      </c>
      <c r="T349" t="s">
        <v>871</v>
      </c>
      <c r="U349" t="str">
        <f t="shared" si="75"/>
        <v/>
      </c>
      <c r="V349" t="str">
        <f t="shared" si="76"/>
        <v/>
      </c>
      <c r="W349" t="str">
        <f t="shared" si="77"/>
        <v/>
      </c>
      <c r="X349" s="27" t="str">
        <f t="shared" si="78"/>
        <v/>
      </c>
      <c r="Y349" s="27" t="str">
        <f t="shared" si="79"/>
        <v/>
      </c>
      <c r="Z349" s="27" t="str">
        <f t="shared" si="80"/>
        <v/>
      </c>
      <c r="AA349" s="27" t="str">
        <f t="shared" si="81"/>
        <v/>
      </c>
      <c r="AB349" s="27" t="str">
        <f t="shared" si="82"/>
        <v/>
      </c>
      <c r="AC349" s="27" t="str">
        <f t="shared" si="83"/>
        <v/>
      </c>
    </row>
    <row r="350" spans="1:29" ht="15" customHeight="1" x14ac:dyDescent="0.3">
      <c r="A350" s="22" t="s">
        <v>291</v>
      </c>
      <c r="B350" s="23" t="s">
        <v>8</v>
      </c>
      <c r="C350" s="23" t="s">
        <v>9</v>
      </c>
      <c r="D350" s="24" t="s">
        <v>20</v>
      </c>
      <c r="E350" s="24" t="s">
        <v>17</v>
      </c>
      <c r="F350" s="18"/>
      <c r="G350" s="19"/>
      <c r="H350" s="20"/>
      <c r="I350" s="21"/>
      <c r="J350" s="20"/>
      <c r="K350" s="20"/>
      <c r="M350" t="str">
        <f t="shared" si="70"/>
        <v>KRISPA BABY CAMOMILE W 15 BAG</v>
      </c>
      <c r="N350" s="29" t="str">
        <f t="shared" si="71"/>
        <v xml:space="preserve"> CapPlus</v>
      </c>
      <c r="O350" t="str">
        <f t="shared" si="72"/>
        <v>KRISPA (KAPPUS)</v>
      </c>
      <c r="P350" t="str">
        <f t="shared" si="74"/>
        <v xml:space="preserve"> CapPlus</v>
      </c>
      <c r="R350" t="str">
        <f t="shared" si="73"/>
        <v>KRISPA (KAPPUS)</v>
      </c>
      <c r="T350" t="s">
        <v>290</v>
      </c>
      <c r="U350" t="str">
        <f t="shared" si="75"/>
        <v>BAGS</v>
      </c>
      <c r="V350" t="str">
        <f t="shared" si="76"/>
        <v>WITHOUT EXTRA PROTECTCARE INDICATION</v>
      </c>
      <c r="W350" t="str">
        <f t="shared" si="77"/>
        <v>15</v>
      </c>
      <c r="X350" s="27">
        <f t="shared" si="78"/>
        <v>1.1900000000000001E-2</v>
      </c>
      <c r="Y350" s="27">
        <f t="shared" si="79"/>
        <v>0</v>
      </c>
      <c r="Z350" s="27">
        <f t="shared" si="80"/>
        <v>0</v>
      </c>
      <c r="AA350" s="27">
        <f t="shared" si="81"/>
        <v>0.14000000000000001</v>
      </c>
      <c r="AB350" s="27">
        <f t="shared" si="82"/>
        <v>0</v>
      </c>
      <c r="AC350" s="27">
        <f t="shared" si="83"/>
        <v>0</v>
      </c>
    </row>
    <row r="351" spans="1:29" ht="14.25" customHeight="1" x14ac:dyDescent="0.3">
      <c r="A351" s="25" t="s">
        <v>760</v>
      </c>
      <c r="B351" s="4" t="s">
        <v>5</v>
      </c>
      <c r="C351" s="4"/>
      <c r="D351" s="5"/>
      <c r="E351" s="5"/>
      <c r="F351" s="10">
        <v>0.33289999999999997</v>
      </c>
      <c r="G351" s="11">
        <v>2.7199999999999998E-2</v>
      </c>
      <c r="H351" s="12">
        <v>1.4402999999999999</v>
      </c>
      <c r="I351" s="13">
        <v>16.585699999999999</v>
      </c>
      <c r="J351" s="12">
        <v>2.2242999999999999</v>
      </c>
      <c r="K351" s="12">
        <v>35.560600000000001</v>
      </c>
      <c r="M351" t="str">
        <f t="shared" si="70"/>
        <v>KRISPA BABY CAMOMILE P H5.5 W 80 BAG</v>
      </c>
      <c r="N351" s="29" t="str">
        <f t="shared" si="71"/>
        <v xml:space="preserve"> CapPlus</v>
      </c>
      <c r="O351" t="str">
        <f t="shared" si="72"/>
        <v>KRISPA (KAPPUS)</v>
      </c>
      <c r="P351" t="str">
        <f t="shared" si="74"/>
        <v xml:space="preserve"> CapPlus</v>
      </c>
      <c r="R351" t="str">
        <f t="shared" si="73"/>
        <v>KRISPA (KAPPUS)</v>
      </c>
      <c r="T351" t="s">
        <v>291</v>
      </c>
      <c r="U351" t="str">
        <f t="shared" si="75"/>
        <v>BAGS</v>
      </c>
      <c r="V351" t="str">
        <f t="shared" si="76"/>
        <v>PH BALANCED</v>
      </c>
      <c r="W351" t="str">
        <f t="shared" si="77"/>
        <v>80</v>
      </c>
      <c r="X351" s="27">
        <f t="shared" si="78"/>
        <v>0</v>
      </c>
      <c r="Y351" s="27">
        <f t="shared" si="79"/>
        <v>0</v>
      </c>
      <c r="Z351" s="27">
        <f t="shared" si="80"/>
        <v>0</v>
      </c>
      <c r="AA351" s="27">
        <f t="shared" si="81"/>
        <v>0</v>
      </c>
      <c r="AB351" s="27">
        <f t="shared" si="82"/>
        <v>0</v>
      </c>
      <c r="AC351" s="27">
        <f t="shared" si="83"/>
        <v>0</v>
      </c>
    </row>
    <row r="352" spans="1:29" ht="15" customHeight="1" x14ac:dyDescent="0.3">
      <c r="A352" s="14" t="s">
        <v>292</v>
      </c>
      <c r="B352" s="15" t="s">
        <v>6</v>
      </c>
      <c r="C352" s="16"/>
      <c r="D352" s="17"/>
      <c r="E352" s="17"/>
      <c r="F352" s="18">
        <v>0.33289999999999997</v>
      </c>
      <c r="G352" s="19">
        <v>2.7199999999999998E-2</v>
      </c>
      <c r="H352" s="20">
        <v>1.4402999999999999</v>
      </c>
      <c r="I352" s="21">
        <v>16.585699999999999</v>
      </c>
      <c r="J352" s="20">
        <v>2.2242999999999999</v>
      </c>
      <c r="K352" s="20">
        <v>35.560600000000001</v>
      </c>
      <c r="M352" t="str">
        <f t="shared" si="70"/>
        <v/>
      </c>
      <c r="N352" s="29" t="str">
        <f t="shared" si="71"/>
        <v xml:space="preserve"> CapPlus</v>
      </c>
      <c r="O352" t="str">
        <f t="shared" si="72"/>
        <v>KRISPA (KAPPUS)</v>
      </c>
      <c r="P352" t="str">
        <f t="shared" si="74"/>
        <v/>
      </c>
      <c r="R352" t="str">
        <f t="shared" si="73"/>
        <v/>
      </c>
      <c r="T352" t="s">
        <v>871</v>
      </c>
      <c r="U352" t="str">
        <f t="shared" si="75"/>
        <v/>
      </c>
      <c r="V352" t="str">
        <f t="shared" si="76"/>
        <v/>
      </c>
      <c r="W352" t="str">
        <f t="shared" si="77"/>
        <v/>
      </c>
      <c r="X352" s="27" t="str">
        <f t="shared" si="78"/>
        <v/>
      </c>
      <c r="Y352" s="27" t="str">
        <f t="shared" si="79"/>
        <v/>
      </c>
      <c r="Z352" s="27" t="str">
        <f t="shared" si="80"/>
        <v/>
      </c>
      <c r="AA352" s="27" t="str">
        <f t="shared" si="81"/>
        <v/>
      </c>
      <c r="AB352" s="27" t="str">
        <f t="shared" si="82"/>
        <v/>
      </c>
      <c r="AC352" s="27" t="str">
        <f t="shared" si="83"/>
        <v/>
      </c>
    </row>
    <row r="353" spans="1:29" ht="15" customHeight="1" x14ac:dyDescent="0.3">
      <c r="A353" s="22" t="s">
        <v>293</v>
      </c>
      <c r="B353" s="23" t="s">
        <v>8</v>
      </c>
      <c r="C353" s="23" t="s">
        <v>9</v>
      </c>
      <c r="D353" s="24" t="s">
        <v>20</v>
      </c>
      <c r="E353" s="24" t="s">
        <v>32</v>
      </c>
      <c r="F353" s="18"/>
      <c r="G353" s="19"/>
      <c r="H353" s="20">
        <v>0.69599999999999995</v>
      </c>
      <c r="I353" s="21"/>
      <c r="J353" s="20"/>
      <c r="K353" s="20">
        <v>11.551500000000001</v>
      </c>
      <c r="M353" t="str">
        <f t="shared" si="70"/>
        <v/>
      </c>
      <c r="N353" s="29" t="str">
        <f t="shared" si="71"/>
        <v xml:space="preserve"> CapPlus</v>
      </c>
      <c r="O353" t="str">
        <f t="shared" si="72"/>
        <v>KRISPA (KAPPUS)</v>
      </c>
      <c r="P353" t="str">
        <f t="shared" si="74"/>
        <v/>
      </c>
      <c r="R353" t="str">
        <f t="shared" si="73"/>
        <v/>
      </c>
      <c r="T353" t="s">
        <v>871</v>
      </c>
      <c r="U353" t="str">
        <f t="shared" si="75"/>
        <v/>
      </c>
      <c r="V353" t="str">
        <f t="shared" si="76"/>
        <v/>
      </c>
      <c r="W353" t="str">
        <f t="shared" si="77"/>
        <v/>
      </c>
      <c r="X353" s="27" t="str">
        <f t="shared" si="78"/>
        <v/>
      </c>
      <c r="Y353" s="27" t="str">
        <f t="shared" si="79"/>
        <v/>
      </c>
      <c r="Z353" s="27" t="str">
        <f t="shared" si="80"/>
        <v/>
      </c>
      <c r="AA353" s="27" t="str">
        <f t="shared" si="81"/>
        <v/>
      </c>
      <c r="AB353" s="27" t="str">
        <f t="shared" si="82"/>
        <v/>
      </c>
      <c r="AC353" s="27" t="str">
        <f t="shared" si="83"/>
        <v/>
      </c>
    </row>
    <row r="354" spans="1:29" ht="15" customHeight="1" x14ac:dyDescent="0.3">
      <c r="A354" s="22" t="s">
        <v>294</v>
      </c>
      <c r="B354" s="23" t="s">
        <v>8</v>
      </c>
      <c r="C354" s="23" t="s">
        <v>9</v>
      </c>
      <c r="D354" s="24" t="s">
        <v>20</v>
      </c>
      <c r="E354" s="24" t="s">
        <v>68</v>
      </c>
      <c r="F354" s="18">
        <v>0.33289999999999997</v>
      </c>
      <c r="G354" s="19">
        <v>2.7199999999999998E-2</v>
      </c>
      <c r="H354" s="20">
        <v>0.74419999999999997</v>
      </c>
      <c r="I354" s="21">
        <v>16.585699999999999</v>
      </c>
      <c r="J354" s="20">
        <v>2.2242999999999999</v>
      </c>
      <c r="K354" s="20">
        <v>24.0091</v>
      </c>
      <c r="M354" t="str">
        <f t="shared" si="70"/>
        <v>FRESH'N SOFT WATER&amp;COTTON W 3X40 BAG</v>
      </c>
      <c r="N354" s="29" t="str">
        <f t="shared" si="71"/>
        <v xml:space="preserve"> BrothersFlyProducts SAN A.S.</v>
      </c>
      <c r="O354" t="str">
        <f t="shared" si="72"/>
        <v>SOFT &amp; FRESH (KARDESLER UCANYAGLAR SAN A</v>
      </c>
      <c r="P354" t="str">
        <f t="shared" si="74"/>
        <v xml:space="preserve"> BrothersFlyProducts SAN A.S.</v>
      </c>
      <c r="R354" t="str">
        <f t="shared" si="73"/>
        <v>SOFT &amp; FRESH (KARDESLER UCANYAGLAR SAN A</v>
      </c>
      <c r="T354" t="s">
        <v>293</v>
      </c>
      <c r="U354" t="str">
        <f t="shared" si="75"/>
        <v>BAGS</v>
      </c>
      <c r="V354" t="str">
        <f t="shared" si="76"/>
        <v>PH BALANCED</v>
      </c>
      <c r="W354" t="str">
        <f t="shared" si="77"/>
        <v>40</v>
      </c>
      <c r="X354" s="27">
        <f t="shared" si="78"/>
        <v>0</v>
      </c>
      <c r="Y354" s="27">
        <f t="shared" si="79"/>
        <v>0</v>
      </c>
      <c r="Z354" s="27">
        <f t="shared" si="80"/>
        <v>0.69599999999999995</v>
      </c>
      <c r="AA354" s="27">
        <f t="shared" si="81"/>
        <v>0</v>
      </c>
      <c r="AB354" s="27">
        <f t="shared" si="82"/>
        <v>0</v>
      </c>
      <c r="AC354" s="27">
        <f t="shared" si="83"/>
        <v>11.551500000000001</v>
      </c>
    </row>
    <row r="355" spans="1:29" ht="14.25" customHeight="1" x14ac:dyDescent="0.3">
      <c r="A355" s="25" t="s">
        <v>761</v>
      </c>
      <c r="B355" s="4" t="s">
        <v>5</v>
      </c>
      <c r="C355" s="4"/>
      <c r="D355" s="5"/>
      <c r="E355" s="5"/>
      <c r="F355" s="10">
        <v>41.451799999999999</v>
      </c>
      <c r="G355" s="11">
        <v>23.849699999999999</v>
      </c>
      <c r="H355" s="12">
        <v>14.791499999999999</v>
      </c>
      <c r="I355" s="13">
        <v>1547.7049999999999</v>
      </c>
      <c r="J355" s="12">
        <v>1096.4466</v>
      </c>
      <c r="K355" s="12">
        <v>817.30290000000002</v>
      </c>
      <c r="M355" t="str">
        <f t="shared" si="70"/>
        <v>FRESH'N SOFT CLASSIC PH5.5 W 90 BAG</v>
      </c>
      <c r="N355" s="29" t="str">
        <f t="shared" si="71"/>
        <v xml:space="preserve"> BrothersFlyProducts SAN A.S.</v>
      </c>
      <c r="O355" t="str">
        <f t="shared" si="72"/>
        <v>SOFT &amp; FRESH (KARDESLER UCANYAGLAR SAN A</v>
      </c>
      <c r="P355" t="str">
        <f t="shared" si="74"/>
        <v xml:space="preserve"> BrothersFlyProducts SAN A.S.</v>
      </c>
      <c r="R355" t="str">
        <f t="shared" si="73"/>
        <v>SOFT &amp; FRESH (KARDESLER UCANYAGLAR SAN A</v>
      </c>
      <c r="T355" t="s">
        <v>294</v>
      </c>
      <c r="U355" t="str">
        <f t="shared" si="75"/>
        <v>BAGS</v>
      </c>
      <c r="V355" t="str">
        <f t="shared" si="76"/>
        <v>PH BALANCED</v>
      </c>
      <c r="W355" t="str">
        <f t="shared" si="77"/>
        <v>90</v>
      </c>
      <c r="X355" s="27">
        <f t="shared" si="78"/>
        <v>0.33289999999999997</v>
      </c>
      <c r="Y355" s="27">
        <f t="shared" si="79"/>
        <v>2.7199999999999998E-2</v>
      </c>
      <c r="Z355" s="27">
        <f t="shared" si="80"/>
        <v>0.74419999999999997</v>
      </c>
      <c r="AA355" s="27">
        <f t="shared" si="81"/>
        <v>16.585699999999999</v>
      </c>
      <c r="AB355" s="27">
        <f t="shared" si="82"/>
        <v>2.2242999999999999</v>
      </c>
      <c r="AC355" s="27">
        <f t="shared" si="83"/>
        <v>24.0091</v>
      </c>
    </row>
    <row r="356" spans="1:29" ht="15" customHeight="1" x14ac:dyDescent="0.3">
      <c r="A356" s="14" t="s">
        <v>295</v>
      </c>
      <c r="B356" s="15" t="s">
        <v>6</v>
      </c>
      <c r="C356" s="16"/>
      <c r="D356" s="17"/>
      <c r="E356" s="17"/>
      <c r="F356" s="18">
        <v>41.451799999999999</v>
      </c>
      <c r="G356" s="19">
        <v>23.849699999999999</v>
      </c>
      <c r="H356" s="20">
        <v>14.791499999999999</v>
      </c>
      <c r="I356" s="21">
        <v>1547.7049999999999</v>
      </c>
      <c r="J356" s="20">
        <v>1096.4466</v>
      </c>
      <c r="K356" s="20">
        <v>817.30290000000002</v>
      </c>
      <c r="M356" t="str">
        <f t="shared" si="70"/>
        <v/>
      </c>
      <c r="N356" s="29" t="str">
        <f t="shared" si="71"/>
        <v xml:space="preserve"> BrothersFlyProducts SAN A.S.</v>
      </c>
      <c r="O356" t="str">
        <f t="shared" si="72"/>
        <v>SOFT &amp; FRESH (KARDESLER UCANYAGLAR SAN A</v>
      </c>
      <c r="P356" t="str">
        <f t="shared" si="74"/>
        <v/>
      </c>
      <c r="R356" t="str">
        <f t="shared" si="73"/>
        <v/>
      </c>
      <c r="T356" t="s">
        <v>871</v>
      </c>
      <c r="U356" t="str">
        <f t="shared" si="75"/>
        <v/>
      </c>
      <c r="V356" t="str">
        <f t="shared" si="76"/>
        <v/>
      </c>
      <c r="W356" t="str">
        <f t="shared" si="77"/>
        <v/>
      </c>
      <c r="X356" s="27" t="str">
        <f t="shared" si="78"/>
        <v/>
      </c>
      <c r="Y356" s="27" t="str">
        <f t="shared" si="79"/>
        <v/>
      </c>
      <c r="Z356" s="27" t="str">
        <f t="shared" si="80"/>
        <v/>
      </c>
      <c r="AA356" s="27" t="str">
        <f t="shared" si="81"/>
        <v/>
      </c>
      <c r="AB356" s="27" t="str">
        <f t="shared" si="82"/>
        <v/>
      </c>
      <c r="AC356" s="27" t="str">
        <f t="shared" si="83"/>
        <v/>
      </c>
    </row>
    <row r="357" spans="1:29" ht="15" customHeight="1" x14ac:dyDescent="0.3">
      <c r="A357" s="22" t="s">
        <v>296</v>
      </c>
      <c r="B357" s="23" t="s">
        <v>8</v>
      </c>
      <c r="C357" s="23" t="s">
        <v>9</v>
      </c>
      <c r="D357" s="24" t="s">
        <v>20</v>
      </c>
      <c r="E357" s="24" t="s">
        <v>24</v>
      </c>
      <c r="F357" s="18"/>
      <c r="G357" s="19">
        <v>3.2099999999999997E-2</v>
      </c>
      <c r="H357" s="20">
        <v>0.19070000000000001</v>
      </c>
      <c r="I357" s="21"/>
      <c r="J357" s="20">
        <v>1.7567999999999999</v>
      </c>
      <c r="K357" s="20">
        <v>7.8956</v>
      </c>
      <c r="M357" t="str">
        <f t="shared" si="70"/>
        <v/>
      </c>
      <c r="N357" s="29" t="str">
        <f t="shared" si="71"/>
        <v xml:space="preserve"> BrothersFlyProducts SAN A.S.</v>
      </c>
      <c r="O357" t="str">
        <f t="shared" si="72"/>
        <v>SOFT &amp; FRESH (KARDESLER UCANYAGLAR SAN A</v>
      </c>
      <c r="P357" t="str">
        <f t="shared" si="74"/>
        <v/>
      </c>
      <c r="R357" t="str">
        <f t="shared" si="73"/>
        <v/>
      </c>
      <c r="T357" t="s">
        <v>871</v>
      </c>
      <c r="U357" t="str">
        <f t="shared" si="75"/>
        <v/>
      </c>
      <c r="V357" t="str">
        <f t="shared" si="76"/>
        <v/>
      </c>
      <c r="W357" t="str">
        <f t="shared" si="77"/>
        <v/>
      </c>
      <c r="X357" s="27" t="str">
        <f t="shared" si="78"/>
        <v/>
      </c>
      <c r="Y357" s="27" t="str">
        <f t="shared" si="79"/>
        <v/>
      </c>
      <c r="Z357" s="27" t="str">
        <f t="shared" si="80"/>
        <v/>
      </c>
      <c r="AA357" s="27" t="str">
        <f t="shared" si="81"/>
        <v/>
      </c>
      <c r="AB357" s="27" t="str">
        <f t="shared" si="82"/>
        <v/>
      </c>
      <c r="AC357" s="27" t="str">
        <f t="shared" si="83"/>
        <v/>
      </c>
    </row>
    <row r="358" spans="1:29" ht="15" customHeight="1" x14ac:dyDescent="0.3">
      <c r="A358" s="22" t="s">
        <v>297</v>
      </c>
      <c r="B358" s="23" t="s">
        <v>8</v>
      </c>
      <c r="C358" s="23" t="s">
        <v>9</v>
      </c>
      <c r="D358" s="24" t="s">
        <v>30</v>
      </c>
      <c r="E358" s="24" t="s">
        <v>103</v>
      </c>
      <c r="F358" s="18"/>
      <c r="G358" s="19"/>
      <c r="H358" s="20">
        <v>2.2185000000000001</v>
      </c>
      <c r="I358" s="21"/>
      <c r="J358" s="20"/>
      <c r="K358" s="20">
        <v>128.51750000000001</v>
      </c>
      <c r="M358" t="str">
        <f t="shared" si="70"/>
        <v>RENKLY JUMBO CHAMOMILE 120 W BAG KAPAK</v>
      </c>
      <c r="N358" s="29" t="str">
        <f t="shared" si="71"/>
        <v xml:space="preserve"> Snowball Cologne</v>
      </c>
      <c r="O358" t="str">
        <f t="shared" si="72"/>
        <v>RENKLY BABY (KARTOPU KOLONYA)</v>
      </c>
      <c r="P358" t="str">
        <f t="shared" si="74"/>
        <v xml:space="preserve"> Snowball Cologne</v>
      </c>
      <c r="R358" t="str">
        <f t="shared" si="73"/>
        <v>RENKLY BABY (KARTOPU KOLONYA)</v>
      </c>
      <c r="T358" t="s">
        <v>296</v>
      </c>
      <c r="U358" t="str">
        <f t="shared" si="75"/>
        <v>BAGS</v>
      </c>
      <c r="V358" t="str">
        <f t="shared" si="76"/>
        <v>PH BALANCED</v>
      </c>
      <c r="W358" t="str">
        <f t="shared" si="77"/>
        <v>120</v>
      </c>
      <c r="X358" s="27">
        <f t="shared" si="78"/>
        <v>0</v>
      </c>
      <c r="Y358" s="27">
        <f t="shared" si="79"/>
        <v>3.2099999999999997E-2</v>
      </c>
      <c r="Z358" s="27">
        <f t="shared" si="80"/>
        <v>0.19070000000000001</v>
      </c>
      <c r="AA358" s="27">
        <f t="shared" si="81"/>
        <v>0</v>
      </c>
      <c r="AB358" s="27">
        <f t="shared" si="82"/>
        <v>1.7567999999999999</v>
      </c>
      <c r="AC358" s="27">
        <f t="shared" si="83"/>
        <v>7.8956</v>
      </c>
    </row>
    <row r="359" spans="1:29" ht="15" customHeight="1" x14ac:dyDescent="0.3">
      <c r="A359" s="22" t="s">
        <v>298</v>
      </c>
      <c r="B359" s="23" t="s">
        <v>8</v>
      </c>
      <c r="C359" s="23" t="s">
        <v>9</v>
      </c>
      <c r="D359" s="24" t="s">
        <v>20</v>
      </c>
      <c r="E359" s="24" t="s">
        <v>103</v>
      </c>
      <c r="F359" s="18"/>
      <c r="G359" s="19">
        <v>7.0191999999999997</v>
      </c>
      <c r="H359" s="20">
        <v>7.8216999999999999</v>
      </c>
      <c r="I359" s="21"/>
      <c r="J359" s="20">
        <v>471.142</v>
      </c>
      <c r="K359" s="20">
        <v>503.7824</v>
      </c>
      <c r="M359" t="str">
        <f t="shared" si="70"/>
        <v>RENKLY BABY ALC.FREE W 70 BAG</v>
      </c>
      <c r="N359" s="29" t="str">
        <f t="shared" si="71"/>
        <v xml:space="preserve"> Snowball Cologne</v>
      </c>
      <c r="O359" t="str">
        <f t="shared" si="72"/>
        <v>RENKLY BABY (KARTOPU KOLONYA)</v>
      </c>
      <c r="P359" t="str">
        <f t="shared" si="74"/>
        <v xml:space="preserve"> Snowball Cologne</v>
      </c>
      <c r="R359" t="str">
        <f t="shared" si="73"/>
        <v>RENKLY BABY (KARTOPU KOLONYA)</v>
      </c>
      <c r="T359" t="s">
        <v>297</v>
      </c>
      <c r="U359" t="str">
        <f t="shared" si="75"/>
        <v>BAGS</v>
      </c>
      <c r="V359" t="str">
        <f t="shared" si="76"/>
        <v>ALCOHOL FREE</v>
      </c>
      <c r="W359" t="str">
        <f t="shared" si="77"/>
        <v>70</v>
      </c>
      <c r="X359" s="27">
        <f t="shared" si="78"/>
        <v>0</v>
      </c>
      <c r="Y359" s="27">
        <f t="shared" si="79"/>
        <v>0</v>
      </c>
      <c r="Z359" s="27">
        <f t="shared" si="80"/>
        <v>2.2185000000000001</v>
      </c>
      <c r="AA359" s="27">
        <f t="shared" si="81"/>
        <v>0</v>
      </c>
      <c r="AB359" s="27">
        <f t="shared" si="82"/>
        <v>0</v>
      </c>
      <c r="AC359" s="27">
        <f t="shared" si="83"/>
        <v>128.51750000000001</v>
      </c>
    </row>
    <row r="360" spans="1:29" ht="15" customHeight="1" x14ac:dyDescent="0.3">
      <c r="A360" s="22" t="s">
        <v>299</v>
      </c>
      <c r="B360" s="23" t="s">
        <v>8</v>
      </c>
      <c r="C360" s="23" t="s">
        <v>9</v>
      </c>
      <c r="D360" s="24" t="s">
        <v>20</v>
      </c>
      <c r="E360" s="24" t="s">
        <v>42</v>
      </c>
      <c r="F360" s="18">
        <v>8.5007999999999999</v>
      </c>
      <c r="G360" s="19">
        <v>1.8512999999999999</v>
      </c>
      <c r="H360" s="20">
        <v>0.35020000000000001</v>
      </c>
      <c r="I360" s="21">
        <v>288.41750000000002</v>
      </c>
      <c r="J360" s="20">
        <v>66.691299999999998</v>
      </c>
      <c r="K360" s="20">
        <v>13.4161</v>
      </c>
      <c r="M360" t="str">
        <f t="shared" si="70"/>
        <v>RENKLY BABY ALOE VERA 70 W BAG</v>
      </c>
      <c r="N360" s="29" t="str">
        <f t="shared" si="71"/>
        <v xml:space="preserve"> Snowball Cologne</v>
      </c>
      <c r="O360" t="str">
        <f t="shared" si="72"/>
        <v>RENKLY BABY (KARTOPU KOLONYA)</v>
      </c>
      <c r="P360" t="str">
        <f t="shared" si="74"/>
        <v xml:space="preserve"> Snowball Cologne</v>
      </c>
      <c r="R360" t="str">
        <f t="shared" si="73"/>
        <v>RENKLY BABY (KARTOPU KOLONYA)</v>
      </c>
      <c r="T360" t="s">
        <v>298</v>
      </c>
      <c r="U360" t="str">
        <f t="shared" si="75"/>
        <v>BAGS</v>
      </c>
      <c r="V360" t="str">
        <f t="shared" si="76"/>
        <v>PH BALANCED</v>
      </c>
      <c r="W360" t="str">
        <f t="shared" si="77"/>
        <v>70</v>
      </c>
      <c r="X360" s="27">
        <f t="shared" si="78"/>
        <v>0</v>
      </c>
      <c r="Y360" s="27">
        <f t="shared" si="79"/>
        <v>7.0191999999999997</v>
      </c>
      <c r="Z360" s="27">
        <f t="shared" si="80"/>
        <v>7.8216999999999999</v>
      </c>
      <c r="AA360" s="27">
        <f t="shared" si="81"/>
        <v>0</v>
      </c>
      <c r="AB360" s="27">
        <f t="shared" si="82"/>
        <v>471.142</v>
      </c>
      <c r="AC360" s="27">
        <f t="shared" si="83"/>
        <v>503.7824</v>
      </c>
    </row>
    <row r="361" spans="1:29" ht="15" customHeight="1" x14ac:dyDescent="0.3">
      <c r="A361" s="22" t="s">
        <v>300</v>
      </c>
      <c r="B361" s="23" t="s">
        <v>8</v>
      </c>
      <c r="C361" s="23" t="s">
        <v>9</v>
      </c>
      <c r="D361" s="24" t="s">
        <v>20</v>
      </c>
      <c r="E361" s="24" t="s">
        <v>42</v>
      </c>
      <c r="F361" s="18">
        <v>32.951099999999997</v>
      </c>
      <c r="G361" s="19">
        <v>14.947100000000001</v>
      </c>
      <c r="H361" s="20">
        <v>4.2103999999999999</v>
      </c>
      <c r="I361" s="21">
        <v>1259.2874999999999</v>
      </c>
      <c r="J361" s="20">
        <v>556.85670000000005</v>
      </c>
      <c r="K361" s="20">
        <v>163.69149999999999</v>
      </c>
      <c r="M361" t="str">
        <f t="shared" si="70"/>
        <v>RENKLI BABY ALC.FREE PH5.5 W 72 BAG KAPA</v>
      </c>
      <c r="N361" s="29" t="str">
        <f t="shared" si="71"/>
        <v xml:space="preserve"> Snowball Cologne</v>
      </c>
      <c r="O361" t="str">
        <f t="shared" si="72"/>
        <v>RENKLY BABY (KARTOPU KOLONYA)</v>
      </c>
      <c r="P361" t="str">
        <f t="shared" si="74"/>
        <v xml:space="preserve"> Snowball Cologne</v>
      </c>
      <c r="R361" t="str">
        <f t="shared" si="73"/>
        <v>RENKLY BABY (KARTOPU KOLONYA)</v>
      </c>
      <c r="T361" t="s">
        <v>299</v>
      </c>
      <c r="U361" t="str">
        <f t="shared" si="75"/>
        <v>BAGS</v>
      </c>
      <c r="V361" t="str">
        <f t="shared" si="76"/>
        <v>PH BALANCED</v>
      </c>
      <c r="W361" t="str">
        <f t="shared" si="77"/>
        <v>72</v>
      </c>
      <c r="X361" s="27">
        <f t="shared" si="78"/>
        <v>8.5007999999999999</v>
      </c>
      <c r="Y361" s="27">
        <f t="shared" si="79"/>
        <v>1.8512999999999999</v>
      </c>
      <c r="Z361" s="27">
        <f t="shared" si="80"/>
        <v>0.35020000000000001</v>
      </c>
      <c r="AA361" s="27">
        <f t="shared" si="81"/>
        <v>288.41750000000002</v>
      </c>
      <c r="AB361" s="27">
        <f t="shared" si="82"/>
        <v>66.691299999999998</v>
      </c>
      <c r="AC361" s="27">
        <f t="shared" si="83"/>
        <v>13.4161</v>
      </c>
    </row>
    <row r="362" spans="1:29" ht="14.25" customHeight="1" x14ac:dyDescent="0.3">
      <c r="A362" s="25" t="s">
        <v>762</v>
      </c>
      <c r="B362" s="4" t="s">
        <v>5</v>
      </c>
      <c r="C362" s="4"/>
      <c r="D362" s="5"/>
      <c r="E362" s="5"/>
      <c r="F362" s="10">
        <v>168.57919999999999</v>
      </c>
      <c r="G362" s="11">
        <v>187.82560000000001</v>
      </c>
      <c r="H362" s="12">
        <v>100.9211</v>
      </c>
      <c r="I362" s="13">
        <v>4051.7896000000001</v>
      </c>
      <c r="J362" s="12">
        <v>4420.8852999999999</v>
      </c>
      <c r="K362" s="12">
        <v>2421.1071000000002</v>
      </c>
      <c r="M362" t="str">
        <f t="shared" si="70"/>
        <v>RENKLY BABY 72 W BAG</v>
      </c>
      <c r="N362" s="29" t="str">
        <f t="shared" si="71"/>
        <v xml:space="preserve"> Snowball Cologne</v>
      </c>
      <c r="O362" t="str">
        <f t="shared" si="72"/>
        <v>RENKLY BABY (KARTOPU KOLONYA)</v>
      </c>
      <c r="P362" t="str">
        <f t="shared" si="74"/>
        <v xml:space="preserve"> Snowball Cologne</v>
      </c>
      <c r="R362" t="str">
        <f t="shared" si="73"/>
        <v>RENKLY BABY (KARTOPU KOLONYA)</v>
      </c>
      <c r="T362" t="s">
        <v>300</v>
      </c>
      <c r="U362" t="str">
        <f t="shared" si="75"/>
        <v>BAGS</v>
      </c>
      <c r="V362" t="str">
        <f t="shared" si="76"/>
        <v>PH BALANCED</v>
      </c>
      <c r="W362" t="str">
        <f t="shared" si="77"/>
        <v>72</v>
      </c>
      <c r="X362" s="27">
        <f t="shared" si="78"/>
        <v>32.951099999999997</v>
      </c>
      <c r="Y362" s="27">
        <f t="shared" si="79"/>
        <v>14.947100000000001</v>
      </c>
      <c r="Z362" s="27">
        <f t="shared" si="80"/>
        <v>4.2103999999999999</v>
      </c>
      <c r="AA362" s="27">
        <f t="shared" si="81"/>
        <v>1259.2874999999999</v>
      </c>
      <c r="AB362" s="27">
        <f t="shared" si="82"/>
        <v>556.85670000000005</v>
      </c>
      <c r="AC362" s="27">
        <f t="shared" si="83"/>
        <v>163.69149999999999</v>
      </c>
    </row>
    <row r="363" spans="1:29" ht="15" customHeight="1" x14ac:dyDescent="0.3">
      <c r="A363" s="14" t="s">
        <v>301</v>
      </c>
      <c r="B363" s="15" t="s">
        <v>6</v>
      </c>
      <c r="C363" s="16"/>
      <c r="D363" s="17"/>
      <c r="E363" s="17"/>
      <c r="F363" s="18">
        <v>168.57919999999999</v>
      </c>
      <c r="G363" s="19">
        <v>187.82560000000001</v>
      </c>
      <c r="H363" s="20">
        <v>100.9211</v>
      </c>
      <c r="I363" s="21">
        <v>4051.7896000000001</v>
      </c>
      <c r="J363" s="20">
        <v>4420.8852999999999</v>
      </c>
      <c r="K363" s="20">
        <v>2421.1071000000002</v>
      </c>
      <c r="M363" t="str">
        <f t="shared" si="70"/>
        <v/>
      </c>
      <c r="N363" s="29" t="str">
        <f t="shared" si="71"/>
        <v xml:space="preserve"> Snowball Cologne</v>
      </c>
      <c r="O363" t="str">
        <f t="shared" si="72"/>
        <v>RENKLY BABY (KARTOPU KOLONYA)</v>
      </c>
      <c r="P363" t="str">
        <f t="shared" si="74"/>
        <v/>
      </c>
      <c r="R363" t="str">
        <f t="shared" si="73"/>
        <v/>
      </c>
      <c r="T363" t="s">
        <v>871</v>
      </c>
      <c r="U363" t="str">
        <f t="shared" si="75"/>
        <v/>
      </c>
      <c r="V363" t="str">
        <f t="shared" si="76"/>
        <v/>
      </c>
      <c r="W363" t="str">
        <f t="shared" si="77"/>
        <v/>
      </c>
      <c r="X363" s="27" t="str">
        <f t="shared" si="78"/>
        <v/>
      </c>
      <c r="Y363" s="27" t="str">
        <f t="shared" si="79"/>
        <v/>
      </c>
      <c r="Z363" s="27" t="str">
        <f t="shared" si="80"/>
        <v/>
      </c>
      <c r="AA363" s="27" t="str">
        <f t="shared" si="81"/>
        <v/>
      </c>
      <c r="AB363" s="27" t="str">
        <f t="shared" si="82"/>
        <v/>
      </c>
      <c r="AC363" s="27" t="str">
        <f t="shared" si="83"/>
        <v/>
      </c>
    </row>
    <row r="364" spans="1:29" ht="15" customHeight="1" x14ac:dyDescent="0.3">
      <c r="A364" s="22" t="s">
        <v>823</v>
      </c>
      <c r="B364" s="23" t="s">
        <v>8</v>
      </c>
      <c r="C364" s="23" t="s">
        <v>9</v>
      </c>
      <c r="D364" s="24" t="s">
        <v>30</v>
      </c>
      <c r="E364" s="24" t="s">
        <v>118</v>
      </c>
      <c r="F364" s="18"/>
      <c r="G364" s="19"/>
      <c r="H364" s="20"/>
      <c r="I364" s="21"/>
      <c r="J364" s="20"/>
      <c r="K364" s="20"/>
      <c r="M364" t="str">
        <f t="shared" si="70"/>
        <v/>
      </c>
      <c r="N364" s="29" t="str">
        <f t="shared" si="71"/>
        <v xml:space="preserve"> Snowball Cologne</v>
      </c>
      <c r="O364" t="str">
        <f t="shared" si="72"/>
        <v>RENKLY BABY (KARTOPU KOLONYA)</v>
      </c>
      <c r="P364" t="str">
        <f t="shared" si="74"/>
        <v/>
      </c>
      <c r="R364" t="str">
        <f t="shared" si="73"/>
        <v/>
      </c>
      <c r="T364" t="s">
        <v>871</v>
      </c>
      <c r="U364" t="str">
        <f t="shared" si="75"/>
        <v/>
      </c>
      <c r="V364" t="str">
        <f t="shared" si="76"/>
        <v/>
      </c>
      <c r="W364" t="str">
        <f t="shared" si="77"/>
        <v/>
      </c>
      <c r="X364" s="27" t="str">
        <f t="shared" si="78"/>
        <v/>
      </c>
      <c r="Y364" s="27" t="str">
        <f t="shared" si="79"/>
        <v/>
      </c>
      <c r="Z364" s="27" t="str">
        <f t="shared" si="80"/>
        <v/>
      </c>
      <c r="AA364" s="27" t="str">
        <f t="shared" si="81"/>
        <v/>
      </c>
      <c r="AB364" s="27" t="str">
        <f t="shared" si="82"/>
        <v/>
      </c>
      <c r="AC364" s="27" t="str">
        <f t="shared" si="83"/>
        <v/>
      </c>
    </row>
    <row r="365" spans="1:29" ht="15" customHeight="1" x14ac:dyDescent="0.3">
      <c r="A365" s="22" t="s">
        <v>302</v>
      </c>
      <c r="B365" s="23" t="s">
        <v>8</v>
      </c>
      <c r="C365" s="23" t="s">
        <v>9</v>
      </c>
      <c r="D365" s="24" t="s">
        <v>30</v>
      </c>
      <c r="E365" s="24" t="s">
        <v>34</v>
      </c>
      <c r="F365" s="18">
        <v>53.822000000000003</v>
      </c>
      <c r="G365" s="19">
        <v>66.983199999999997</v>
      </c>
      <c r="H365" s="20">
        <v>42.143000000000001</v>
      </c>
      <c r="I365" s="21">
        <v>1325.5655999999999</v>
      </c>
      <c r="J365" s="20">
        <v>1594.76</v>
      </c>
      <c r="K365" s="20">
        <v>1015.3249</v>
      </c>
      <c r="M365" t="str">
        <f t="shared" si="70"/>
        <v>HUGGIES  FreshClean CUCUMBER W 24 BAG</v>
      </c>
      <c r="N365" s="29" t="str">
        <f t="shared" si="71"/>
        <v xml:space="preserve"> Kimberly Stone</v>
      </c>
      <c r="O365" t="str">
        <f t="shared" si="72"/>
        <v>HUGGIES (KIMBERLEY CLARK)</v>
      </c>
      <c r="P365" t="str">
        <f t="shared" si="74"/>
        <v xml:space="preserve"> Kimberly Stone</v>
      </c>
      <c r="R365" t="str">
        <f t="shared" si="73"/>
        <v>HUGGIES (KIMBERLEY CLARK)</v>
      </c>
      <c r="T365" t="s">
        <v>823</v>
      </c>
      <c r="U365" t="str">
        <f t="shared" si="75"/>
        <v>BAGS</v>
      </c>
      <c r="V365" t="str">
        <f t="shared" si="76"/>
        <v>ALCOHOL FREE</v>
      </c>
      <c r="W365" t="str">
        <f t="shared" si="77"/>
        <v>24</v>
      </c>
      <c r="X365" s="27">
        <f t="shared" si="78"/>
        <v>0</v>
      </c>
      <c r="Y365" s="27">
        <f t="shared" si="79"/>
        <v>0</v>
      </c>
      <c r="Z365" s="27">
        <f t="shared" si="80"/>
        <v>0</v>
      </c>
      <c r="AA365" s="27">
        <f t="shared" si="81"/>
        <v>0</v>
      </c>
      <c r="AB365" s="27">
        <f t="shared" si="82"/>
        <v>0</v>
      </c>
      <c r="AC365" s="27">
        <f t="shared" si="83"/>
        <v>0</v>
      </c>
    </row>
    <row r="366" spans="1:29" ht="15" customHeight="1" x14ac:dyDescent="0.3">
      <c r="A366" s="22" t="s">
        <v>303</v>
      </c>
      <c r="B366" s="23" t="s">
        <v>8</v>
      </c>
      <c r="C366" s="23" t="s">
        <v>9</v>
      </c>
      <c r="D366" s="24" t="s">
        <v>30</v>
      </c>
      <c r="E366" s="24" t="s">
        <v>34</v>
      </c>
      <c r="F366" s="18">
        <v>81.760300000000001</v>
      </c>
      <c r="G366" s="19">
        <v>83.135000000000005</v>
      </c>
      <c r="H366" s="20">
        <v>53.412599999999998</v>
      </c>
      <c r="I366" s="21">
        <v>1959.0420999999999</v>
      </c>
      <c r="J366" s="20">
        <v>1973.6881000000001</v>
      </c>
      <c r="K366" s="20">
        <v>1284.8007</v>
      </c>
      <c r="M366" t="str">
        <f t="shared" si="70"/>
        <v>HUGGIES NATURAL CARE ALOE VERA W 56 BAG</v>
      </c>
      <c r="N366" s="29" t="str">
        <f t="shared" si="71"/>
        <v xml:space="preserve"> Kimberly Stone</v>
      </c>
      <c r="O366" t="str">
        <f t="shared" si="72"/>
        <v>HUGGIES (KIMBERLEY CLARK)</v>
      </c>
      <c r="P366" t="str">
        <f t="shared" si="74"/>
        <v xml:space="preserve"> Kimberly Stone</v>
      </c>
      <c r="R366" t="str">
        <f t="shared" si="73"/>
        <v>HUGGIES (KIMBERLEY CLARK)</v>
      </c>
      <c r="T366" t="s">
        <v>302</v>
      </c>
      <c r="U366" t="str">
        <f t="shared" si="75"/>
        <v>BAGS</v>
      </c>
      <c r="V366" t="str">
        <f t="shared" si="76"/>
        <v>ALCOHOL FREE</v>
      </c>
      <c r="W366" t="str">
        <f t="shared" si="77"/>
        <v>56</v>
      </c>
      <c r="X366" s="27">
        <f t="shared" si="78"/>
        <v>53.822000000000003</v>
      </c>
      <c r="Y366" s="27">
        <f t="shared" si="79"/>
        <v>66.983199999999997</v>
      </c>
      <c r="Z366" s="27">
        <f t="shared" si="80"/>
        <v>42.143000000000001</v>
      </c>
      <c r="AA366" s="27">
        <f t="shared" si="81"/>
        <v>1325.5655999999999</v>
      </c>
      <c r="AB366" s="27">
        <f t="shared" si="82"/>
        <v>1594.76</v>
      </c>
      <c r="AC366" s="27">
        <f t="shared" si="83"/>
        <v>1015.3249</v>
      </c>
    </row>
    <row r="367" spans="1:29" ht="15" customHeight="1" x14ac:dyDescent="0.3">
      <c r="A367" s="22" t="s">
        <v>304</v>
      </c>
      <c r="B367" s="23" t="s">
        <v>8</v>
      </c>
      <c r="C367" s="23" t="s">
        <v>9</v>
      </c>
      <c r="D367" s="24" t="s">
        <v>30</v>
      </c>
      <c r="E367" s="24" t="s">
        <v>34</v>
      </c>
      <c r="F367" s="18">
        <v>24.3629</v>
      </c>
      <c r="G367" s="19">
        <v>18.871200000000002</v>
      </c>
      <c r="H367" s="20">
        <v>0.95489999999999997</v>
      </c>
      <c r="I367" s="21">
        <v>571.42309999999998</v>
      </c>
      <c r="J367" s="20">
        <v>430.0342</v>
      </c>
      <c r="K367" s="20">
        <v>21.356300000000001</v>
      </c>
      <c r="M367" t="str">
        <f t="shared" si="70"/>
        <v>HUGGIES PURE COTTON WOOL&amp;WATER 56 W BAG</v>
      </c>
      <c r="N367" s="29" t="str">
        <f t="shared" si="71"/>
        <v xml:space="preserve"> Kimberly Stone</v>
      </c>
      <c r="O367" t="str">
        <f t="shared" si="72"/>
        <v>HUGGIES (KIMBERLEY CLARK)</v>
      </c>
      <c r="P367" t="str">
        <f t="shared" si="74"/>
        <v xml:space="preserve"> Kimberly Stone</v>
      </c>
      <c r="R367" t="str">
        <f t="shared" si="73"/>
        <v>HUGGIES (KIMBERLEY CLARK)</v>
      </c>
      <c r="T367" t="s">
        <v>303</v>
      </c>
      <c r="U367" t="str">
        <f t="shared" si="75"/>
        <v>BAGS</v>
      </c>
      <c r="V367" t="str">
        <f t="shared" si="76"/>
        <v>ALCOHOL FREE</v>
      </c>
      <c r="W367" t="str">
        <f t="shared" si="77"/>
        <v>56</v>
      </c>
      <c r="X367" s="27">
        <f t="shared" si="78"/>
        <v>81.760300000000001</v>
      </c>
      <c r="Y367" s="27">
        <f t="shared" si="79"/>
        <v>83.135000000000005</v>
      </c>
      <c r="Z367" s="27">
        <f t="shared" si="80"/>
        <v>53.412599999999998</v>
      </c>
      <c r="AA367" s="27">
        <f t="shared" si="81"/>
        <v>1959.0420999999999</v>
      </c>
      <c r="AB367" s="27">
        <f t="shared" si="82"/>
        <v>1973.6881000000001</v>
      </c>
      <c r="AC367" s="27">
        <f t="shared" si="83"/>
        <v>1284.8007</v>
      </c>
    </row>
    <row r="368" spans="1:29" ht="15" customHeight="1" x14ac:dyDescent="0.3">
      <c r="A368" s="22" t="s">
        <v>305</v>
      </c>
      <c r="B368" s="23" t="s">
        <v>8</v>
      </c>
      <c r="C368" s="23" t="s">
        <v>9</v>
      </c>
      <c r="D368" s="24" t="s">
        <v>30</v>
      </c>
      <c r="E368" s="24" t="s">
        <v>34</v>
      </c>
      <c r="F368" s="18"/>
      <c r="G368" s="19"/>
      <c r="H368" s="20"/>
      <c r="I368" s="21"/>
      <c r="J368" s="20"/>
      <c r="K368" s="20"/>
      <c r="M368" t="str">
        <f t="shared" si="70"/>
        <v>HUGGIES SOFT SKIN VIT E 56 BAG</v>
      </c>
      <c r="N368" s="29" t="str">
        <f t="shared" si="71"/>
        <v xml:space="preserve"> Kimberly Stone</v>
      </c>
      <c r="O368" t="str">
        <f t="shared" si="72"/>
        <v>HUGGIES (KIMBERLEY CLARK)</v>
      </c>
      <c r="P368" t="str">
        <f t="shared" si="74"/>
        <v xml:space="preserve"> Kimberly Stone</v>
      </c>
      <c r="R368" t="str">
        <f t="shared" si="73"/>
        <v>HUGGIES (KIMBERLEY CLARK)</v>
      </c>
      <c r="T368" t="s">
        <v>304</v>
      </c>
      <c r="U368" t="str">
        <f t="shared" si="75"/>
        <v>BAGS</v>
      </c>
      <c r="V368" t="str">
        <f t="shared" si="76"/>
        <v>ALCOHOL FREE</v>
      </c>
      <c r="W368" t="str">
        <f t="shared" si="77"/>
        <v>56</v>
      </c>
      <c r="X368" s="27">
        <f t="shared" si="78"/>
        <v>24.3629</v>
      </c>
      <c r="Y368" s="27">
        <f t="shared" si="79"/>
        <v>18.871200000000002</v>
      </c>
      <c r="Z368" s="27">
        <f t="shared" si="80"/>
        <v>0.95489999999999997</v>
      </c>
      <c r="AA368" s="27">
        <f t="shared" si="81"/>
        <v>571.42309999999998</v>
      </c>
      <c r="AB368" s="27">
        <f t="shared" si="82"/>
        <v>430.0342</v>
      </c>
      <c r="AC368" s="27">
        <f t="shared" si="83"/>
        <v>21.356300000000001</v>
      </c>
    </row>
    <row r="369" spans="1:29" ht="15" customHeight="1" x14ac:dyDescent="0.3">
      <c r="A369" s="22" t="s">
        <v>306</v>
      </c>
      <c r="B369" s="23" t="s">
        <v>8</v>
      </c>
      <c r="C369" s="23" t="s">
        <v>9</v>
      </c>
      <c r="D369" s="24" t="s">
        <v>10</v>
      </c>
      <c r="E369" s="24" t="s">
        <v>34</v>
      </c>
      <c r="F369" s="18">
        <v>6.2572999999999999</v>
      </c>
      <c r="G369" s="19">
        <v>18.031600000000001</v>
      </c>
      <c r="H369" s="20">
        <v>4.2451999999999996</v>
      </c>
      <c r="I369" s="21">
        <v>140.29249999999999</v>
      </c>
      <c r="J369" s="20">
        <v>398.21929999999998</v>
      </c>
      <c r="K369" s="20">
        <v>95.220100000000002</v>
      </c>
      <c r="M369" t="str">
        <f t="shared" si="70"/>
        <v>HUGGIES SOFTTOUCH WITHLOTION&amp;VITE 56 BAG</v>
      </c>
      <c r="N369" s="29" t="str">
        <f t="shared" si="71"/>
        <v xml:space="preserve"> Kimberly Stone</v>
      </c>
      <c r="O369" t="str">
        <f t="shared" si="72"/>
        <v>HUGGIES (KIMBERLEY CLARK)</v>
      </c>
      <c r="P369" t="str">
        <f t="shared" si="74"/>
        <v xml:space="preserve"> Kimberly Stone</v>
      </c>
      <c r="R369" t="str">
        <f t="shared" si="73"/>
        <v>HUGGIES (KIMBERLEY CLARK)</v>
      </c>
      <c r="T369" t="s">
        <v>305</v>
      </c>
      <c r="U369" t="str">
        <f t="shared" si="75"/>
        <v>BAGS</v>
      </c>
      <c r="V369" t="str">
        <f t="shared" si="76"/>
        <v>ALCOHOL FREE</v>
      </c>
      <c r="W369" t="str">
        <f t="shared" si="77"/>
        <v>56</v>
      </c>
      <c r="X369" s="27">
        <f t="shared" si="78"/>
        <v>0</v>
      </c>
      <c r="Y369" s="27">
        <f t="shared" si="79"/>
        <v>0</v>
      </c>
      <c r="Z369" s="27">
        <f t="shared" si="80"/>
        <v>0</v>
      </c>
      <c r="AA369" s="27">
        <f t="shared" si="81"/>
        <v>0</v>
      </c>
      <c r="AB369" s="27">
        <f t="shared" si="82"/>
        <v>0</v>
      </c>
      <c r="AC369" s="27">
        <f t="shared" si="83"/>
        <v>0</v>
      </c>
    </row>
    <row r="370" spans="1:29" ht="15" customHeight="1" x14ac:dyDescent="0.3">
      <c r="A370" s="22" t="s">
        <v>307</v>
      </c>
      <c r="B370" s="23" t="s">
        <v>8</v>
      </c>
      <c r="C370" s="23" t="s">
        <v>9</v>
      </c>
      <c r="D370" s="24" t="s">
        <v>20</v>
      </c>
      <c r="E370" s="24" t="s">
        <v>37</v>
      </c>
      <c r="F370" s="18"/>
      <c r="G370" s="19"/>
      <c r="H370" s="20">
        <v>0.16520000000000001</v>
      </c>
      <c r="I370" s="21"/>
      <c r="J370" s="20"/>
      <c r="K370" s="20">
        <v>4.4053000000000004</v>
      </c>
      <c r="M370" t="str">
        <f t="shared" si="70"/>
        <v>HUGGIES UNISTAR LINGETTES 56 W BAG</v>
      </c>
      <c r="N370" s="29" t="str">
        <f t="shared" si="71"/>
        <v xml:space="preserve"> Kimberly Stone</v>
      </c>
      <c r="O370" t="str">
        <f t="shared" si="72"/>
        <v>HUGGIES (KIMBERLEY CLARK)</v>
      </c>
      <c r="P370" t="str">
        <f t="shared" si="74"/>
        <v xml:space="preserve"> Kimberly Stone</v>
      </c>
      <c r="R370" t="str">
        <f t="shared" si="73"/>
        <v>HUGGIES (KIMBERLEY CLARK)</v>
      </c>
      <c r="T370" t="s">
        <v>306</v>
      </c>
      <c r="U370" t="str">
        <f t="shared" si="75"/>
        <v>BAGS</v>
      </c>
      <c r="V370" t="str">
        <f t="shared" si="76"/>
        <v>WITHOUT EXTRA PROTECTCARE INDICATION</v>
      </c>
      <c r="W370" t="str">
        <f t="shared" si="77"/>
        <v>56</v>
      </c>
      <c r="X370" s="27">
        <f t="shared" si="78"/>
        <v>6.2572999999999999</v>
      </c>
      <c r="Y370" s="27">
        <f t="shared" si="79"/>
        <v>18.031600000000001</v>
      </c>
      <c r="Z370" s="27">
        <f t="shared" si="80"/>
        <v>4.2451999999999996</v>
      </c>
      <c r="AA370" s="27">
        <f t="shared" si="81"/>
        <v>140.29249999999999</v>
      </c>
      <c r="AB370" s="27">
        <f t="shared" si="82"/>
        <v>398.21929999999998</v>
      </c>
      <c r="AC370" s="27">
        <f t="shared" si="83"/>
        <v>95.220100000000002</v>
      </c>
    </row>
    <row r="371" spans="1:29" ht="15" customHeight="1" x14ac:dyDescent="0.3">
      <c r="A371" s="22" t="s">
        <v>308</v>
      </c>
      <c r="B371" s="23" t="s">
        <v>8</v>
      </c>
      <c r="C371" s="23" t="s">
        <v>9</v>
      </c>
      <c r="D371" s="24" t="s">
        <v>10</v>
      </c>
      <c r="E371" s="24" t="s">
        <v>37</v>
      </c>
      <c r="F371" s="18">
        <v>2.9600000000000001E-2</v>
      </c>
      <c r="G371" s="19"/>
      <c r="H371" s="20"/>
      <c r="I371" s="21">
        <v>0.8246</v>
      </c>
      <c r="J371" s="20"/>
      <c r="K371" s="20"/>
      <c r="M371" t="str">
        <f t="shared" si="70"/>
        <v>HUGGIES ALOE+VIT E W 64 BAG</v>
      </c>
      <c r="N371" s="29" t="str">
        <f t="shared" si="71"/>
        <v xml:space="preserve"> Kimberly Stone</v>
      </c>
      <c r="O371" t="str">
        <f t="shared" si="72"/>
        <v>HUGGIES (KIMBERLEY CLARK)</v>
      </c>
      <c r="P371" t="str">
        <f t="shared" si="74"/>
        <v xml:space="preserve"> Kimberly Stone</v>
      </c>
      <c r="R371" t="str">
        <f t="shared" si="73"/>
        <v>HUGGIES (KIMBERLEY CLARK)</v>
      </c>
      <c r="T371" t="s">
        <v>307</v>
      </c>
      <c r="U371" t="str">
        <f t="shared" si="75"/>
        <v>BAGS</v>
      </c>
      <c r="V371" t="str">
        <f t="shared" si="76"/>
        <v>PH BALANCED</v>
      </c>
      <c r="W371" t="str">
        <f t="shared" si="77"/>
        <v>64</v>
      </c>
      <c r="X371" s="27">
        <f t="shared" si="78"/>
        <v>0</v>
      </c>
      <c r="Y371" s="27">
        <f t="shared" si="79"/>
        <v>0</v>
      </c>
      <c r="Z371" s="27">
        <f t="shared" si="80"/>
        <v>0.16520000000000001</v>
      </c>
      <c r="AA371" s="27">
        <f t="shared" si="81"/>
        <v>0</v>
      </c>
      <c r="AB371" s="27">
        <f t="shared" si="82"/>
        <v>0</v>
      </c>
      <c r="AC371" s="27">
        <f t="shared" si="83"/>
        <v>4.4053000000000004</v>
      </c>
    </row>
    <row r="372" spans="1:29" ht="15" customHeight="1" x14ac:dyDescent="0.3">
      <c r="A372" s="22" t="s">
        <v>309</v>
      </c>
      <c r="B372" s="23" t="s">
        <v>8</v>
      </c>
      <c r="C372" s="23" t="s">
        <v>9</v>
      </c>
      <c r="D372" s="24" t="s">
        <v>10</v>
      </c>
      <c r="E372" s="24" t="s">
        <v>37</v>
      </c>
      <c r="F372" s="18"/>
      <c r="G372" s="19"/>
      <c r="H372" s="20"/>
      <c r="I372" s="21"/>
      <c r="J372" s="20"/>
      <c r="K372" s="20"/>
      <c r="M372" t="str">
        <f t="shared" si="70"/>
        <v>HUGGIES BABY UNISTAR W 64 BAG</v>
      </c>
      <c r="N372" s="29" t="str">
        <f t="shared" si="71"/>
        <v xml:space="preserve"> Kimberly Stone</v>
      </c>
      <c r="O372" t="str">
        <f t="shared" si="72"/>
        <v>HUGGIES (KIMBERLEY CLARK)</v>
      </c>
      <c r="P372" t="str">
        <f t="shared" si="74"/>
        <v xml:space="preserve"> Kimberly Stone</v>
      </c>
      <c r="R372" t="str">
        <f t="shared" si="73"/>
        <v>HUGGIES (KIMBERLEY CLARK)</v>
      </c>
      <c r="T372" t="s">
        <v>308</v>
      </c>
      <c r="U372" t="str">
        <f t="shared" si="75"/>
        <v>BAGS</v>
      </c>
      <c r="V372" t="str">
        <f t="shared" si="76"/>
        <v>WITHOUT EXTRA PROTECTCARE INDICATION</v>
      </c>
      <c r="W372" t="str">
        <f t="shared" si="77"/>
        <v>64</v>
      </c>
      <c r="X372" s="27">
        <f t="shared" si="78"/>
        <v>2.9600000000000001E-2</v>
      </c>
      <c r="Y372" s="27">
        <f t="shared" si="79"/>
        <v>0</v>
      </c>
      <c r="Z372" s="27">
        <f t="shared" si="80"/>
        <v>0</v>
      </c>
      <c r="AA372" s="27">
        <f t="shared" si="81"/>
        <v>0.8246</v>
      </c>
      <c r="AB372" s="27">
        <f t="shared" si="82"/>
        <v>0</v>
      </c>
      <c r="AC372" s="27">
        <f t="shared" si="83"/>
        <v>0</v>
      </c>
    </row>
    <row r="373" spans="1:29" ht="15" customHeight="1" x14ac:dyDescent="0.3">
      <c r="A373" s="22" t="s">
        <v>310</v>
      </c>
      <c r="B373" s="23" t="s">
        <v>8</v>
      </c>
      <c r="C373" s="23" t="s">
        <v>9</v>
      </c>
      <c r="D373" s="24" t="s">
        <v>10</v>
      </c>
      <c r="E373" s="24" t="s">
        <v>42</v>
      </c>
      <c r="F373" s="18">
        <v>2.3472</v>
      </c>
      <c r="G373" s="19">
        <v>0.8044</v>
      </c>
      <c r="H373" s="20"/>
      <c r="I373" s="21">
        <v>54.641800000000003</v>
      </c>
      <c r="J373" s="20">
        <v>24.183599999999998</v>
      </c>
      <c r="K373" s="20"/>
      <c r="M373" t="str">
        <f t="shared" si="70"/>
        <v>HUGGIES PURE COTTON WOOL&amp;WATER 64 W BAG</v>
      </c>
      <c r="N373" s="29" t="str">
        <f t="shared" si="71"/>
        <v xml:space="preserve"> Kimberly Stone</v>
      </c>
      <c r="O373" t="str">
        <f t="shared" si="72"/>
        <v>HUGGIES (KIMBERLEY CLARK)</v>
      </c>
      <c r="P373" t="str">
        <f t="shared" si="74"/>
        <v xml:space="preserve"> Kimberly Stone</v>
      </c>
      <c r="R373" t="str">
        <f t="shared" si="73"/>
        <v>HUGGIES (KIMBERLEY CLARK)</v>
      </c>
      <c r="T373" t="s">
        <v>309</v>
      </c>
      <c r="U373" t="str">
        <f t="shared" si="75"/>
        <v>BAGS</v>
      </c>
      <c r="V373" t="str">
        <f t="shared" si="76"/>
        <v>WITHOUT EXTRA PROTECTCARE INDICATION</v>
      </c>
      <c r="W373" t="str">
        <f t="shared" si="77"/>
        <v>64</v>
      </c>
      <c r="X373" s="27">
        <f t="shared" si="78"/>
        <v>0</v>
      </c>
      <c r="Y373" s="27">
        <f t="shared" si="79"/>
        <v>0</v>
      </c>
      <c r="Z373" s="27">
        <f t="shared" si="80"/>
        <v>0</v>
      </c>
      <c r="AA373" s="27">
        <f t="shared" si="81"/>
        <v>0</v>
      </c>
      <c r="AB373" s="27">
        <f t="shared" si="82"/>
        <v>0</v>
      </c>
      <c r="AC373" s="27">
        <f t="shared" si="83"/>
        <v>0</v>
      </c>
    </row>
    <row r="374" spans="1:29" ht="14.25" customHeight="1" x14ac:dyDescent="0.3">
      <c r="A374" s="25" t="s">
        <v>763</v>
      </c>
      <c r="B374" s="4" t="s">
        <v>5</v>
      </c>
      <c r="C374" s="4"/>
      <c r="D374" s="5"/>
      <c r="E374" s="5"/>
      <c r="F374" s="10">
        <v>6.1033999999999997</v>
      </c>
      <c r="G374" s="11">
        <v>8.2299999999999998E-2</v>
      </c>
      <c r="H374" s="12"/>
      <c r="I374" s="13">
        <v>422.25490000000002</v>
      </c>
      <c r="J374" s="12">
        <v>3.4649000000000001</v>
      </c>
      <c r="K374" s="12"/>
      <c r="M374" t="str">
        <f t="shared" si="70"/>
        <v>HUGGIES PURE 99% WATER 72 W BAG</v>
      </c>
      <c r="N374" s="29" t="str">
        <f t="shared" si="71"/>
        <v xml:space="preserve"> Kimberly Stone</v>
      </c>
      <c r="O374" t="str">
        <f t="shared" si="72"/>
        <v>HUGGIES (KIMBERLEY CLARK)</v>
      </c>
      <c r="P374" t="str">
        <f t="shared" si="74"/>
        <v xml:space="preserve"> Kimberly Stone</v>
      </c>
      <c r="R374" t="str">
        <f t="shared" si="73"/>
        <v>HUGGIES (KIMBERLEY CLARK)</v>
      </c>
      <c r="T374" t="s">
        <v>310</v>
      </c>
      <c r="U374" t="str">
        <f t="shared" si="75"/>
        <v>BAGS</v>
      </c>
      <c r="V374" t="str">
        <f t="shared" si="76"/>
        <v>WITHOUT EXTRA PROTECTCARE INDICATION</v>
      </c>
      <c r="W374" t="str">
        <f t="shared" si="77"/>
        <v>72</v>
      </c>
      <c r="X374" s="27">
        <f t="shared" si="78"/>
        <v>2.3472</v>
      </c>
      <c r="Y374" s="27">
        <f t="shared" si="79"/>
        <v>0.8044</v>
      </c>
      <c r="Z374" s="27">
        <f t="shared" si="80"/>
        <v>0</v>
      </c>
      <c r="AA374" s="27">
        <f t="shared" si="81"/>
        <v>54.641800000000003</v>
      </c>
      <c r="AB374" s="27">
        <f t="shared" si="82"/>
        <v>24.183599999999998</v>
      </c>
      <c r="AC374" s="27">
        <f t="shared" si="83"/>
        <v>0</v>
      </c>
    </row>
    <row r="375" spans="1:29" ht="15" customHeight="1" x14ac:dyDescent="0.3">
      <c r="A375" s="14" t="s">
        <v>311</v>
      </c>
      <c r="B375" s="15" t="s">
        <v>6</v>
      </c>
      <c r="C375" s="16"/>
      <c r="D375" s="17"/>
      <c r="E375" s="17"/>
      <c r="F375" s="18">
        <v>6.1033999999999997</v>
      </c>
      <c r="G375" s="19">
        <v>8.2299999999999998E-2</v>
      </c>
      <c r="H375" s="20"/>
      <c r="I375" s="21">
        <v>422.25490000000002</v>
      </c>
      <c r="J375" s="20">
        <v>3.4649000000000001</v>
      </c>
      <c r="K375" s="20"/>
      <c r="M375" t="str">
        <f t="shared" si="70"/>
        <v/>
      </c>
      <c r="N375" s="29" t="str">
        <f t="shared" si="71"/>
        <v xml:space="preserve"> Kimberly Stone</v>
      </c>
      <c r="O375" t="str">
        <f t="shared" si="72"/>
        <v>HUGGIES (KIMBERLEY CLARK)</v>
      </c>
      <c r="P375" t="str">
        <f t="shared" si="74"/>
        <v/>
      </c>
      <c r="R375" t="str">
        <f t="shared" si="73"/>
        <v/>
      </c>
      <c r="T375" t="s">
        <v>871</v>
      </c>
      <c r="U375" t="str">
        <f t="shared" si="75"/>
        <v/>
      </c>
      <c r="V375" t="str">
        <f t="shared" si="76"/>
        <v/>
      </c>
      <c r="W375" t="str">
        <f t="shared" si="77"/>
        <v/>
      </c>
      <c r="X375" s="27" t="str">
        <f t="shared" si="78"/>
        <v/>
      </c>
      <c r="Y375" s="27" t="str">
        <f t="shared" si="79"/>
        <v/>
      </c>
      <c r="Z375" s="27" t="str">
        <f t="shared" si="80"/>
        <v/>
      </c>
      <c r="AA375" s="27" t="str">
        <f t="shared" si="81"/>
        <v/>
      </c>
      <c r="AB375" s="27" t="str">
        <f t="shared" si="82"/>
        <v/>
      </c>
      <c r="AC375" s="27" t="str">
        <f t="shared" si="83"/>
        <v/>
      </c>
    </row>
    <row r="376" spans="1:29" ht="15" customHeight="1" x14ac:dyDescent="0.3">
      <c r="A376" s="22" t="s">
        <v>312</v>
      </c>
      <c r="B376" s="23" t="s">
        <v>8</v>
      </c>
      <c r="C376" s="23" t="s">
        <v>9</v>
      </c>
      <c r="D376" s="24" t="s">
        <v>30</v>
      </c>
      <c r="E376" s="24" t="s">
        <v>103</v>
      </c>
      <c r="F376" s="18">
        <v>5.9740000000000002</v>
      </c>
      <c r="G376" s="19"/>
      <c r="H376" s="20"/>
      <c r="I376" s="21">
        <v>416.80889999999999</v>
      </c>
      <c r="J376" s="20"/>
      <c r="K376" s="20"/>
      <c r="M376" t="str">
        <f t="shared" si="70"/>
        <v/>
      </c>
      <c r="N376" s="29" t="str">
        <f t="shared" si="71"/>
        <v xml:space="preserve"> Kimberly Stone</v>
      </c>
      <c r="O376" t="str">
        <f t="shared" si="72"/>
        <v>HUGGIES (KIMBERLEY CLARK)</v>
      </c>
      <c r="P376" t="str">
        <f t="shared" si="74"/>
        <v/>
      </c>
      <c r="R376" t="str">
        <f t="shared" si="73"/>
        <v/>
      </c>
      <c r="T376" t="s">
        <v>871</v>
      </c>
      <c r="U376" t="str">
        <f t="shared" si="75"/>
        <v/>
      </c>
      <c r="V376" t="str">
        <f t="shared" si="76"/>
        <v/>
      </c>
      <c r="W376" t="str">
        <f t="shared" si="77"/>
        <v/>
      </c>
      <c r="X376" s="27" t="str">
        <f t="shared" si="78"/>
        <v/>
      </c>
      <c r="Y376" s="27" t="str">
        <f t="shared" si="79"/>
        <v/>
      </c>
      <c r="Z376" s="27" t="str">
        <f t="shared" si="80"/>
        <v/>
      </c>
      <c r="AA376" s="27" t="str">
        <f t="shared" si="81"/>
        <v/>
      </c>
      <c r="AB376" s="27" t="str">
        <f t="shared" si="82"/>
        <v/>
      </c>
      <c r="AC376" s="27" t="str">
        <f t="shared" si="83"/>
        <v/>
      </c>
    </row>
    <row r="377" spans="1:29" ht="15" customHeight="1" x14ac:dyDescent="0.3">
      <c r="A377" s="22" t="s">
        <v>313</v>
      </c>
      <c r="B377" s="23" t="s">
        <v>8</v>
      </c>
      <c r="C377" s="23" t="s">
        <v>9</v>
      </c>
      <c r="D377" s="24" t="s">
        <v>20</v>
      </c>
      <c r="E377" s="24" t="s">
        <v>17</v>
      </c>
      <c r="F377" s="18">
        <v>0.1293</v>
      </c>
      <c r="G377" s="19">
        <v>8.2299999999999998E-2</v>
      </c>
      <c r="H377" s="20"/>
      <c r="I377" s="21">
        <v>5.4459999999999997</v>
      </c>
      <c r="J377" s="20">
        <v>3.4649000000000001</v>
      </c>
      <c r="K377" s="20"/>
      <c r="M377" t="str">
        <f t="shared" si="70"/>
        <v>KOMILI BABY SOFT ALC.FREE W 70 BAG</v>
      </c>
      <c r="N377" s="29" t="str">
        <f t="shared" si="71"/>
        <v xml:space="preserve"> OliveTree S.A.</v>
      </c>
      <c r="O377" t="str">
        <f t="shared" si="72"/>
        <v>KOMILI (KOMILI S.A.)</v>
      </c>
      <c r="P377" t="str">
        <f t="shared" si="74"/>
        <v xml:space="preserve"> OliveTree S.A.</v>
      </c>
      <c r="R377" t="str">
        <f t="shared" si="73"/>
        <v>KOMILI (KOMILI S.A.)</v>
      </c>
      <c r="T377" t="s">
        <v>312</v>
      </c>
      <c r="U377" t="str">
        <f t="shared" si="75"/>
        <v>BAGS</v>
      </c>
      <c r="V377" t="str">
        <f t="shared" si="76"/>
        <v>ALCOHOL FREE</v>
      </c>
      <c r="W377" t="str">
        <f t="shared" si="77"/>
        <v>70</v>
      </c>
      <c r="X377" s="27">
        <f t="shared" si="78"/>
        <v>5.9740000000000002</v>
      </c>
      <c r="Y377" s="27">
        <f t="shared" si="79"/>
        <v>0</v>
      </c>
      <c r="Z377" s="27">
        <f t="shared" si="80"/>
        <v>0</v>
      </c>
      <c r="AA377" s="27">
        <f t="shared" si="81"/>
        <v>416.80889999999999</v>
      </c>
      <c r="AB377" s="27">
        <f t="shared" si="82"/>
        <v>0</v>
      </c>
      <c r="AC377" s="27">
        <f t="shared" si="83"/>
        <v>0</v>
      </c>
    </row>
    <row r="378" spans="1:29" ht="14.25" customHeight="1" x14ac:dyDescent="0.3">
      <c r="A378" s="25" t="s">
        <v>764</v>
      </c>
      <c r="B378" s="4" t="s">
        <v>5</v>
      </c>
      <c r="C378" s="4"/>
      <c r="D378" s="5"/>
      <c r="E378" s="5"/>
      <c r="F378" s="10">
        <v>11.181699999999999</v>
      </c>
      <c r="G378" s="11">
        <v>15.1816</v>
      </c>
      <c r="H378" s="12">
        <v>9.6165000000000003</v>
      </c>
      <c r="I378" s="13">
        <v>586.38080000000002</v>
      </c>
      <c r="J378" s="12">
        <v>752.94479999999999</v>
      </c>
      <c r="K378" s="12">
        <v>438.76389999999998</v>
      </c>
      <c r="M378" t="str">
        <f t="shared" si="70"/>
        <v>KOMILI BABY COTTON PH5.5 W 80 BAG</v>
      </c>
      <c r="N378" s="29" t="str">
        <f t="shared" si="71"/>
        <v xml:space="preserve"> OliveTree S.A.</v>
      </c>
      <c r="O378" t="str">
        <f t="shared" si="72"/>
        <v>KOMILI (KOMILI S.A.)</v>
      </c>
      <c r="P378" t="str">
        <f t="shared" si="74"/>
        <v xml:space="preserve"> OliveTree S.A.</v>
      </c>
      <c r="R378" t="str">
        <f t="shared" si="73"/>
        <v>KOMILI (KOMILI S.A.)</v>
      </c>
      <c r="T378" t="s">
        <v>313</v>
      </c>
      <c r="U378" t="str">
        <f t="shared" si="75"/>
        <v>BAGS</v>
      </c>
      <c r="V378" t="str">
        <f t="shared" si="76"/>
        <v>PH BALANCED</v>
      </c>
      <c r="W378" t="str">
        <f t="shared" si="77"/>
        <v>80</v>
      </c>
      <c r="X378" s="27">
        <f t="shared" si="78"/>
        <v>0.1293</v>
      </c>
      <c r="Y378" s="27">
        <f t="shared" si="79"/>
        <v>8.2299999999999998E-2</v>
      </c>
      <c r="Z378" s="27">
        <f t="shared" si="80"/>
        <v>0</v>
      </c>
      <c r="AA378" s="27">
        <f t="shared" si="81"/>
        <v>5.4459999999999997</v>
      </c>
      <c r="AB378" s="27">
        <f t="shared" si="82"/>
        <v>3.4649000000000001</v>
      </c>
      <c r="AC378" s="27">
        <f t="shared" si="83"/>
        <v>0</v>
      </c>
    </row>
    <row r="379" spans="1:29" ht="15" customHeight="1" x14ac:dyDescent="0.3">
      <c r="A379" s="14" t="s">
        <v>314</v>
      </c>
      <c r="B379" s="15" t="s">
        <v>6</v>
      </c>
      <c r="C379" s="16"/>
      <c r="D379" s="17"/>
      <c r="E379" s="17"/>
      <c r="F379" s="18">
        <v>11.181699999999999</v>
      </c>
      <c r="G379" s="19">
        <v>15.1816</v>
      </c>
      <c r="H379" s="20">
        <v>9.6165000000000003</v>
      </c>
      <c r="I379" s="21">
        <v>586.38080000000002</v>
      </c>
      <c r="J379" s="20">
        <v>752.94479999999999</v>
      </c>
      <c r="K379" s="20">
        <v>438.76389999999998</v>
      </c>
      <c r="M379" t="str">
        <f t="shared" si="70"/>
        <v/>
      </c>
      <c r="N379" s="29" t="str">
        <f t="shared" si="71"/>
        <v xml:space="preserve"> OliveTree S.A.</v>
      </c>
      <c r="O379" t="str">
        <f t="shared" si="72"/>
        <v>KOMILI (KOMILI S.A.)</v>
      </c>
      <c r="P379" t="str">
        <f t="shared" si="74"/>
        <v/>
      </c>
      <c r="R379" t="str">
        <f t="shared" si="73"/>
        <v/>
      </c>
      <c r="T379" t="s">
        <v>871</v>
      </c>
      <c r="U379" t="str">
        <f t="shared" si="75"/>
        <v/>
      </c>
      <c r="V379" t="str">
        <f t="shared" si="76"/>
        <v/>
      </c>
      <c r="W379" t="str">
        <f t="shared" si="77"/>
        <v/>
      </c>
      <c r="X379" s="27" t="str">
        <f t="shared" si="78"/>
        <v/>
      </c>
      <c r="Y379" s="27" t="str">
        <f t="shared" si="79"/>
        <v/>
      </c>
      <c r="Z379" s="27" t="str">
        <f t="shared" si="80"/>
        <v/>
      </c>
      <c r="AA379" s="27" t="str">
        <f t="shared" si="81"/>
        <v/>
      </c>
      <c r="AB379" s="27" t="str">
        <f t="shared" si="82"/>
        <v/>
      </c>
      <c r="AC379" s="27" t="str">
        <f t="shared" si="83"/>
        <v/>
      </c>
    </row>
    <row r="380" spans="1:29" ht="15" customHeight="1" x14ac:dyDescent="0.3">
      <c r="A380" s="22" t="s">
        <v>315</v>
      </c>
      <c r="B380" s="23" t="s">
        <v>8</v>
      </c>
      <c r="C380" s="23" t="s">
        <v>9</v>
      </c>
      <c r="D380" s="24" t="s">
        <v>30</v>
      </c>
      <c r="E380" s="24" t="s">
        <v>42</v>
      </c>
      <c r="F380" s="18">
        <v>11.181699999999999</v>
      </c>
      <c r="G380" s="19">
        <v>15.1816</v>
      </c>
      <c r="H380" s="20">
        <v>9.6165000000000003</v>
      </c>
      <c r="I380" s="21">
        <v>586.38080000000002</v>
      </c>
      <c r="J380" s="20">
        <v>752.94479999999999</v>
      </c>
      <c r="K380" s="20">
        <v>438.76389999999998</v>
      </c>
      <c r="M380" t="str">
        <f t="shared" si="70"/>
        <v/>
      </c>
      <c r="N380" s="29" t="str">
        <f t="shared" si="71"/>
        <v xml:space="preserve"> OliveTree S.A.</v>
      </c>
      <c r="O380" t="str">
        <f t="shared" si="72"/>
        <v>KOMILI (KOMILI S.A.)</v>
      </c>
      <c r="P380" t="str">
        <f t="shared" si="74"/>
        <v/>
      </c>
      <c r="R380" t="str">
        <f t="shared" si="73"/>
        <v/>
      </c>
      <c r="T380" t="s">
        <v>871</v>
      </c>
      <c r="U380" t="str">
        <f t="shared" si="75"/>
        <v/>
      </c>
      <c r="V380" t="str">
        <f t="shared" si="76"/>
        <v/>
      </c>
      <c r="W380" t="str">
        <f t="shared" si="77"/>
        <v/>
      </c>
      <c r="X380" s="27" t="str">
        <f t="shared" si="78"/>
        <v/>
      </c>
      <c r="Y380" s="27" t="str">
        <f t="shared" si="79"/>
        <v/>
      </c>
      <c r="Z380" s="27" t="str">
        <f t="shared" si="80"/>
        <v/>
      </c>
      <c r="AA380" s="27" t="str">
        <f t="shared" si="81"/>
        <v/>
      </c>
      <c r="AB380" s="27" t="str">
        <f t="shared" si="82"/>
        <v/>
      </c>
      <c r="AC380" s="27" t="str">
        <f t="shared" si="83"/>
        <v/>
      </c>
    </row>
    <row r="381" spans="1:29" ht="14.25" customHeight="1" x14ac:dyDescent="0.3">
      <c r="A381" s="25" t="s">
        <v>765</v>
      </c>
      <c r="B381" s="4" t="s">
        <v>5</v>
      </c>
      <c r="C381" s="4"/>
      <c r="D381" s="5"/>
      <c r="E381" s="5"/>
      <c r="F381" s="10">
        <v>20.5808</v>
      </c>
      <c r="G381" s="11">
        <v>16.885999999999999</v>
      </c>
      <c r="H381" s="12">
        <v>8.2624999999999993</v>
      </c>
      <c r="I381" s="13">
        <v>116.04819999999999</v>
      </c>
      <c r="J381" s="12">
        <v>107.1939</v>
      </c>
      <c r="K381" s="12">
        <v>44.347099999999998</v>
      </c>
      <c r="M381" t="str">
        <f t="shared" si="70"/>
        <v>TANGO BABY SOFT VIT E ALC.FREE 72BR BAG</v>
      </c>
      <c r="N381" s="29" t="str">
        <f t="shared" si="71"/>
        <v xml:space="preserve"> CosmicChem</v>
      </c>
      <c r="O381" t="str">
        <f t="shared" si="72"/>
        <v>TANGO (KOZMO KIMYA)</v>
      </c>
      <c r="P381" t="str">
        <f t="shared" si="74"/>
        <v xml:space="preserve"> CosmicChem</v>
      </c>
      <c r="R381" t="str">
        <f t="shared" si="73"/>
        <v>TANGO (KOZMO KIMYA)</v>
      </c>
      <c r="T381" t="s">
        <v>315</v>
      </c>
      <c r="U381" t="str">
        <f t="shared" si="75"/>
        <v>BAGS</v>
      </c>
      <c r="V381" t="str">
        <f t="shared" si="76"/>
        <v>ALCOHOL FREE</v>
      </c>
      <c r="W381" t="str">
        <f t="shared" si="77"/>
        <v>72</v>
      </c>
      <c r="X381" s="27">
        <f t="shared" si="78"/>
        <v>11.181699999999999</v>
      </c>
      <c r="Y381" s="27">
        <f t="shared" si="79"/>
        <v>15.1816</v>
      </c>
      <c r="Z381" s="27">
        <f t="shared" si="80"/>
        <v>9.6165000000000003</v>
      </c>
      <c r="AA381" s="27">
        <f t="shared" si="81"/>
        <v>586.38080000000002</v>
      </c>
      <c r="AB381" s="27">
        <f t="shared" si="82"/>
        <v>752.94479999999999</v>
      </c>
      <c r="AC381" s="27">
        <f t="shared" si="83"/>
        <v>438.76389999999998</v>
      </c>
    </row>
    <row r="382" spans="1:29" ht="15" customHeight="1" x14ac:dyDescent="0.3">
      <c r="A382" s="14" t="s">
        <v>316</v>
      </c>
      <c r="B382" s="15" t="s">
        <v>6</v>
      </c>
      <c r="C382" s="16"/>
      <c r="D382" s="17"/>
      <c r="E382" s="17"/>
      <c r="F382" s="18">
        <v>20.5808</v>
      </c>
      <c r="G382" s="19">
        <v>16.885999999999999</v>
      </c>
      <c r="H382" s="20">
        <v>8.2624999999999993</v>
      </c>
      <c r="I382" s="21">
        <v>116.04819999999999</v>
      </c>
      <c r="J382" s="20">
        <v>107.1939</v>
      </c>
      <c r="K382" s="20">
        <v>44.347099999999998</v>
      </c>
      <c r="M382" t="str">
        <f t="shared" si="70"/>
        <v/>
      </c>
      <c r="N382" s="29" t="str">
        <f t="shared" si="71"/>
        <v xml:space="preserve"> CosmicChem</v>
      </c>
      <c r="O382" t="str">
        <f t="shared" si="72"/>
        <v>TANGO (KOZMO KIMYA)</v>
      </c>
      <c r="P382" t="str">
        <f t="shared" si="74"/>
        <v/>
      </c>
      <c r="R382" t="str">
        <f t="shared" si="73"/>
        <v/>
      </c>
      <c r="T382" t="s">
        <v>871</v>
      </c>
      <c r="U382" t="str">
        <f t="shared" si="75"/>
        <v/>
      </c>
      <c r="V382" t="str">
        <f t="shared" si="76"/>
        <v/>
      </c>
      <c r="W382" t="str">
        <f t="shared" si="77"/>
        <v/>
      </c>
      <c r="X382" s="27" t="str">
        <f t="shared" si="78"/>
        <v/>
      </c>
      <c r="Y382" s="27" t="str">
        <f t="shared" si="79"/>
        <v/>
      </c>
      <c r="Z382" s="27" t="str">
        <f t="shared" si="80"/>
        <v/>
      </c>
      <c r="AA382" s="27" t="str">
        <f t="shared" si="81"/>
        <v/>
      </c>
      <c r="AB382" s="27" t="str">
        <f t="shared" si="82"/>
        <v/>
      </c>
      <c r="AC382" s="27" t="str">
        <f t="shared" si="83"/>
        <v/>
      </c>
    </row>
    <row r="383" spans="1:29" ht="15" customHeight="1" x14ac:dyDescent="0.3">
      <c r="A383" s="22" t="s">
        <v>317</v>
      </c>
      <c r="B383" s="23" t="s">
        <v>8</v>
      </c>
      <c r="C383" s="23" t="s">
        <v>9</v>
      </c>
      <c r="D383" s="24" t="s">
        <v>69</v>
      </c>
      <c r="E383" s="24" t="s">
        <v>88</v>
      </c>
      <c r="F383" s="18">
        <v>8.2699999999999996E-2</v>
      </c>
      <c r="G383" s="19">
        <v>4.5199999999999997E-2</v>
      </c>
      <c r="H383" s="20">
        <v>5.4999999999999997E-3</v>
      </c>
      <c r="I383" s="21">
        <v>0.35360000000000003</v>
      </c>
      <c r="J383" s="20">
        <v>0.2</v>
      </c>
      <c r="K383" s="20">
        <v>2.5000000000000001E-2</v>
      </c>
      <c r="M383" t="str">
        <f t="shared" si="70"/>
        <v/>
      </c>
      <c r="N383" s="29" t="str">
        <f t="shared" si="71"/>
        <v xml:space="preserve"> CosmicChem</v>
      </c>
      <c r="O383" t="str">
        <f t="shared" si="72"/>
        <v>TANGO (KOZMO KIMYA)</v>
      </c>
      <c r="P383" t="str">
        <f t="shared" si="74"/>
        <v/>
      </c>
      <c r="R383" t="str">
        <f t="shared" si="73"/>
        <v/>
      </c>
      <c r="T383" t="s">
        <v>871</v>
      </c>
      <c r="U383" t="str">
        <f t="shared" si="75"/>
        <v/>
      </c>
      <c r="V383" t="str">
        <f t="shared" si="76"/>
        <v/>
      </c>
      <c r="W383" t="str">
        <f t="shared" si="77"/>
        <v/>
      </c>
      <c r="X383" s="27" t="str">
        <f t="shared" si="78"/>
        <v/>
      </c>
      <c r="Y383" s="27" t="str">
        <f t="shared" si="79"/>
        <v/>
      </c>
      <c r="Z383" s="27" t="str">
        <f t="shared" si="80"/>
        <v/>
      </c>
      <c r="AA383" s="27" t="str">
        <f t="shared" si="81"/>
        <v/>
      </c>
      <c r="AB383" s="27" t="str">
        <f t="shared" si="82"/>
        <v/>
      </c>
      <c r="AC383" s="27" t="str">
        <f t="shared" si="83"/>
        <v/>
      </c>
    </row>
    <row r="384" spans="1:29" ht="15" customHeight="1" x14ac:dyDescent="0.3">
      <c r="A384" s="22" t="s">
        <v>318</v>
      </c>
      <c r="B384" s="23" t="s">
        <v>8</v>
      </c>
      <c r="C384" s="23" t="s">
        <v>9</v>
      </c>
      <c r="D384" s="24" t="s">
        <v>69</v>
      </c>
      <c r="E384" s="24" t="s">
        <v>88</v>
      </c>
      <c r="F384" s="18">
        <v>2.0510000000000002</v>
      </c>
      <c r="G384" s="19">
        <v>2.5941999999999998</v>
      </c>
      <c r="H384" s="20">
        <v>0.76219999999999999</v>
      </c>
      <c r="I384" s="21">
        <v>8.6088000000000005</v>
      </c>
      <c r="J384" s="20">
        <v>11.446400000000001</v>
      </c>
      <c r="K384" s="20">
        <v>3.6349999999999998</v>
      </c>
      <c r="M384" t="str">
        <f t="shared" si="70"/>
        <v>MUSTELA BEBE CLEANSING 25 W BAG</v>
      </c>
      <c r="N384" s="29" t="str">
        <f t="shared" si="71"/>
        <v xml:space="preserve"> LabExpand</v>
      </c>
      <c r="O384" t="str">
        <f t="shared" si="72"/>
        <v>MUSTELA (LABORATORY EXPANSCIENCE)</v>
      </c>
      <c r="P384" t="str">
        <f t="shared" si="74"/>
        <v xml:space="preserve"> LabExpand</v>
      </c>
      <c r="R384" t="str">
        <f t="shared" si="73"/>
        <v>MUSTELA (LABORATORY EXPANSCIENCE)</v>
      </c>
      <c r="T384" t="s">
        <v>317</v>
      </c>
      <c r="U384" t="str">
        <f t="shared" si="75"/>
        <v>BAGS</v>
      </c>
      <c r="V384" t="str">
        <f t="shared" si="76"/>
        <v>HYPOALLERGENIC</v>
      </c>
      <c r="W384" t="str">
        <f t="shared" si="77"/>
        <v>25</v>
      </c>
      <c r="X384" s="27">
        <f t="shared" si="78"/>
        <v>8.2699999999999996E-2</v>
      </c>
      <c r="Y384" s="27">
        <f t="shared" si="79"/>
        <v>4.5199999999999997E-2</v>
      </c>
      <c r="Z384" s="27">
        <f t="shared" si="80"/>
        <v>5.4999999999999997E-3</v>
      </c>
      <c r="AA384" s="27">
        <f t="shared" si="81"/>
        <v>0.35360000000000003</v>
      </c>
      <c r="AB384" s="27">
        <f t="shared" si="82"/>
        <v>0.2</v>
      </c>
      <c r="AC384" s="27">
        <f t="shared" si="83"/>
        <v>2.5000000000000001E-2</v>
      </c>
    </row>
    <row r="385" spans="1:29" ht="15" customHeight="1" x14ac:dyDescent="0.3">
      <c r="A385" s="22" t="s">
        <v>319</v>
      </c>
      <c r="B385" s="23" t="s">
        <v>8</v>
      </c>
      <c r="C385" s="23" t="s">
        <v>9</v>
      </c>
      <c r="D385" s="24" t="s">
        <v>69</v>
      </c>
      <c r="E385" s="24" t="s">
        <v>15</v>
      </c>
      <c r="F385" s="18">
        <v>10.297499999999999</v>
      </c>
      <c r="G385" s="19">
        <v>4.8240999999999996</v>
      </c>
      <c r="H385" s="20">
        <v>4.976</v>
      </c>
      <c r="I385" s="21">
        <v>49.665700000000001</v>
      </c>
      <c r="J385" s="20">
        <v>27.7622</v>
      </c>
      <c r="K385" s="20">
        <v>22.308599999999998</v>
      </c>
      <c r="M385" t="str">
        <f t="shared" si="70"/>
        <v>MUSTELA BEBE CLEANSING 25 W NP KAPAK</v>
      </c>
      <c r="N385" s="29" t="str">
        <f t="shared" si="71"/>
        <v xml:space="preserve"> LabExpand</v>
      </c>
      <c r="O385" t="str">
        <f t="shared" si="72"/>
        <v>MUSTELA (LABORATORY EXPANSCIENCE)</v>
      </c>
      <c r="P385" t="str">
        <f t="shared" si="74"/>
        <v xml:space="preserve"> LabExpand</v>
      </c>
      <c r="R385" t="str">
        <f t="shared" si="73"/>
        <v>MUSTELA (LABORATORY EXPANSCIENCE)</v>
      </c>
      <c r="T385" t="s">
        <v>318</v>
      </c>
      <c r="U385" t="str">
        <f t="shared" si="75"/>
        <v>BAGS</v>
      </c>
      <c r="V385" t="str">
        <f t="shared" si="76"/>
        <v>HYPOALLERGENIC</v>
      </c>
      <c r="W385" t="str">
        <f t="shared" si="77"/>
        <v>25</v>
      </c>
      <c r="X385" s="27">
        <f t="shared" si="78"/>
        <v>2.0510000000000002</v>
      </c>
      <c r="Y385" s="27">
        <f t="shared" si="79"/>
        <v>2.5941999999999998</v>
      </c>
      <c r="Z385" s="27">
        <f t="shared" si="80"/>
        <v>0.76219999999999999</v>
      </c>
      <c r="AA385" s="27">
        <f t="shared" si="81"/>
        <v>8.6088000000000005</v>
      </c>
      <c r="AB385" s="27">
        <f t="shared" si="82"/>
        <v>11.446400000000001</v>
      </c>
      <c r="AC385" s="27">
        <f t="shared" si="83"/>
        <v>3.6349999999999998</v>
      </c>
    </row>
    <row r="386" spans="1:29" ht="15" customHeight="1" x14ac:dyDescent="0.3">
      <c r="A386" s="22" t="s">
        <v>320</v>
      </c>
      <c r="B386" s="23" t="s">
        <v>8</v>
      </c>
      <c r="C386" s="23" t="s">
        <v>9</v>
      </c>
      <c r="D386" s="24" t="s">
        <v>69</v>
      </c>
      <c r="E386" s="24" t="s">
        <v>15</v>
      </c>
      <c r="F386" s="18">
        <v>0.2089</v>
      </c>
      <c r="G386" s="19"/>
      <c r="H386" s="20"/>
      <c r="I386" s="21">
        <v>1.25</v>
      </c>
      <c r="J386" s="20"/>
      <c r="K386" s="20"/>
      <c r="M386" t="str">
        <f t="shared" si="70"/>
        <v>MUSTELA BEBE STELATOPIA W 50 BAG KAPAK</v>
      </c>
      <c r="N386" s="29" t="str">
        <f t="shared" si="71"/>
        <v xml:space="preserve"> LabExpand</v>
      </c>
      <c r="O386" t="str">
        <f t="shared" si="72"/>
        <v>MUSTELA (LABORATORY EXPANSCIENCE)</v>
      </c>
      <c r="P386" t="str">
        <f t="shared" si="74"/>
        <v xml:space="preserve"> LabExpand</v>
      </c>
      <c r="R386" t="str">
        <f t="shared" si="73"/>
        <v>MUSTELA (LABORATORY EXPANSCIENCE)</v>
      </c>
      <c r="T386" t="s">
        <v>319</v>
      </c>
      <c r="U386" t="str">
        <f t="shared" si="75"/>
        <v>BAGS</v>
      </c>
      <c r="V386" t="str">
        <f t="shared" si="76"/>
        <v>HYPOALLERGENIC</v>
      </c>
      <c r="W386" t="str">
        <f t="shared" si="77"/>
        <v>50</v>
      </c>
      <c r="X386" s="27">
        <f t="shared" si="78"/>
        <v>10.297499999999999</v>
      </c>
      <c r="Y386" s="27">
        <f t="shared" si="79"/>
        <v>4.8240999999999996</v>
      </c>
      <c r="Z386" s="27">
        <f t="shared" si="80"/>
        <v>4.976</v>
      </c>
      <c r="AA386" s="27">
        <f t="shared" si="81"/>
        <v>49.665700000000001</v>
      </c>
      <c r="AB386" s="27">
        <f t="shared" si="82"/>
        <v>27.7622</v>
      </c>
      <c r="AC386" s="27">
        <f t="shared" si="83"/>
        <v>22.308599999999998</v>
      </c>
    </row>
    <row r="387" spans="1:29" ht="15" customHeight="1" x14ac:dyDescent="0.3">
      <c r="A387" s="22" t="s">
        <v>321</v>
      </c>
      <c r="B387" s="23" t="s">
        <v>8</v>
      </c>
      <c r="C387" s="23" t="s">
        <v>9</v>
      </c>
      <c r="D387" s="24" t="s">
        <v>10</v>
      </c>
      <c r="E387" s="24" t="s">
        <v>99</v>
      </c>
      <c r="F387" s="18"/>
      <c r="G387" s="19"/>
      <c r="H387" s="20">
        <v>0.18790000000000001</v>
      </c>
      <c r="I387" s="21"/>
      <c r="J387" s="20"/>
      <c r="K387" s="20">
        <v>1.0885</v>
      </c>
      <c r="M387" t="str">
        <f t="shared" si="70"/>
        <v>MUSTELABEBE STELATOPIAW50KAP+BOD+BOD+BOD</v>
      </c>
      <c r="N387" s="29" t="str">
        <f t="shared" si="71"/>
        <v xml:space="preserve"> LabExpand</v>
      </c>
      <c r="O387" t="str">
        <f t="shared" si="72"/>
        <v>MUSTELA (LABORATORY EXPANSCIENCE)</v>
      </c>
      <c r="P387" t="str">
        <f t="shared" si="74"/>
        <v xml:space="preserve"> LabExpand</v>
      </c>
      <c r="R387" t="str">
        <f t="shared" si="73"/>
        <v>MUSTELA (LABORATORY EXPANSCIENCE)</v>
      </c>
      <c r="T387" t="s">
        <v>320</v>
      </c>
      <c r="U387" t="str">
        <f t="shared" si="75"/>
        <v>BAGS</v>
      </c>
      <c r="V387" t="str">
        <f t="shared" si="76"/>
        <v>HYPOALLERGENIC</v>
      </c>
      <c r="W387" t="str">
        <f t="shared" si="77"/>
        <v>50</v>
      </c>
      <c r="X387" s="27">
        <f t="shared" si="78"/>
        <v>0.2089</v>
      </c>
      <c r="Y387" s="27">
        <f t="shared" si="79"/>
        <v>0</v>
      </c>
      <c r="Z387" s="27">
        <f t="shared" si="80"/>
        <v>0</v>
      </c>
      <c r="AA387" s="27">
        <f t="shared" si="81"/>
        <v>1.25</v>
      </c>
      <c r="AB387" s="27">
        <f t="shared" si="82"/>
        <v>0</v>
      </c>
      <c r="AC387" s="27">
        <f t="shared" si="83"/>
        <v>0</v>
      </c>
    </row>
    <row r="388" spans="1:29" ht="15" customHeight="1" x14ac:dyDescent="0.3">
      <c r="A388" s="22" t="s">
        <v>322</v>
      </c>
      <c r="B388" s="23" t="s">
        <v>8</v>
      </c>
      <c r="C388" s="23" t="s">
        <v>9</v>
      </c>
      <c r="D388" s="24" t="s">
        <v>10</v>
      </c>
      <c r="E388" s="24" t="s">
        <v>103</v>
      </c>
      <c r="F388" s="18">
        <v>1.4366000000000001</v>
      </c>
      <c r="G388" s="19">
        <v>2.8525</v>
      </c>
      <c r="H388" s="20">
        <v>1.1071</v>
      </c>
      <c r="I388" s="21">
        <v>10.09</v>
      </c>
      <c r="J388" s="20">
        <v>20.329999999999998</v>
      </c>
      <c r="K388" s="20">
        <v>7.64</v>
      </c>
      <c r="M388" t="str">
        <f t="shared" si="70"/>
        <v>MUSTELA BEBE CLEANSING 60 W BAG</v>
      </c>
      <c r="N388" s="29" t="str">
        <f t="shared" si="71"/>
        <v xml:space="preserve"> LabExpand</v>
      </c>
      <c r="O388" t="str">
        <f t="shared" si="72"/>
        <v>MUSTELA (LABORATORY EXPANSCIENCE)</v>
      </c>
      <c r="P388" t="str">
        <f t="shared" si="74"/>
        <v xml:space="preserve"> LabExpand</v>
      </c>
      <c r="R388" t="str">
        <f t="shared" si="73"/>
        <v>MUSTELA (LABORATORY EXPANSCIENCE)</v>
      </c>
      <c r="T388" t="s">
        <v>321</v>
      </c>
      <c r="U388" t="str">
        <f t="shared" si="75"/>
        <v>BAGS</v>
      </c>
      <c r="V388" t="str">
        <f t="shared" si="76"/>
        <v>WITHOUT EXTRA PROTECTCARE INDICATION</v>
      </c>
      <c r="W388" t="str">
        <f t="shared" si="77"/>
        <v>60</v>
      </c>
      <c r="X388" s="27">
        <f t="shared" si="78"/>
        <v>0</v>
      </c>
      <c r="Y388" s="27">
        <f t="shared" si="79"/>
        <v>0</v>
      </c>
      <c r="Z388" s="27">
        <f t="shared" si="80"/>
        <v>0.18790000000000001</v>
      </c>
      <c r="AA388" s="27">
        <f t="shared" si="81"/>
        <v>0</v>
      </c>
      <c r="AB388" s="27">
        <f t="shared" si="82"/>
        <v>0</v>
      </c>
      <c r="AC388" s="27">
        <f t="shared" si="83"/>
        <v>1.0885</v>
      </c>
    </row>
    <row r="389" spans="1:29" ht="15" customHeight="1" x14ac:dyDescent="0.3">
      <c r="A389" s="22" t="s">
        <v>323</v>
      </c>
      <c r="B389" s="23" t="s">
        <v>8</v>
      </c>
      <c r="C389" s="23" t="s">
        <v>9</v>
      </c>
      <c r="D389" s="24" t="s">
        <v>69</v>
      </c>
      <c r="E389" s="24" t="s">
        <v>103</v>
      </c>
      <c r="F389" s="18">
        <v>6.5038999999999998</v>
      </c>
      <c r="G389" s="19">
        <v>6.5046999999999997</v>
      </c>
      <c r="H389" s="20">
        <v>1.2238</v>
      </c>
      <c r="I389" s="21">
        <v>46.08</v>
      </c>
      <c r="J389" s="20">
        <v>47.101700000000001</v>
      </c>
      <c r="K389" s="20">
        <v>9.65</v>
      </c>
      <c r="M389" t="str">
        <f t="shared" ref="M389:M452" si="84">IF(B388="ITEM",A388,"")</f>
        <v>MUSTELA BEBE CLEANSING AVOCADO 70 W BAG</v>
      </c>
      <c r="N389" s="29" t="str">
        <f t="shared" si="71"/>
        <v xml:space="preserve"> LabExpand</v>
      </c>
      <c r="O389" t="str">
        <f t="shared" si="72"/>
        <v>MUSTELA (LABORATORY EXPANSCIENCE)</v>
      </c>
      <c r="P389" t="str">
        <f t="shared" si="74"/>
        <v xml:space="preserve"> LabExpand</v>
      </c>
      <c r="R389" t="str">
        <f t="shared" si="73"/>
        <v>MUSTELA (LABORATORY EXPANSCIENCE)</v>
      </c>
      <c r="T389" t="s">
        <v>322</v>
      </c>
      <c r="U389" t="str">
        <f t="shared" si="75"/>
        <v>BAGS</v>
      </c>
      <c r="V389" t="str">
        <f t="shared" si="76"/>
        <v>WITHOUT EXTRA PROTECTCARE INDICATION</v>
      </c>
      <c r="W389" t="str">
        <f t="shared" si="77"/>
        <v>70</v>
      </c>
      <c r="X389" s="27">
        <f t="shared" si="78"/>
        <v>1.4366000000000001</v>
      </c>
      <c r="Y389" s="27">
        <f t="shared" si="79"/>
        <v>2.8525</v>
      </c>
      <c r="Z389" s="27">
        <f t="shared" si="80"/>
        <v>1.1071</v>
      </c>
      <c r="AA389" s="27">
        <f t="shared" si="81"/>
        <v>10.09</v>
      </c>
      <c r="AB389" s="27">
        <f t="shared" si="82"/>
        <v>20.329999999999998</v>
      </c>
      <c r="AC389" s="27">
        <f t="shared" si="83"/>
        <v>7.64</v>
      </c>
    </row>
    <row r="390" spans="1:29" ht="15" customHeight="1" x14ac:dyDescent="0.3">
      <c r="A390" s="22" t="s">
        <v>324</v>
      </c>
      <c r="B390" s="23" t="s">
        <v>8</v>
      </c>
      <c r="C390" s="23" t="s">
        <v>9</v>
      </c>
      <c r="D390" s="24" t="s">
        <v>30</v>
      </c>
      <c r="E390" s="24" t="s">
        <v>103</v>
      </c>
      <c r="F390" s="18"/>
      <c r="G390" s="19">
        <v>6.5199999999999994E-2</v>
      </c>
      <c r="H390" s="20"/>
      <c r="I390" s="21"/>
      <c r="J390" s="20">
        <v>0.35370000000000001</v>
      </c>
      <c r="K390" s="20"/>
      <c r="M390" t="str">
        <f t="shared" si="84"/>
        <v>MUSTELA BEBE CLEANSING W 70 BAG KAPAK</v>
      </c>
      <c r="N390" s="29" t="str">
        <f t="shared" si="71"/>
        <v xml:space="preserve"> LabExpand</v>
      </c>
      <c r="O390" t="str">
        <f t="shared" si="72"/>
        <v>MUSTELA (LABORATORY EXPANSCIENCE)</v>
      </c>
      <c r="P390" t="str">
        <f t="shared" si="74"/>
        <v xml:space="preserve"> LabExpand</v>
      </c>
      <c r="R390" t="str">
        <f t="shared" si="73"/>
        <v>MUSTELA (LABORATORY EXPANSCIENCE)</v>
      </c>
      <c r="T390" t="s">
        <v>323</v>
      </c>
      <c r="U390" t="str">
        <f t="shared" si="75"/>
        <v>BAGS</v>
      </c>
      <c r="V390" t="str">
        <f t="shared" si="76"/>
        <v>HYPOALLERGENIC</v>
      </c>
      <c r="W390" t="str">
        <f t="shared" si="77"/>
        <v>70</v>
      </c>
      <c r="X390" s="27">
        <f t="shared" si="78"/>
        <v>6.5038999999999998</v>
      </c>
      <c r="Y390" s="27">
        <f t="shared" si="79"/>
        <v>6.5046999999999997</v>
      </c>
      <c r="Z390" s="27">
        <f t="shared" si="80"/>
        <v>1.2238</v>
      </c>
      <c r="AA390" s="27">
        <f t="shared" si="81"/>
        <v>46.08</v>
      </c>
      <c r="AB390" s="27">
        <f t="shared" si="82"/>
        <v>47.101700000000001</v>
      </c>
      <c r="AC390" s="27">
        <f t="shared" si="83"/>
        <v>9.65</v>
      </c>
    </row>
    <row r="391" spans="1:29" ht="14.25" customHeight="1" x14ac:dyDescent="0.3">
      <c r="A391" s="25" t="s">
        <v>766</v>
      </c>
      <c r="B391" s="4" t="s">
        <v>5</v>
      </c>
      <c r="C391" s="4"/>
      <c r="D391" s="5"/>
      <c r="E391" s="5"/>
      <c r="F391" s="10">
        <v>7.0000000000000001E-3</v>
      </c>
      <c r="G391" s="11"/>
      <c r="H391" s="12"/>
      <c r="I391" s="13">
        <v>0.08</v>
      </c>
      <c r="J391" s="12"/>
      <c r="K391" s="12"/>
      <c r="M391" t="str">
        <f t="shared" si="84"/>
        <v>MUSTELA BEBE SOOTHING ALOE VERA 70 W BAG</v>
      </c>
      <c r="N391" s="29" t="str">
        <f t="shared" ref="N391:N454" si="85">IF(B388="MANUFACTURER",A388,N390)</f>
        <v xml:space="preserve"> LabExpand</v>
      </c>
      <c r="O391" t="str">
        <f t="shared" ref="O391:O454" si="86">IF(B389="BRAND",A389,O390)</f>
        <v>MUSTELA (LABORATORY EXPANSCIENCE)</v>
      </c>
      <c r="P391" t="str">
        <f t="shared" si="74"/>
        <v xml:space="preserve"> LabExpand</v>
      </c>
      <c r="R391" t="str">
        <f t="shared" ref="R391:R454" si="87">IF(B390="ITEM",O391,"")</f>
        <v>MUSTELA (LABORATORY EXPANSCIENCE)</v>
      </c>
      <c r="T391" t="s">
        <v>324</v>
      </c>
      <c r="U391" t="str">
        <f t="shared" si="75"/>
        <v>BAGS</v>
      </c>
      <c r="V391" t="str">
        <f t="shared" si="76"/>
        <v>ALCOHOL FREE</v>
      </c>
      <c r="W391" t="str">
        <f t="shared" si="77"/>
        <v>70</v>
      </c>
      <c r="X391" s="27">
        <f t="shared" si="78"/>
        <v>0</v>
      </c>
      <c r="Y391" s="27">
        <f t="shared" si="79"/>
        <v>6.5199999999999994E-2</v>
      </c>
      <c r="Z391" s="27">
        <f t="shared" si="80"/>
        <v>0</v>
      </c>
      <c r="AA391" s="27">
        <f t="shared" si="81"/>
        <v>0</v>
      </c>
      <c r="AB391" s="27">
        <f t="shared" si="82"/>
        <v>0.35370000000000001</v>
      </c>
      <c r="AC391" s="27">
        <f t="shared" si="83"/>
        <v>0</v>
      </c>
    </row>
    <row r="392" spans="1:29" ht="15" customHeight="1" x14ac:dyDescent="0.3">
      <c r="A392" s="14" t="s">
        <v>325</v>
      </c>
      <c r="B392" s="15" t="s">
        <v>6</v>
      </c>
      <c r="C392" s="16"/>
      <c r="D392" s="17"/>
      <c r="E392" s="17"/>
      <c r="F392" s="18">
        <v>7.0000000000000001E-3</v>
      </c>
      <c r="G392" s="19"/>
      <c r="H392" s="20"/>
      <c r="I392" s="21">
        <v>0.08</v>
      </c>
      <c r="J392" s="20"/>
      <c r="K392" s="20"/>
      <c r="M392" t="str">
        <f t="shared" si="84"/>
        <v/>
      </c>
      <c r="N392" s="29" t="str">
        <f t="shared" si="85"/>
        <v xml:space="preserve"> LabExpand</v>
      </c>
      <c r="O392" t="str">
        <f t="shared" si="86"/>
        <v>MUSTELA (LABORATORY EXPANSCIENCE)</v>
      </c>
      <c r="P392" t="str">
        <f t="shared" ref="P392:P455" si="88">IF(B391="ITEM",N392,"")</f>
        <v/>
      </c>
      <c r="R392" t="str">
        <f t="shared" si="87"/>
        <v/>
      </c>
      <c r="T392" t="s">
        <v>871</v>
      </c>
      <c r="U392" t="str">
        <f t="shared" ref="U392:U455" si="89">IF(B391="ITEM",C391,"")</f>
        <v/>
      </c>
      <c r="V392" t="str">
        <f t="shared" ref="V392:V455" si="90">IF(B391="ITEM",D391,"")</f>
        <v/>
      </c>
      <c r="W392" t="str">
        <f t="shared" ref="W392:W455" si="91">IF(B391="ITEM",E391,"")</f>
        <v/>
      </c>
      <c r="X392" s="27" t="str">
        <f t="shared" ref="X392:X455" si="92">IF(B391 = "ITEM",F391,"")</f>
        <v/>
      </c>
      <c r="Y392" s="27" t="str">
        <f t="shared" ref="Y392:Y455" si="93">IF(B391="ITEM",G391,"")</f>
        <v/>
      </c>
      <c r="Z392" s="27" t="str">
        <f t="shared" ref="Z392:Z455" si="94">IF(B391="ITEM",H391,"")</f>
        <v/>
      </c>
      <c r="AA392" s="27" t="str">
        <f t="shared" ref="AA392:AA455" si="95">IF(B391="ITEM",I391,"")</f>
        <v/>
      </c>
      <c r="AB392" s="27" t="str">
        <f t="shared" ref="AB392:AB455" si="96">IF(B391="ITEM",J391,"")</f>
        <v/>
      </c>
      <c r="AC392" s="27" t="str">
        <f t="shared" ref="AC392:AC455" si="97">IF(B391="ITEM",K391,"")</f>
        <v/>
      </c>
    </row>
    <row r="393" spans="1:29" ht="15" customHeight="1" x14ac:dyDescent="0.3">
      <c r="A393" s="22" t="s">
        <v>326</v>
      </c>
      <c r="B393" s="23" t="s">
        <v>8</v>
      </c>
      <c r="C393" s="23" t="s">
        <v>9</v>
      </c>
      <c r="D393" s="24" t="s">
        <v>30</v>
      </c>
      <c r="E393" s="24" t="s">
        <v>17</v>
      </c>
      <c r="F393" s="18">
        <v>7.0000000000000001E-3</v>
      </c>
      <c r="G393" s="19"/>
      <c r="H393" s="20"/>
      <c r="I393" s="21">
        <v>0.08</v>
      </c>
      <c r="J393" s="20"/>
      <c r="K393" s="20"/>
      <c r="M393" t="str">
        <f t="shared" si="84"/>
        <v/>
      </c>
      <c r="N393" s="29" t="str">
        <f t="shared" si="85"/>
        <v xml:space="preserve"> LabExpand</v>
      </c>
      <c r="O393" t="str">
        <f t="shared" si="86"/>
        <v>MUSTELA (LABORATORY EXPANSCIENCE)</v>
      </c>
      <c r="P393" t="str">
        <f t="shared" si="88"/>
        <v/>
      </c>
      <c r="R393" t="str">
        <f t="shared" si="87"/>
        <v/>
      </c>
      <c r="T393" t="s">
        <v>871</v>
      </c>
      <c r="U393" t="str">
        <f t="shared" si="89"/>
        <v/>
      </c>
      <c r="V393" t="str">
        <f t="shared" si="90"/>
        <v/>
      </c>
      <c r="W393" t="str">
        <f t="shared" si="91"/>
        <v/>
      </c>
      <c r="X393" s="27" t="str">
        <f t="shared" si="92"/>
        <v/>
      </c>
      <c r="Y393" s="27" t="str">
        <f t="shared" si="93"/>
        <v/>
      </c>
      <c r="Z393" s="27" t="str">
        <f t="shared" si="94"/>
        <v/>
      </c>
      <c r="AA393" s="27" t="str">
        <f t="shared" si="95"/>
        <v/>
      </c>
      <c r="AB393" s="27" t="str">
        <f t="shared" si="96"/>
        <v/>
      </c>
      <c r="AC393" s="27" t="str">
        <f t="shared" si="97"/>
        <v/>
      </c>
    </row>
    <row r="394" spans="1:29" ht="14.25" customHeight="1" x14ac:dyDescent="0.3">
      <c r="A394" s="25" t="s">
        <v>767</v>
      </c>
      <c r="B394" s="4" t="s">
        <v>5</v>
      </c>
      <c r="C394" s="4"/>
      <c r="D394" s="5"/>
      <c r="E394" s="5"/>
      <c r="F394" s="10">
        <v>394.68380000000002</v>
      </c>
      <c r="G394" s="11">
        <v>409.49610000000001</v>
      </c>
      <c r="H394" s="12">
        <v>321.2638</v>
      </c>
      <c r="I394" s="13">
        <v>18974.913799999998</v>
      </c>
      <c r="J394" s="12">
        <v>19732.122100000001</v>
      </c>
      <c r="K394" s="12">
        <v>15809.1695</v>
      </c>
      <c r="M394" t="str">
        <f t="shared" si="84"/>
        <v>LANSINOH BABY ALC.FREE W 80 BAG KAPAK</v>
      </c>
      <c r="N394" s="29" t="str">
        <f t="shared" si="85"/>
        <v xml:space="preserve"> LansinLab Inc</v>
      </c>
      <c r="O394" t="str">
        <f t="shared" si="86"/>
        <v>LANSINOH (LANSINOH LABORATORIE INC)</v>
      </c>
      <c r="P394" t="str">
        <f t="shared" si="88"/>
        <v xml:space="preserve"> LansinLab Inc</v>
      </c>
      <c r="R394" t="str">
        <f t="shared" si="87"/>
        <v>LANSINOH (LANSINOH LABORATORIE INC)</v>
      </c>
      <c r="T394" t="s">
        <v>326</v>
      </c>
      <c r="U394" t="str">
        <f t="shared" si="89"/>
        <v>BAGS</v>
      </c>
      <c r="V394" t="str">
        <f t="shared" si="90"/>
        <v>ALCOHOL FREE</v>
      </c>
      <c r="W394" t="str">
        <f t="shared" si="91"/>
        <v>80</v>
      </c>
      <c r="X394" s="27">
        <f t="shared" si="92"/>
        <v>7.0000000000000001E-3</v>
      </c>
      <c r="Y394" s="27">
        <f t="shared" si="93"/>
        <v>0</v>
      </c>
      <c r="Z394" s="27">
        <f t="shared" si="94"/>
        <v>0</v>
      </c>
      <c r="AA394" s="27">
        <f t="shared" si="95"/>
        <v>0.08</v>
      </c>
      <c r="AB394" s="27">
        <f t="shared" si="96"/>
        <v>0</v>
      </c>
      <c r="AC394" s="27">
        <f t="shared" si="97"/>
        <v>0</v>
      </c>
    </row>
    <row r="395" spans="1:29" ht="15" customHeight="1" x14ac:dyDescent="0.3">
      <c r="A395" s="14" t="s">
        <v>327</v>
      </c>
      <c r="B395" s="15" t="s">
        <v>6</v>
      </c>
      <c r="C395" s="16"/>
      <c r="D395" s="17"/>
      <c r="E395" s="17"/>
      <c r="F395" s="18">
        <v>394.4622</v>
      </c>
      <c r="G395" s="19">
        <v>406.93380000000002</v>
      </c>
      <c r="H395" s="20">
        <v>320.21539999999999</v>
      </c>
      <c r="I395" s="21">
        <v>18966.535500000002</v>
      </c>
      <c r="J395" s="20">
        <v>19594.108899999999</v>
      </c>
      <c r="K395" s="20">
        <v>15751.087</v>
      </c>
      <c r="M395" t="str">
        <f t="shared" si="84"/>
        <v/>
      </c>
      <c r="N395" s="29" t="str">
        <f t="shared" si="85"/>
        <v xml:space="preserve"> LansinLab Inc</v>
      </c>
      <c r="O395" t="str">
        <f t="shared" si="86"/>
        <v>LANSINOH (LANSINOH LABORATORIE INC)</v>
      </c>
      <c r="P395" t="str">
        <f t="shared" si="88"/>
        <v/>
      </c>
      <c r="R395" t="str">
        <f t="shared" si="87"/>
        <v/>
      </c>
      <c r="T395" t="s">
        <v>871</v>
      </c>
      <c r="U395" t="str">
        <f t="shared" si="89"/>
        <v/>
      </c>
      <c r="V395" t="str">
        <f t="shared" si="90"/>
        <v/>
      </c>
      <c r="W395" t="str">
        <f t="shared" si="91"/>
        <v/>
      </c>
      <c r="X395" s="27" t="str">
        <f t="shared" si="92"/>
        <v/>
      </c>
      <c r="Y395" s="27" t="str">
        <f t="shared" si="93"/>
        <v/>
      </c>
      <c r="Z395" s="27" t="str">
        <f t="shared" si="94"/>
        <v/>
      </c>
      <c r="AA395" s="27" t="str">
        <f t="shared" si="95"/>
        <v/>
      </c>
      <c r="AB395" s="27" t="str">
        <f t="shared" si="96"/>
        <v/>
      </c>
      <c r="AC395" s="27" t="str">
        <f t="shared" si="97"/>
        <v/>
      </c>
    </row>
    <row r="396" spans="1:29" ht="15" customHeight="1" x14ac:dyDescent="0.3">
      <c r="A396" s="22" t="s">
        <v>328</v>
      </c>
      <c r="B396" s="23" t="s">
        <v>8</v>
      </c>
      <c r="C396" s="23" t="s">
        <v>9</v>
      </c>
      <c r="D396" s="24" t="s">
        <v>30</v>
      </c>
      <c r="E396" s="24" t="s">
        <v>21</v>
      </c>
      <c r="F396" s="18"/>
      <c r="G396" s="19"/>
      <c r="H396" s="20">
        <v>0.80289999999999995</v>
      </c>
      <c r="I396" s="21"/>
      <c r="J396" s="20"/>
      <c r="K396" s="20">
        <v>36.833599999999997</v>
      </c>
      <c r="M396" t="str">
        <f t="shared" si="84"/>
        <v/>
      </c>
      <c r="N396" s="29" t="str">
        <f t="shared" si="85"/>
        <v xml:space="preserve"> LansinLab Inc</v>
      </c>
      <c r="O396" t="str">
        <f t="shared" si="86"/>
        <v>LANSINOH (LANSINOH LABORATORIE INC)</v>
      </c>
      <c r="P396" t="str">
        <f t="shared" si="88"/>
        <v/>
      </c>
      <c r="R396" t="str">
        <f t="shared" si="87"/>
        <v/>
      </c>
      <c r="T396" t="s">
        <v>871</v>
      </c>
      <c r="U396" t="str">
        <f t="shared" si="89"/>
        <v/>
      </c>
      <c r="V396" t="str">
        <f t="shared" si="90"/>
        <v/>
      </c>
      <c r="W396" t="str">
        <f t="shared" si="91"/>
        <v/>
      </c>
      <c r="X396" s="27" t="str">
        <f t="shared" si="92"/>
        <v/>
      </c>
      <c r="Y396" s="27" t="str">
        <f t="shared" si="93"/>
        <v/>
      </c>
      <c r="Z396" s="27" t="str">
        <f t="shared" si="94"/>
        <v/>
      </c>
      <c r="AA396" s="27" t="str">
        <f t="shared" si="95"/>
        <v/>
      </c>
      <c r="AB396" s="27" t="str">
        <f t="shared" si="96"/>
        <v/>
      </c>
      <c r="AC396" s="27" t="str">
        <f t="shared" si="97"/>
        <v/>
      </c>
    </row>
    <row r="397" spans="1:29" ht="15" customHeight="1" x14ac:dyDescent="0.3">
      <c r="A397" s="22" t="s">
        <v>329</v>
      </c>
      <c r="B397" s="23" t="s">
        <v>8</v>
      </c>
      <c r="C397" s="23" t="s">
        <v>9</v>
      </c>
      <c r="D397" s="24" t="s">
        <v>20</v>
      </c>
      <c r="E397" s="24" t="s">
        <v>21</v>
      </c>
      <c r="F397" s="18">
        <v>9.9892000000000003</v>
      </c>
      <c r="G397" s="19">
        <v>8.1153999999999993</v>
      </c>
      <c r="H397" s="20">
        <v>3.5836999999999999</v>
      </c>
      <c r="I397" s="21">
        <v>492.51530000000002</v>
      </c>
      <c r="J397" s="20">
        <v>366.96510000000001</v>
      </c>
      <c r="K397" s="20">
        <v>145.6557</v>
      </c>
      <c r="M397" t="str">
        <f t="shared" si="84"/>
        <v>LARA BABY SOFT ALOE VERA W 100 BAG KAPAK</v>
      </c>
      <c r="N397" s="29" t="str">
        <f t="shared" si="85"/>
        <v xml:space="preserve"> Lara Beauty</v>
      </c>
      <c r="O397" t="str">
        <f t="shared" si="86"/>
        <v>LARA (LARA KOZMETIK)</v>
      </c>
      <c r="P397" t="str">
        <f t="shared" si="88"/>
        <v xml:space="preserve"> Lara Beauty</v>
      </c>
      <c r="R397" t="str">
        <f t="shared" si="87"/>
        <v>LARA (LARA KOZMETIK)</v>
      </c>
      <c r="T397" t="s">
        <v>328</v>
      </c>
      <c r="U397" t="str">
        <f t="shared" si="89"/>
        <v>BAGS</v>
      </c>
      <c r="V397" t="str">
        <f t="shared" si="90"/>
        <v>ALCOHOL FREE</v>
      </c>
      <c r="W397" t="str">
        <f t="shared" si="91"/>
        <v>100</v>
      </c>
      <c r="X397" s="27">
        <f t="shared" si="92"/>
        <v>0</v>
      </c>
      <c r="Y397" s="27">
        <f t="shared" si="93"/>
        <v>0</v>
      </c>
      <c r="Z397" s="27">
        <f t="shared" si="94"/>
        <v>0.80289999999999995</v>
      </c>
      <c r="AA397" s="27">
        <f t="shared" si="95"/>
        <v>0</v>
      </c>
      <c r="AB397" s="27">
        <f t="shared" si="96"/>
        <v>0</v>
      </c>
      <c r="AC397" s="27">
        <f t="shared" si="97"/>
        <v>36.833599999999997</v>
      </c>
    </row>
    <row r="398" spans="1:29" ht="15" customHeight="1" x14ac:dyDescent="0.3">
      <c r="A398" s="22" t="s">
        <v>330</v>
      </c>
      <c r="B398" s="23" t="s">
        <v>8</v>
      </c>
      <c r="C398" s="23" t="s">
        <v>9</v>
      </c>
      <c r="D398" s="24" t="s">
        <v>30</v>
      </c>
      <c r="E398" s="24" t="s">
        <v>21</v>
      </c>
      <c r="F398" s="18">
        <v>2.3199999999999998E-2</v>
      </c>
      <c r="G398" s="19">
        <v>2.375</v>
      </c>
      <c r="H398" s="20">
        <v>2.0299</v>
      </c>
      <c r="I398" s="21">
        <v>1.054</v>
      </c>
      <c r="J398" s="20">
        <v>113.97580000000001</v>
      </c>
      <c r="K398" s="20">
        <v>89.836200000000005</v>
      </c>
      <c r="M398" t="str">
        <f t="shared" si="84"/>
        <v>LARA BABY SOFT CAMOMILE W 100 BAG KAPAK</v>
      </c>
      <c r="N398" s="29" t="str">
        <f t="shared" si="85"/>
        <v xml:space="preserve"> Lara Beauty</v>
      </c>
      <c r="O398" t="str">
        <f t="shared" si="86"/>
        <v>LARA (LARA KOZMETIK)</v>
      </c>
      <c r="P398" t="str">
        <f t="shared" si="88"/>
        <v xml:space="preserve"> Lara Beauty</v>
      </c>
      <c r="R398" t="str">
        <f t="shared" si="87"/>
        <v>LARA (LARA KOZMETIK)</v>
      </c>
      <c r="T398" t="s">
        <v>329</v>
      </c>
      <c r="U398" t="str">
        <f t="shared" si="89"/>
        <v>BAGS</v>
      </c>
      <c r="V398" t="str">
        <f t="shared" si="90"/>
        <v>PH BALANCED</v>
      </c>
      <c r="W398" t="str">
        <f t="shared" si="91"/>
        <v>100</v>
      </c>
      <c r="X398" s="27">
        <f t="shared" si="92"/>
        <v>9.9892000000000003</v>
      </c>
      <c r="Y398" s="27">
        <f t="shared" si="93"/>
        <v>8.1153999999999993</v>
      </c>
      <c r="Z398" s="27">
        <f t="shared" si="94"/>
        <v>3.5836999999999999</v>
      </c>
      <c r="AA398" s="27">
        <f t="shared" si="95"/>
        <v>492.51530000000002</v>
      </c>
      <c r="AB398" s="27">
        <f t="shared" si="96"/>
        <v>366.96510000000001</v>
      </c>
      <c r="AC398" s="27">
        <f t="shared" si="97"/>
        <v>145.6557</v>
      </c>
    </row>
    <row r="399" spans="1:29" ht="15" customHeight="1" x14ac:dyDescent="0.3">
      <c r="A399" s="22" t="s">
        <v>331</v>
      </c>
      <c r="B399" s="23" t="s">
        <v>8</v>
      </c>
      <c r="C399" s="23" t="s">
        <v>9</v>
      </c>
      <c r="D399" s="24" t="s">
        <v>20</v>
      </c>
      <c r="E399" s="24" t="s">
        <v>21</v>
      </c>
      <c r="F399" s="18">
        <v>12.8912</v>
      </c>
      <c r="G399" s="19">
        <v>14.945399999999999</v>
      </c>
      <c r="H399" s="20">
        <v>2.4279000000000002</v>
      </c>
      <c r="I399" s="21">
        <v>607.44449999999995</v>
      </c>
      <c r="J399" s="20">
        <v>678.69550000000004</v>
      </c>
      <c r="K399" s="20">
        <v>103.8368</v>
      </c>
      <c r="M399" t="str">
        <f t="shared" si="84"/>
        <v>LARA BABY SOFT GERBERA DAISY W 100 BAG</v>
      </c>
      <c r="N399" s="29" t="str">
        <f t="shared" si="85"/>
        <v xml:space="preserve"> Lara Beauty</v>
      </c>
      <c r="O399" t="str">
        <f t="shared" si="86"/>
        <v>LARA (LARA KOZMETIK)</v>
      </c>
      <c r="P399" t="str">
        <f t="shared" si="88"/>
        <v xml:space="preserve"> Lara Beauty</v>
      </c>
      <c r="R399" t="str">
        <f t="shared" si="87"/>
        <v>LARA (LARA KOZMETIK)</v>
      </c>
      <c r="T399" t="s">
        <v>330</v>
      </c>
      <c r="U399" t="str">
        <f t="shared" si="89"/>
        <v>BAGS</v>
      </c>
      <c r="V399" t="str">
        <f t="shared" si="90"/>
        <v>ALCOHOL FREE</v>
      </c>
      <c r="W399" t="str">
        <f t="shared" si="91"/>
        <v>100</v>
      </c>
      <c r="X399" s="27">
        <f t="shared" si="92"/>
        <v>2.3199999999999998E-2</v>
      </c>
      <c r="Y399" s="27">
        <f t="shared" si="93"/>
        <v>2.375</v>
      </c>
      <c r="Z399" s="27">
        <f t="shared" si="94"/>
        <v>2.0299</v>
      </c>
      <c r="AA399" s="27">
        <f t="shared" si="95"/>
        <v>1.054</v>
      </c>
      <c r="AB399" s="27">
        <f t="shared" si="96"/>
        <v>113.97580000000001</v>
      </c>
      <c r="AC399" s="27">
        <f t="shared" si="97"/>
        <v>89.836200000000005</v>
      </c>
    </row>
    <row r="400" spans="1:29" ht="15" customHeight="1" x14ac:dyDescent="0.3">
      <c r="A400" s="22" t="s">
        <v>332</v>
      </c>
      <c r="B400" s="23" t="s">
        <v>8</v>
      </c>
      <c r="C400" s="23" t="s">
        <v>9</v>
      </c>
      <c r="D400" s="24" t="s">
        <v>10</v>
      </c>
      <c r="E400" s="24" t="s">
        <v>21</v>
      </c>
      <c r="F400" s="18"/>
      <c r="G400" s="19">
        <v>0.01</v>
      </c>
      <c r="H400" s="20">
        <v>1.5183</v>
      </c>
      <c r="I400" s="21"/>
      <c r="J400" s="20">
        <v>0.48130000000000001</v>
      </c>
      <c r="K400" s="20">
        <v>68.4452</v>
      </c>
      <c r="M400" t="str">
        <f t="shared" si="84"/>
        <v>LARA BABY SOFT LAVENDER W 100 BAG KAPAK</v>
      </c>
      <c r="N400" s="29" t="str">
        <f t="shared" si="85"/>
        <v xml:space="preserve"> Lara Beauty</v>
      </c>
      <c r="O400" t="str">
        <f t="shared" si="86"/>
        <v>LARA (LARA KOZMETIK)</v>
      </c>
      <c r="P400" t="str">
        <f t="shared" si="88"/>
        <v xml:space="preserve"> Lara Beauty</v>
      </c>
      <c r="R400" t="str">
        <f t="shared" si="87"/>
        <v>LARA (LARA KOZMETIK)</v>
      </c>
      <c r="T400" t="s">
        <v>331</v>
      </c>
      <c r="U400" t="str">
        <f t="shared" si="89"/>
        <v>BAGS</v>
      </c>
      <c r="V400" t="str">
        <f t="shared" si="90"/>
        <v>PH BALANCED</v>
      </c>
      <c r="W400" t="str">
        <f t="shared" si="91"/>
        <v>100</v>
      </c>
      <c r="X400" s="27">
        <f t="shared" si="92"/>
        <v>12.8912</v>
      </c>
      <c r="Y400" s="27">
        <f t="shared" si="93"/>
        <v>14.945399999999999</v>
      </c>
      <c r="Z400" s="27">
        <f t="shared" si="94"/>
        <v>2.4279000000000002</v>
      </c>
      <c r="AA400" s="27">
        <f t="shared" si="95"/>
        <v>607.44449999999995</v>
      </c>
      <c r="AB400" s="27">
        <f t="shared" si="96"/>
        <v>678.69550000000004</v>
      </c>
      <c r="AC400" s="27">
        <f t="shared" si="97"/>
        <v>103.8368</v>
      </c>
    </row>
    <row r="401" spans="1:29" ht="15" customHeight="1" x14ac:dyDescent="0.3">
      <c r="A401" s="22" t="s">
        <v>333</v>
      </c>
      <c r="B401" s="23" t="s">
        <v>8</v>
      </c>
      <c r="C401" s="23" t="s">
        <v>9</v>
      </c>
      <c r="D401" s="24" t="s">
        <v>30</v>
      </c>
      <c r="E401" s="24" t="s">
        <v>21</v>
      </c>
      <c r="F401" s="18">
        <v>32.355400000000003</v>
      </c>
      <c r="G401" s="19">
        <v>38.555399999999999</v>
      </c>
      <c r="H401" s="20">
        <v>28.667999999999999</v>
      </c>
      <c r="I401" s="21">
        <v>1339.7692</v>
      </c>
      <c r="J401" s="20">
        <v>1517.8848</v>
      </c>
      <c r="K401" s="20">
        <v>1147.3356000000001</v>
      </c>
      <c r="M401" t="str">
        <f t="shared" si="84"/>
        <v>LARA BABY SOFT WILD ROSE W 100 BAG KAPAK</v>
      </c>
      <c r="N401" s="29" t="str">
        <f t="shared" si="85"/>
        <v xml:space="preserve"> Lara Beauty</v>
      </c>
      <c r="O401" t="str">
        <f t="shared" si="86"/>
        <v>LARA (LARA KOZMETIK)</v>
      </c>
      <c r="P401" t="str">
        <f t="shared" si="88"/>
        <v xml:space="preserve"> Lara Beauty</v>
      </c>
      <c r="R401" t="str">
        <f t="shared" si="87"/>
        <v>LARA (LARA KOZMETIK)</v>
      </c>
      <c r="T401" t="s">
        <v>332</v>
      </c>
      <c r="U401" t="str">
        <f t="shared" si="89"/>
        <v>BAGS</v>
      </c>
      <c r="V401" t="str">
        <f t="shared" si="90"/>
        <v>WITHOUT EXTRA PROTECTCARE INDICATION</v>
      </c>
      <c r="W401" t="str">
        <f t="shared" si="91"/>
        <v>100</v>
      </c>
      <c r="X401" s="27">
        <f t="shared" si="92"/>
        <v>0</v>
      </c>
      <c r="Y401" s="27">
        <f t="shared" si="93"/>
        <v>0.01</v>
      </c>
      <c r="Z401" s="27">
        <f t="shared" si="94"/>
        <v>1.5183</v>
      </c>
      <c r="AA401" s="27">
        <f t="shared" si="95"/>
        <v>0</v>
      </c>
      <c r="AB401" s="27">
        <f t="shared" si="96"/>
        <v>0.48130000000000001</v>
      </c>
      <c r="AC401" s="27">
        <f t="shared" si="97"/>
        <v>68.4452</v>
      </c>
    </row>
    <row r="402" spans="1:29" ht="15" customHeight="1" x14ac:dyDescent="0.3">
      <c r="A402" s="22" t="s">
        <v>334</v>
      </c>
      <c r="B402" s="23" t="s">
        <v>8</v>
      </c>
      <c r="C402" s="23" t="s">
        <v>9</v>
      </c>
      <c r="D402" s="24" t="s">
        <v>20</v>
      </c>
      <c r="E402" s="24" t="s">
        <v>24</v>
      </c>
      <c r="F402" s="18">
        <v>39.0503</v>
      </c>
      <c r="G402" s="19">
        <v>53.6008</v>
      </c>
      <c r="H402" s="20">
        <v>45.671900000000001</v>
      </c>
      <c r="I402" s="21">
        <v>2028.7261000000001</v>
      </c>
      <c r="J402" s="20">
        <v>2727.4971999999998</v>
      </c>
      <c r="K402" s="20">
        <v>2409.5587999999998</v>
      </c>
      <c r="M402" t="str">
        <f t="shared" si="84"/>
        <v>LARA BABYSOFT LEMON&amp;GRAPEFRUIT W 100 BAG</v>
      </c>
      <c r="N402" s="29" t="str">
        <f t="shared" si="85"/>
        <v xml:space="preserve"> Lara Beauty</v>
      </c>
      <c r="O402" t="str">
        <f t="shared" si="86"/>
        <v>LARA (LARA KOZMETIK)</v>
      </c>
      <c r="P402" t="str">
        <f t="shared" si="88"/>
        <v xml:space="preserve"> Lara Beauty</v>
      </c>
      <c r="R402" t="str">
        <f t="shared" si="87"/>
        <v>LARA (LARA KOZMETIK)</v>
      </c>
      <c r="T402" t="s">
        <v>333</v>
      </c>
      <c r="U402" t="str">
        <f t="shared" si="89"/>
        <v>BAGS</v>
      </c>
      <c r="V402" t="str">
        <f t="shared" si="90"/>
        <v>ALCOHOL FREE</v>
      </c>
      <c r="W402" t="str">
        <f t="shared" si="91"/>
        <v>100</v>
      </c>
      <c r="X402" s="27">
        <f t="shared" si="92"/>
        <v>32.355400000000003</v>
      </c>
      <c r="Y402" s="27">
        <f t="shared" si="93"/>
        <v>38.555399999999999</v>
      </c>
      <c r="Z402" s="27">
        <f t="shared" si="94"/>
        <v>28.667999999999999</v>
      </c>
      <c r="AA402" s="27">
        <f t="shared" si="95"/>
        <v>1339.7692</v>
      </c>
      <c r="AB402" s="27">
        <f t="shared" si="96"/>
        <v>1517.8848</v>
      </c>
      <c r="AC402" s="27">
        <f t="shared" si="97"/>
        <v>1147.3356000000001</v>
      </c>
    </row>
    <row r="403" spans="1:29" ht="15" customHeight="1" x14ac:dyDescent="0.3">
      <c r="A403" s="22" t="s">
        <v>335</v>
      </c>
      <c r="B403" s="23" t="s">
        <v>8</v>
      </c>
      <c r="C403" s="23" t="s">
        <v>9</v>
      </c>
      <c r="D403" s="24" t="s">
        <v>30</v>
      </c>
      <c r="E403" s="24" t="s">
        <v>24</v>
      </c>
      <c r="F403" s="18">
        <v>18.061</v>
      </c>
      <c r="G403" s="19">
        <v>20.3689</v>
      </c>
      <c r="H403" s="20">
        <v>25.3782</v>
      </c>
      <c r="I403" s="21">
        <v>997.27200000000005</v>
      </c>
      <c r="J403" s="20">
        <v>1129.9784999999999</v>
      </c>
      <c r="K403" s="20">
        <v>1401.0871999999999</v>
      </c>
      <c r="M403" t="str">
        <f t="shared" si="84"/>
        <v>LARA BABY SOFT ALOE VERA W 120 BAG KAPAK</v>
      </c>
      <c r="N403" s="29" t="str">
        <f t="shared" si="85"/>
        <v xml:space="preserve"> Lara Beauty</v>
      </c>
      <c r="O403" t="str">
        <f t="shared" si="86"/>
        <v>LARA (LARA KOZMETIK)</v>
      </c>
      <c r="P403" t="str">
        <f t="shared" si="88"/>
        <v xml:space="preserve"> Lara Beauty</v>
      </c>
      <c r="R403" t="str">
        <f t="shared" si="87"/>
        <v>LARA (LARA KOZMETIK)</v>
      </c>
      <c r="T403" t="s">
        <v>334</v>
      </c>
      <c r="U403" t="str">
        <f t="shared" si="89"/>
        <v>BAGS</v>
      </c>
      <c r="V403" t="str">
        <f t="shared" si="90"/>
        <v>PH BALANCED</v>
      </c>
      <c r="W403" t="str">
        <f t="shared" si="91"/>
        <v>120</v>
      </c>
      <c r="X403" s="27">
        <f t="shared" si="92"/>
        <v>39.0503</v>
      </c>
      <c r="Y403" s="27">
        <f t="shared" si="93"/>
        <v>53.6008</v>
      </c>
      <c r="Z403" s="27">
        <f t="shared" si="94"/>
        <v>45.671900000000001</v>
      </c>
      <c r="AA403" s="27">
        <f t="shared" si="95"/>
        <v>2028.7261000000001</v>
      </c>
      <c r="AB403" s="27">
        <f t="shared" si="96"/>
        <v>2727.4971999999998</v>
      </c>
      <c r="AC403" s="27">
        <f t="shared" si="97"/>
        <v>2409.5587999999998</v>
      </c>
    </row>
    <row r="404" spans="1:29" ht="15" customHeight="1" x14ac:dyDescent="0.3">
      <c r="A404" s="22" t="s">
        <v>336</v>
      </c>
      <c r="B404" s="23" t="s">
        <v>8</v>
      </c>
      <c r="C404" s="23" t="s">
        <v>9</v>
      </c>
      <c r="D404" s="24" t="s">
        <v>20</v>
      </c>
      <c r="E404" s="24" t="s">
        <v>24</v>
      </c>
      <c r="F404" s="18">
        <v>60.256900000000002</v>
      </c>
      <c r="G404" s="19">
        <v>59.171300000000002</v>
      </c>
      <c r="H404" s="20">
        <v>46.391500000000001</v>
      </c>
      <c r="I404" s="21">
        <v>3003.9076</v>
      </c>
      <c r="J404" s="20">
        <v>2862.6754999999998</v>
      </c>
      <c r="K404" s="20">
        <v>2309.9086000000002</v>
      </c>
      <c r="M404" t="str">
        <f t="shared" si="84"/>
        <v>LARA BABY SOFT CAMOMILE BREEZE W 120 BAG</v>
      </c>
      <c r="N404" s="29" t="str">
        <f t="shared" si="85"/>
        <v xml:space="preserve"> Lara Beauty</v>
      </c>
      <c r="O404" t="str">
        <f t="shared" si="86"/>
        <v>LARA (LARA KOZMETIK)</v>
      </c>
      <c r="P404" t="str">
        <f t="shared" si="88"/>
        <v xml:space="preserve"> Lara Beauty</v>
      </c>
      <c r="R404" t="str">
        <f t="shared" si="87"/>
        <v>LARA (LARA KOZMETIK)</v>
      </c>
      <c r="T404" t="s">
        <v>335</v>
      </c>
      <c r="U404" t="str">
        <f t="shared" si="89"/>
        <v>BAGS</v>
      </c>
      <c r="V404" t="str">
        <f t="shared" si="90"/>
        <v>ALCOHOL FREE</v>
      </c>
      <c r="W404" t="str">
        <f t="shared" si="91"/>
        <v>120</v>
      </c>
      <c r="X404" s="27">
        <f t="shared" si="92"/>
        <v>18.061</v>
      </c>
      <c r="Y404" s="27">
        <f t="shared" si="93"/>
        <v>20.3689</v>
      </c>
      <c r="Z404" s="27">
        <f t="shared" si="94"/>
        <v>25.3782</v>
      </c>
      <c r="AA404" s="27">
        <f t="shared" si="95"/>
        <v>997.27200000000005</v>
      </c>
      <c r="AB404" s="27">
        <f t="shared" si="96"/>
        <v>1129.9784999999999</v>
      </c>
      <c r="AC404" s="27">
        <f t="shared" si="97"/>
        <v>1401.0871999999999</v>
      </c>
    </row>
    <row r="405" spans="1:29" ht="15" customHeight="1" x14ac:dyDescent="0.3">
      <c r="A405" s="22" t="s">
        <v>337</v>
      </c>
      <c r="B405" s="23" t="s">
        <v>8</v>
      </c>
      <c r="C405" s="23" t="s">
        <v>9</v>
      </c>
      <c r="D405" s="24" t="s">
        <v>20</v>
      </c>
      <c r="E405" s="24" t="s">
        <v>24</v>
      </c>
      <c r="F405" s="18">
        <v>20.0168</v>
      </c>
      <c r="G405" s="19">
        <v>19.4117</v>
      </c>
      <c r="H405" s="20">
        <v>16.676400000000001</v>
      </c>
      <c r="I405" s="21">
        <v>1086.6414</v>
      </c>
      <c r="J405" s="20">
        <v>1089.1328000000001</v>
      </c>
      <c r="K405" s="20">
        <v>913.75469999999996</v>
      </c>
      <c r="M405" t="str">
        <f t="shared" si="84"/>
        <v>LARA BABY SOFT CAMOMILE W 120 BAG KAPAK</v>
      </c>
      <c r="N405" s="29" t="str">
        <f t="shared" si="85"/>
        <v xml:space="preserve"> Lara Beauty</v>
      </c>
      <c r="O405" t="str">
        <f t="shared" si="86"/>
        <v>LARA (LARA KOZMETIK)</v>
      </c>
      <c r="P405" t="str">
        <f t="shared" si="88"/>
        <v xml:space="preserve"> Lara Beauty</v>
      </c>
      <c r="R405" t="str">
        <f t="shared" si="87"/>
        <v>LARA (LARA KOZMETIK)</v>
      </c>
      <c r="T405" t="s">
        <v>336</v>
      </c>
      <c r="U405" t="str">
        <f t="shared" si="89"/>
        <v>BAGS</v>
      </c>
      <c r="V405" t="str">
        <f t="shared" si="90"/>
        <v>PH BALANCED</v>
      </c>
      <c r="W405" t="str">
        <f t="shared" si="91"/>
        <v>120</v>
      </c>
      <c r="X405" s="27">
        <f t="shared" si="92"/>
        <v>60.256900000000002</v>
      </c>
      <c r="Y405" s="27">
        <f t="shared" si="93"/>
        <v>59.171300000000002</v>
      </c>
      <c r="Z405" s="27">
        <f t="shared" si="94"/>
        <v>46.391500000000001</v>
      </c>
      <c r="AA405" s="27">
        <f t="shared" si="95"/>
        <v>3003.9076</v>
      </c>
      <c r="AB405" s="27">
        <f t="shared" si="96"/>
        <v>2862.6754999999998</v>
      </c>
      <c r="AC405" s="27">
        <f t="shared" si="97"/>
        <v>2309.9086000000002</v>
      </c>
    </row>
    <row r="406" spans="1:29" ht="15" customHeight="1" x14ac:dyDescent="0.3">
      <c r="A406" s="22" t="s">
        <v>338</v>
      </c>
      <c r="B406" s="23" t="s">
        <v>8</v>
      </c>
      <c r="C406" s="23" t="s">
        <v>9</v>
      </c>
      <c r="D406" s="24" t="s">
        <v>20</v>
      </c>
      <c r="E406" s="24" t="s">
        <v>24</v>
      </c>
      <c r="F406" s="18">
        <v>15.4658</v>
      </c>
      <c r="G406" s="19">
        <v>23.898299999999999</v>
      </c>
      <c r="H406" s="20">
        <v>20.8841</v>
      </c>
      <c r="I406" s="21">
        <v>835.59469999999999</v>
      </c>
      <c r="J406" s="20">
        <v>1304.8905999999999</v>
      </c>
      <c r="K406" s="20">
        <v>1122.8086000000001</v>
      </c>
      <c r="M406" t="str">
        <f t="shared" si="84"/>
        <v>LARA BABY SOFT GERBER W 120 BAG KAPAK</v>
      </c>
      <c r="N406" s="29" t="str">
        <f t="shared" si="85"/>
        <v xml:space="preserve"> Lara Beauty</v>
      </c>
      <c r="O406" t="str">
        <f t="shared" si="86"/>
        <v>LARA (LARA KOZMETIK)</v>
      </c>
      <c r="P406" t="str">
        <f t="shared" si="88"/>
        <v xml:space="preserve"> Lara Beauty</v>
      </c>
      <c r="R406" t="str">
        <f t="shared" si="87"/>
        <v>LARA (LARA KOZMETIK)</v>
      </c>
      <c r="T406" t="s">
        <v>337</v>
      </c>
      <c r="U406" t="str">
        <f t="shared" si="89"/>
        <v>BAGS</v>
      </c>
      <c r="V406" t="str">
        <f t="shared" si="90"/>
        <v>PH BALANCED</v>
      </c>
      <c r="W406" t="str">
        <f t="shared" si="91"/>
        <v>120</v>
      </c>
      <c r="X406" s="27">
        <f t="shared" si="92"/>
        <v>20.0168</v>
      </c>
      <c r="Y406" s="27">
        <f t="shared" si="93"/>
        <v>19.4117</v>
      </c>
      <c r="Z406" s="27">
        <f t="shared" si="94"/>
        <v>16.676400000000001</v>
      </c>
      <c r="AA406" s="27">
        <f t="shared" si="95"/>
        <v>1086.6414</v>
      </c>
      <c r="AB406" s="27">
        <f t="shared" si="96"/>
        <v>1089.1328000000001</v>
      </c>
      <c r="AC406" s="27">
        <f t="shared" si="97"/>
        <v>913.75469999999996</v>
      </c>
    </row>
    <row r="407" spans="1:29" ht="15" customHeight="1" x14ac:dyDescent="0.3">
      <c r="A407" s="22" t="s">
        <v>339</v>
      </c>
      <c r="B407" s="23" t="s">
        <v>8</v>
      </c>
      <c r="C407" s="23" t="s">
        <v>9</v>
      </c>
      <c r="D407" s="24" t="s">
        <v>10</v>
      </c>
      <c r="E407" s="24" t="s">
        <v>24</v>
      </c>
      <c r="F407" s="18">
        <v>17.192699999999999</v>
      </c>
      <c r="G407" s="19">
        <v>14.837400000000001</v>
      </c>
      <c r="H407" s="20">
        <v>10.0755</v>
      </c>
      <c r="I407" s="21">
        <v>845.18690000000004</v>
      </c>
      <c r="J407" s="20">
        <v>818.97209999999995</v>
      </c>
      <c r="K407" s="20">
        <v>554.23329999999999</v>
      </c>
      <c r="M407" t="str">
        <f t="shared" si="84"/>
        <v>LARA BABY SOFT LAVENDER W 120 BAG KAPAK</v>
      </c>
      <c r="N407" s="29" t="str">
        <f t="shared" si="85"/>
        <v xml:space="preserve"> Lara Beauty</v>
      </c>
      <c r="O407" t="str">
        <f t="shared" si="86"/>
        <v>LARA (LARA KOZMETIK)</v>
      </c>
      <c r="P407" t="str">
        <f t="shared" si="88"/>
        <v xml:space="preserve"> Lara Beauty</v>
      </c>
      <c r="R407" t="str">
        <f t="shared" si="87"/>
        <v>LARA (LARA KOZMETIK)</v>
      </c>
      <c r="T407" t="s">
        <v>338</v>
      </c>
      <c r="U407" t="str">
        <f t="shared" si="89"/>
        <v>BAGS</v>
      </c>
      <c r="V407" t="str">
        <f t="shared" si="90"/>
        <v>PH BALANCED</v>
      </c>
      <c r="W407" t="str">
        <f t="shared" si="91"/>
        <v>120</v>
      </c>
      <c r="X407" s="27">
        <f t="shared" si="92"/>
        <v>15.4658</v>
      </c>
      <c r="Y407" s="27">
        <f t="shared" si="93"/>
        <v>23.898299999999999</v>
      </c>
      <c r="Z407" s="27">
        <f t="shared" si="94"/>
        <v>20.8841</v>
      </c>
      <c r="AA407" s="27">
        <f t="shared" si="95"/>
        <v>835.59469999999999</v>
      </c>
      <c r="AB407" s="27">
        <f t="shared" si="96"/>
        <v>1304.8905999999999</v>
      </c>
      <c r="AC407" s="27">
        <f t="shared" si="97"/>
        <v>1122.8086000000001</v>
      </c>
    </row>
    <row r="408" spans="1:29" ht="15" customHeight="1" x14ac:dyDescent="0.3">
      <c r="A408" s="22" t="s">
        <v>340</v>
      </c>
      <c r="B408" s="23" t="s">
        <v>8</v>
      </c>
      <c r="C408" s="23" t="s">
        <v>9</v>
      </c>
      <c r="D408" s="24" t="s">
        <v>30</v>
      </c>
      <c r="E408" s="24" t="s">
        <v>24</v>
      </c>
      <c r="F408" s="18">
        <v>12.4558</v>
      </c>
      <c r="G408" s="19">
        <v>19.5045</v>
      </c>
      <c r="H408" s="20">
        <v>19.680399999999999</v>
      </c>
      <c r="I408" s="21">
        <v>695.70420000000001</v>
      </c>
      <c r="J408" s="20">
        <v>1080.8305</v>
      </c>
      <c r="K408" s="20">
        <v>1068.2409</v>
      </c>
      <c r="M408" t="str">
        <f t="shared" si="84"/>
        <v>LARA BABY SOFT WILD ROSE W 120 BAG KAPAK</v>
      </c>
      <c r="N408" s="29" t="str">
        <f t="shared" si="85"/>
        <v xml:space="preserve"> Lara Beauty</v>
      </c>
      <c r="O408" t="str">
        <f t="shared" si="86"/>
        <v>LARA (LARA KOZMETIK)</v>
      </c>
      <c r="P408" t="str">
        <f t="shared" si="88"/>
        <v xml:space="preserve"> Lara Beauty</v>
      </c>
      <c r="R408" t="str">
        <f t="shared" si="87"/>
        <v>LARA (LARA KOZMETIK)</v>
      </c>
      <c r="T408" t="s">
        <v>339</v>
      </c>
      <c r="U408" t="str">
        <f t="shared" si="89"/>
        <v>BAGS</v>
      </c>
      <c r="V408" t="str">
        <f t="shared" si="90"/>
        <v>WITHOUT EXTRA PROTECTCARE INDICATION</v>
      </c>
      <c r="W408" t="str">
        <f t="shared" si="91"/>
        <v>120</v>
      </c>
      <c r="X408" s="27">
        <f t="shared" si="92"/>
        <v>17.192699999999999</v>
      </c>
      <c r="Y408" s="27">
        <f t="shared" si="93"/>
        <v>14.837400000000001</v>
      </c>
      <c r="Z408" s="27">
        <f t="shared" si="94"/>
        <v>10.0755</v>
      </c>
      <c r="AA408" s="27">
        <f t="shared" si="95"/>
        <v>845.18690000000004</v>
      </c>
      <c r="AB408" s="27">
        <f t="shared" si="96"/>
        <v>818.97209999999995</v>
      </c>
      <c r="AC408" s="27">
        <f t="shared" si="97"/>
        <v>554.23329999999999</v>
      </c>
    </row>
    <row r="409" spans="1:29" ht="15" customHeight="1" x14ac:dyDescent="0.3">
      <c r="A409" s="22" t="s">
        <v>341</v>
      </c>
      <c r="B409" s="23" t="s">
        <v>8</v>
      </c>
      <c r="C409" s="23" t="s">
        <v>9</v>
      </c>
      <c r="D409" s="24" t="s">
        <v>30</v>
      </c>
      <c r="E409" s="24" t="s">
        <v>24</v>
      </c>
      <c r="F409" s="18">
        <v>29.7578</v>
      </c>
      <c r="G409" s="19">
        <v>42.059199999999997</v>
      </c>
      <c r="H409" s="20">
        <v>37.9373</v>
      </c>
      <c r="I409" s="21">
        <v>1513.1635000000001</v>
      </c>
      <c r="J409" s="20">
        <v>2139.8314999999998</v>
      </c>
      <c r="K409" s="20">
        <v>1997.7666999999999</v>
      </c>
      <c r="M409" t="str">
        <f t="shared" si="84"/>
        <v>LARA BABYSOFT LEMON&amp;GRAPEFRUIT W 120 BAG</v>
      </c>
      <c r="N409" s="29" t="str">
        <f t="shared" si="85"/>
        <v xml:space="preserve"> Lara Beauty</v>
      </c>
      <c r="O409" t="str">
        <f t="shared" si="86"/>
        <v>LARA (LARA KOZMETIK)</v>
      </c>
      <c r="P409" t="str">
        <f t="shared" si="88"/>
        <v xml:space="preserve"> Lara Beauty</v>
      </c>
      <c r="R409" t="str">
        <f t="shared" si="87"/>
        <v>LARA (LARA KOZMETIK)</v>
      </c>
      <c r="T409" t="s">
        <v>340</v>
      </c>
      <c r="U409" t="str">
        <f t="shared" si="89"/>
        <v>BAGS</v>
      </c>
      <c r="V409" t="str">
        <f t="shared" si="90"/>
        <v>ALCOHOL FREE</v>
      </c>
      <c r="W409" t="str">
        <f t="shared" si="91"/>
        <v>120</v>
      </c>
      <c r="X409" s="27">
        <f t="shared" si="92"/>
        <v>12.4558</v>
      </c>
      <c r="Y409" s="27">
        <f t="shared" si="93"/>
        <v>19.5045</v>
      </c>
      <c r="Z409" s="27">
        <f t="shared" si="94"/>
        <v>19.680399999999999</v>
      </c>
      <c r="AA409" s="27">
        <f t="shared" si="95"/>
        <v>695.70420000000001</v>
      </c>
      <c r="AB409" s="27">
        <f t="shared" si="96"/>
        <v>1080.8305</v>
      </c>
      <c r="AC409" s="27">
        <f t="shared" si="97"/>
        <v>1068.2409</v>
      </c>
    </row>
    <row r="410" spans="1:29" ht="15" customHeight="1" x14ac:dyDescent="0.3">
      <c r="A410" s="22" t="s">
        <v>342</v>
      </c>
      <c r="B410" s="23" t="s">
        <v>8</v>
      </c>
      <c r="C410" s="23" t="s">
        <v>9</v>
      </c>
      <c r="D410" s="24" t="s">
        <v>20</v>
      </c>
      <c r="E410" s="24" t="s">
        <v>11</v>
      </c>
      <c r="F410" s="18">
        <v>12.4033</v>
      </c>
      <c r="G410" s="19">
        <v>7.0781999999999998</v>
      </c>
      <c r="H410" s="20">
        <v>1.7199</v>
      </c>
      <c r="I410" s="21">
        <v>294.48759999999999</v>
      </c>
      <c r="J410" s="20">
        <v>150.97989999999999</v>
      </c>
      <c r="K410" s="20">
        <v>36.068199999999997</v>
      </c>
      <c r="M410" t="str">
        <f t="shared" si="84"/>
        <v>LARA BABYSOFT PREMIUM ALC.FREE W 120 BAG</v>
      </c>
      <c r="N410" s="29" t="str">
        <f t="shared" si="85"/>
        <v xml:space="preserve"> Lara Beauty</v>
      </c>
      <c r="O410" t="str">
        <f t="shared" si="86"/>
        <v>LARA (LARA KOZMETIK)</v>
      </c>
      <c r="P410" t="str">
        <f t="shared" si="88"/>
        <v xml:space="preserve"> Lara Beauty</v>
      </c>
      <c r="R410" t="str">
        <f t="shared" si="87"/>
        <v>LARA (LARA KOZMETIK)</v>
      </c>
      <c r="T410" t="s">
        <v>341</v>
      </c>
      <c r="U410" t="str">
        <f t="shared" si="89"/>
        <v>BAGS</v>
      </c>
      <c r="V410" t="str">
        <f t="shared" si="90"/>
        <v>ALCOHOL FREE</v>
      </c>
      <c r="W410" t="str">
        <f t="shared" si="91"/>
        <v>120</v>
      </c>
      <c r="X410" s="27">
        <f t="shared" si="92"/>
        <v>29.7578</v>
      </c>
      <c r="Y410" s="27">
        <f t="shared" si="93"/>
        <v>42.059199999999997</v>
      </c>
      <c r="Z410" s="27">
        <f t="shared" si="94"/>
        <v>37.9373</v>
      </c>
      <c r="AA410" s="27">
        <f t="shared" si="95"/>
        <v>1513.1635000000001</v>
      </c>
      <c r="AB410" s="27">
        <f t="shared" si="96"/>
        <v>2139.8314999999998</v>
      </c>
      <c r="AC410" s="27">
        <f t="shared" si="97"/>
        <v>1997.7666999999999</v>
      </c>
    </row>
    <row r="411" spans="1:29" ht="15" customHeight="1" x14ac:dyDescent="0.3">
      <c r="A411" s="22" t="s">
        <v>343</v>
      </c>
      <c r="B411" s="23" t="s">
        <v>8</v>
      </c>
      <c r="C411" s="23" t="s">
        <v>9</v>
      </c>
      <c r="D411" s="24" t="s">
        <v>30</v>
      </c>
      <c r="E411" s="24" t="s">
        <v>32</v>
      </c>
      <c r="F411" s="18">
        <v>1.6268</v>
      </c>
      <c r="G411" s="19"/>
      <c r="H411" s="20"/>
      <c r="I411" s="21">
        <v>65.1297</v>
      </c>
      <c r="J411" s="20"/>
      <c r="K411" s="20"/>
      <c r="M411" t="str">
        <f t="shared" si="84"/>
        <v>LARA BABY SOFT&amp;FRESH PH5.5 W 20 BAG</v>
      </c>
      <c r="N411" s="29" t="str">
        <f t="shared" si="85"/>
        <v xml:space="preserve"> Lara Beauty</v>
      </c>
      <c r="O411" t="str">
        <f t="shared" si="86"/>
        <v>LARA (LARA KOZMETIK)</v>
      </c>
      <c r="P411" t="str">
        <f t="shared" si="88"/>
        <v xml:space="preserve"> Lara Beauty</v>
      </c>
      <c r="R411" t="str">
        <f t="shared" si="87"/>
        <v>LARA (LARA KOZMETIK)</v>
      </c>
      <c r="T411" t="s">
        <v>342</v>
      </c>
      <c r="U411" t="str">
        <f t="shared" si="89"/>
        <v>BAGS</v>
      </c>
      <c r="V411" t="str">
        <f t="shared" si="90"/>
        <v>PH BALANCED</v>
      </c>
      <c r="W411" t="str">
        <f t="shared" si="91"/>
        <v>20</v>
      </c>
      <c r="X411" s="27">
        <f t="shared" si="92"/>
        <v>12.4033</v>
      </c>
      <c r="Y411" s="27">
        <f t="shared" si="93"/>
        <v>7.0781999999999998</v>
      </c>
      <c r="Z411" s="27">
        <f t="shared" si="94"/>
        <v>1.7199</v>
      </c>
      <c r="AA411" s="27">
        <f t="shared" si="95"/>
        <v>294.48759999999999</v>
      </c>
      <c r="AB411" s="27">
        <f t="shared" si="96"/>
        <v>150.97989999999999</v>
      </c>
      <c r="AC411" s="27">
        <f t="shared" si="97"/>
        <v>36.068199999999997</v>
      </c>
    </row>
    <row r="412" spans="1:29" ht="15" customHeight="1" x14ac:dyDescent="0.3">
      <c r="A412" s="22" t="s">
        <v>344</v>
      </c>
      <c r="B412" s="23" t="s">
        <v>8</v>
      </c>
      <c r="C412" s="23" t="s">
        <v>9</v>
      </c>
      <c r="D412" s="24" t="s">
        <v>30</v>
      </c>
      <c r="E412" s="24" t="s">
        <v>32</v>
      </c>
      <c r="F412" s="18">
        <v>2.5358999999999998</v>
      </c>
      <c r="G412" s="19"/>
      <c r="H412" s="20"/>
      <c r="I412" s="21">
        <v>101.7274</v>
      </c>
      <c r="J412" s="20"/>
      <c r="K412" s="20"/>
      <c r="M412" t="str">
        <f t="shared" si="84"/>
        <v>LARA BABY SOFT ALOE VERA W 40 BAG</v>
      </c>
      <c r="N412" s="29" t="str">
        <f t="shared" si="85"/>
        <v xml:space="preserve"> Lara Beauty</v>
      </c>
      <c r="O412" t="str">
        <f t="shared" si="86"/>
        <v>LARA (LARA KOZMETIK)</v>
      </c>
      <c r="P412" t="str">
        <f t="shared" si="88"/>
        <v xml:space="preserve"> Lara Beauty</v>
      </c>
      <c r="R412" t="str">
        <f t="shared" si="87"/>
        <v>LARA (LARA KOZMETIK)</v>
      </c>
      <c r="T412" t="s">
        <v>343</v>
      </c>
      <c r="U412" t="str">
        <f t="shared" si="89"/>
        <v>BAGS</v>
      </c>
      <c r="V412" t="str">
        <f t="shared" si="90"/>
        <v>ALCOHOL FREE</v>
      </c>
      <c r="W412" t="str">
        <f t="shared" si="91"/>
        <v>40</v>
      </c>
      <c r="X412" s="27">
        <f t="shared" si="92"/>
        <v>1.6268</v>
      </c>
      <c r="Y412" s="27">
        <f t="shared" si="93"/>
        <v>0</v>
      </c>
      <c r="Z412" s="27">
        <f t="shared" si="94"/>
        <v>0</v>
      </c>
      <c r="AA412" s="27">
        <f t="shared" si="95"/>
        <v>65.1297</v>
      </c>
      <c r="AB412" s="27">
        <f t="shared" si="96"/>
        <v>0</v>
      </c>
      <c r="AC412" s="27">
        <f t="shared" si="97"/>
        <v>0</v>
      </c>
    </row>
    <row r="413" spans="1:29" ht="15" customHeight="1" x14ac:dyDescent="0.3">
      <c r="A413" s="22" t="s">
        <v>345</v>
      </c>
      <c r="B413" s="23" t="s">
        <v>8</v>
      </c>
      <c r="C413" s="23" t="s">
        <v>9</v>
      </c>
      <c r="D413" s="24" t="s">
        <v>10</v>
      </c>
      <c r="E413" s="24" t="s">
        <v>99</v>
      </c>
      <c r="F413" s="18"/>
      <c r="G413" s="19"/>
      <c r="H413" s="20">
        <v>3.6318999999999999</v>
      </c>
      <c r="I413" s="21"/>
      <c r="J413" s="20"/>
      <c r="K413" s="20">
        <v>71.160700000000006</v>
      </c>
      <c r="M413" t="str">
        <f t="shared" si="84"/>
        <v>LARA BABY SOFT VIT E&amp;PRO VIT B5 W 40 BAG</v>
      </c>
      <c r="N413" s="29" t="str">
        <f t="shared" si="85"/>
        <v xml:space="preserve"> Lara Beauty</v>
      </c>
      <c r="O413" t="str">
        <f t="shared" si="86"/>
        <v>LARA (LARA KOZMETIK)</v>
      </c>
      <c r="P413" t="str">
        <f t="shared" si="88"/>
        <v xml:space="preserve"> Lara Beauty</v>
      </c>
      <c r="R413" t="str">
        <f t="shared" si="87"/>
        <v>LARA (LARA KOZMETIK)</v>
      </c>
      <c r="T413" t="s">
        <v>344</v>
      </c>
      <c r="U413" t="str">
        <f t="shared" si="89"/>
        <v>BAGS</v>
      </c>
      <c r="V413" t="str">
        <f t="shared" si="90"/>
        <v>ALCOHOL FREE</v>
      </c>
      <c r="W413" t="str">
        <f t="shared" si="91"/>
        <v>40</v>
      </c>
      <c r="X413" s="27">
        <f t="shared" si="92"/>
        <v>2.5358999999999998</v>
      </c>
      <c r="Y413" s="27">
        <f t="shared" si="93"/>
        <v>0</v>
      </c>
      <c r="Z413" s="27">
        <f t="shared" si="94"/>
        <v>0</v>
      </c>
      <c r="AA413" s="27">
        <f t="shared" si="95"/>
        <v>101.7274</v>
      </c>
      <c r="AB413" s="27">
        <f t="shared" si="96"/>
        <v>0</v>
      </c>
      <c r="AC413" s="27">
        <f t="shared" si="97"/>
        <v>0</v>
      </c>
    </row>
    <row r="414" spans="1:29" ht="15" customHeight="1" x14ac:dyDescent="0.3">
      <c r="A414" s="22" t="s">
        <v>346</v>
      </c>
      <c r="B414" s="23" t="s">
        <v>8</v>
      </c>
      <c r="C414" s="23" t="s">
        <v>9</v>
      </c>
      <c r="D414" s="24" t="s">
        <v>10</v>
      </c>
      <c r="E414" s="24" t="s">
        <v>42</v>
      </c>
      <c r="F414" s="18">
        <v>17.9986</v>
      </c>
      <c r="G414" s="19">
        <v>13.0489</v>
      </c>
      <c r="H414" s="20">
        <v>10.643000000000001</v>
      </c>
      <c r="I414" s="21">
        <v>650.62580000000003</v>
      </c>
      <c r="J414" s="20">
        <v>424.79559999999998</v>
      </c>
      <c r="K414" s="20">
        <v>323.3997</v>
      </c>
      <c r="M414" t="str">
        <f t="shared" si="84"/>
        <v>LARA CARE BABY 99%WATER PREBIOTIC W 60</v>
      </c>
      <c r="N414" s="29" t="str">
        <f t="shared" si="85"/>
        <v xml:space="preserve"> Lara Beauty</v>
      </c>
      <c r="O414" t="str">
        <f t="shared" si="86"/>
        <v>LARA (LARA KOZMETIK)</v>
      </c>
      <c r="P414" t="str">
        <f t="shared" si="88"/>
        <v xml:space="preserve"> Lara Beauty</v>
      </c>
      <c r="R414" t="str">
        <f t="shared" si="87"/>
        <v>LARA (LARA KOZMETIK)</v>
      </c>
      <c r="T414" t="s">
        <v>345</v>
      </c>
      <c r="U414" t="str">
        <f t="shared" si="89"/>
        <v>BAGS</v>
      </c>
      <c r="V414" t="str">
        <f t="shared" si="90"/>
        <v>WITHOUT EXTRA PROTECTCARE INDICATION</v>
      </c>
      <c r="W414" t="str">
        <f t="shared" si="91"/>
        <v>60</v>
      </c>
      <c r="X414" s="27">
        <f t="shared" si="92"/>
        <v>0</v>
      </c>
      <c r="Y414" s="27">
        <f t="shared" si="93"/>
        <v>0</v>
      </c>
      <c r="Z414" s="27">
        <f t="shared" si="94"/>
        <v>3.6318999999999999</v>
      </c>
      <c r="AA414" s="27">
        <f t="shared" si="95"/>
        <v>0</v>
      </c>
      <c r="AB414" s="27">
        <f t="shared" si="96"/>
        <v>0</v>
      </c>
      <c r="AC414" s="27">
        <f t="shared" si="97"/>
        <v>71.160700000000006</v>
      </c>
    </row>
    <row r="415" spans="1:29" ht="15" customHeight="1" x14ac:dyDescent="0.3">
      <c r="A415" s="22" t="s">
        <v>347</v>
      </c>
      <c r="B415" s="23" t="s">
        <v>8</v>
      </c>
      <c r="C415" s="23" t="s">
        <v>9</v>
      </c>
      <c r="D415" s="24" t="s">
        <v>64</v>
      </c>
      <c r="E415" s="24" t="s">
        <v>42</v>
      </c>
      <c r="F415" s="18">
        <v>18.099399999999999</v>
      </c>
      <c r="G415" s="19">
        <v>12.3561</v>
      </c>
      <c r="H415" s="20">
        <v>12.3432</v>
      </c>
      <c r="I415" s="21">
        <v>1018.4675999999999</v>
      </c>
      <c r="J415" s="20">
        <v>683.55870000000004</v>
      </c>
      <c r="K415" s="20">
        <v>606.59050000000002</v>
      </c>
      <c r="M415" t="str">
        <f t="shared" si="84"/>
        <v>LARA BABY FRESH W 72 BAG/KAPACHE</v>
      </c>
      <c r="N415" s="29" t="str">
        <f t="shared" si="85"/>
        <v xml:space="preserve"> Lara Beauty</v>
      </c>
      <c r="O415" t="str">
        <f t="shared" si="86"/>
        <v>LARA (LARA KOZMETIK)</v>
      </c>
      <c r="P415" t="str">
        <f t="shared" si="88"/>
        <v xml:space="preserve"> Lara Beauty</v>
      </c>
      <c r="R415" t="str">
        <f t="shared" si="87"/>
        <v>LARA (LARA KOZMETIK)</v>
      </c>
      <c r="T415" t="s">
        <v>346</v>
      </c>
      <c r="U415" t="str">
        <f t="shared" si="89"/>
        <v>BAGS</v>
      </c>
      <c r="V415" t="str">
        <f t="shared" si="90"/>
        <v>WITHOUT EXTRA PROTECTCARE INDICATION</v>
      </c>
      <c r="W415" t="str">
        <f t="shared" si="91"/>
        <v>72</v>
      </c>
      <c r="X415" s="27">
        <f t="shared" si="92"/>
        <v>17.9986</v>
      </c>
      <c r="Y415" s="27">
        <f t="shared" si="93"/>
        <v>13.0489</v>
      </c>
      <c r="Z415" s="27">
        <f t="shared" si="94"/>
        <v>10.643000000000001</v>
      </c>
      <c r="AA415" s="27">
        <f t="shared" si="95"/>
        <v>650.62580000000003</v>
      </c>
      <c r="AB415" s="27">
        <f t="shared" si="96"/>
        <v>424.79559999999998</v>
      </c>
      <c r="AC415" s="27">
        <f t="shared" si="97"/>
        <v>323.3997</v>
      </c>
    </row>
    <row r="416" spans="1:29" ht="15" customHeight="1" x14ac:dyDescent="0.3">
      <c r="A416" s="22" t="s">
        <v>348</v>
      </c>
      <c r="B416" s="23" t="s">
        <v>8</v>
      </c>
      <c r="C416" s="23" t="s">
        <v>9</v>
      </c>
      <c r="D416" s="24" t="s">
        <v>10</v>
      </c>
      <c r="E416" s="24" t="s">
        <v>42</v>
      </c>
      <c r="F416" s="18">
        <v>13.9643</v>
      </c>
      <c r="G416" s="19">
        <v>11.9328</v>
      </c>
      <c r="H416" s="20">
        <v>7.4202000000000004</v>
      </c>
      <c r="I416" s="21">
        <v>510.25119999999998</v>
      </c>
      <c r="J416" s="20">
        <v>382.31479999999999</v>
      </c>
      <c r="K416" s="20">
        <v>215.15559999999999</v>
      </c>
      <c r="M416" t="str">
        <f t="shared" si="84"/>
        <v>LARA BABY SENSITIVE PH5.5 W 72 BAG</v>
      </c>
      <c r="N416" s="29" t="str">
        <f t="shared" si="85"/>
        <v xml:space="preserve"> Lara Beauty</v>
      </c>
      <c r="O416" t="str">
        <f t="shared" si="86"/>
        <v>LARA (LARA KOZMETIK)</v>
      </c>
      <c r="P416" t="str">
        <f t="shared" si="88"/>
        <v xml:space="preserve"> Lara Beauty</v>
      </c>
      <c r="R416" t="str">
        <f t="shared" si="87"/>
        <v>LARA (LARA KOZMETIK)</v>
      </c>
      <c r="T416" t="s">
        <v>347</v>
      </c>
      <c r="U416" t="str">
        <f t="shared" si="89"/>
        <v>BAGS</v>
      </c>
      <c r="V416" t="str">
        <f t="shared" si="90"/>
        <v>SENSITIVE</v>
      </c>
      <c r="W416" t="str">
        <f t="shared" si="91"/>
        <v>72</v>
      </c>
      <c r="X416" s="27">
        <f t="shared" si="92"/>
        <v>18.099399999999999</v>
      </c>
      <c r="Y416" s="27">
        <f t="shared" si="93"/>
        <v>12.3561</v>
      </c>
      <c r="Z416" s="27">
        <f t="shared" si="94"/>
        <v>12.3432</v>
      </c>
      <c r="AA416" s="27">
        <f t="shared" si="95"/>
        <v>1018.4675999999999</v>
      </c>
      <c r="AB416" s="27">
        <f t="shared" si="96"/>
        <v>683.55870000000004</v>
      </c>
      <c r="AC416" s="27">
        <f t="shared" si="97"/>
        <v>606.59050000000002</v>
      </c>
    </row>
    <row r="417" spans="1:29" ht="15" customHeight="1" x14ac:dyDescent="0.3">
      <c r="A417" s="22" t="s">
        <v>349</v>
      </c>
      <c r="B417" s="23" t="s">
        <v>8</v>
      </c>
      <c r="C417" s="23" t="s">
        <v>9</v>
      </c>
      <c r="D417" s="24" t="s">
        <v>20</v>
      </c>
      <c r="E417" s="24" t="s">
        <v>42</v>
      </c>
      <c r="F417" s="18"/>
      <c r="G417" s="19">
        <v>0.56559999999999999</v>
      </c>
      <c r="H417" s="20">
        <v>0.19719999999999999</v>
      </c>
      <c r="I417" s="21"/>
      <c r="J417" s="20">
        <v>6.4855</v>
      </c>
      <c r="K417" s="20">
        <v>8.6998999999999995</v>
      </c>
      <c r="M417" t="str">
        <f t="shared" si="84"/>
        <v>LARA BABY SOFT CAMOMILE W 72 BAG/KAPACHE</v>
      </c>
      <c r="N417" s="29" t="str">
        <f t="shared" si="85"/>
        <v xml:space="preserve"> Lara Beauty</v>
      </c>
      <c r="O417" t="str">
        <f t="shared" si="86"/>
        <v>LARA (LARA KOZMETIK)</v>
      </c>
      <c r="P417" t="str">
        <f t="shared" si="88"/>
        <v xml:space="preserve"> Lara Beauty</v>
      </c>
      <c r="R417" t="str">
        <f t="shared" si="87"/>
        <v>LARA (LARA KOZMETIK)</v>
      </c>
      <c r="T417" t="s">
        <v>348</v>
      </c>
      <c r="U417" t="str">
        <f t="shared" si="89"/>
        <v>BAGS</v>
      </c>
      <c r="V417" t="str">
        <f t="shared" si="90"/>
        <v>WITHOUT EXTRA PROTECTCARE INDICATION</v>
      </c>
      <c r="W417" t="str">
        <f t="shared" si="91"/>
        <v>72</v>
      </c>
      <c r="X417" s="27">
        <f t="shared" si="92"/>
        <v>13.9643</v>
      </c>
      <c r="Y417" s="27">
        <f t="shared" si="93"/>
        <v>11.9328</v>
      </c>
      <c r="Z417" s="27">
        <f t="shared" si="94"/>
        <v>7.4202000000000004</v>
      </c>
      <c r="AA417" s="27">
        <f t="shared" si="95"/>
        <v>510.25119999999998</v>
      </c>
      <c r="AB417" s="27">
        <f t="shared" si="96"/>
        <v>382.31479999999999</v>
      </c>
      <c r="AC417" s="27">
        <f t="shared" si="97"/>
        <v>215.15559999999999</v>
      </c>
    </row>
    <row r="418" spans="1:29" ht="15" customHeight="1" x14ac:dyDescent="0.3">
      <c r="A418" s="22" t="s">
        <v>350</v>
      </c>
      <c r="B418" s="23" t="s">
        <v>8</v>
      </c>
      <c r="C418" s="23" t="s">
        <v>9</v>
      </c>
      <c r="D418" s="24" t="s">
        <v>20</v>
      </c>
      <c r="E418" s="24" t="s">
        <v>42</v>
      </c>
      <c r="F418" s="18">
        <v>11.936500000000001</v>
      </c>
      <c r="G418" s="19">
        <v>11.3424</v>
      </c>
      <c r="H418" s="20">
        <v>2.8279999999999998</v>
      </c>
      <c r="I418" s="21">
        <v>494.98500000000001</v>
      </c>
      <c r="J418" s="20">
        <v>456.52679999999998</v>
      </c>
      <c r="K418" s="20">
        <v>127.90179999999999</v>
      </c>
      <c r="M418" t="str">
        <f t="shared" si="84"/>
        <v>LARA BABY SOFT PH5.5 W 72 BAG</v>
      </c>
      <c r="N418" s="29" t="str">
        <f t="shared" si="85"/>
        <v xml:space="preserve"> Lara Beauty</v>
      </c>
      <c r="O418" t="str">
        <f t="shared" si="86"/>
        <v>LARA (LARA KOZMETIK)</v>
      </c>
      <c r="P418" t="str">
        <f t="shared" si="88"/>
        <v xml:space="preserve"> Lara Beauty</v>
      </c>
      <c r="R418" t="str">
        <f t="shared" si="87"/>
        <v>LARA (LARA KOZMETIK)</v>
      </c>
      <c r="T418" t="s">
        <v>349</v>
      </c>
      <c r="U418" t="str">
        <f t="shared" si="89"/>
        <v>BAGS</v>
      </c>
      <c r="V418" t="str">
        <f t="shared" si="90"/>
        <v>PH BALANCED</v>
      </c>
      <c r="W418" t="str">
        <f t="shared" si="91"/>
        <v>72</v>
      </c>
      <c r="X418" s="27">
        <f t="shared" si="92"/>
        <v>0</v>
      </c>
      <c r="Y418" s="27">
        <f t="shared" si="93"/>
        <v>0.56559999999999999</v>
      </c>
      <c r="Z418" s="27">
        <f t="shared" si="94"/>
        <v>0.19719999999999999</v>
      </c>
      <c r="AA418" s="27">
        <f t="shared" si="95"/>
        <v>0</v>
      </c>
      <c r="AB418" s="27">
        <f t="shared" si="96"/>
        <v>6.4855</v>
      </c>
      <c r="AC418" s="27">
        <f t="shared" si="97"/>
        <v>8.6998999999999995</v>
      </c>
    </row>
    <row r="419" spans="1:29" ht="15" customHeight="1" x14ac:dyDescent="0.3">
      <c r="A419" s="22" t="s">
        <v>351</v>
      </c>
      <c r="B419" s="23" t="s">
        <v>8</v>
      </c>
      <c r="C419" s="23" t="s">
        <v>9</v>
      </c>
      <c r="D419" s="24" t="s">
        <v>30</v>
      </c>
      <c r="E419" s="24" t="s">
        <v>42</v>
      </c>
      <c r="F419" s="18">
        <v>16.799600000000002</v>
      </c>
      <c r="G419" s="19">
        <v>11.79</v>
      </c>
      <c r="H419" s="20">
        <v>3.1292</v>
      </c>
      <c r="I419" s="21">
        <v>633.09360000000004</v>
      </c>
      <c r="J419" s="20">
        <v>491.60489999999999</v>
      </c>
      <c r="K419" s="20">
        <v>123.1259</v>
      </c>
      <c r="M419" t="str">
        <f t="shared" si="84"/>
        <v>LARA BABY SOFT PH5.5 W 72 BAG KAPAK</v>
      </c>
      <c r="N419" s="29" t="str">
        <f t="shared" si="85"/>
        <v xml:space="preserve"> Lara Beauty</v>
      </c>
      <c r="O419" t="str">
        <f t="shared" si="86"/>
        <v>LARA (LARA KOZMETIK)</v>
      </c>
      <c r="P419" t="str">
        <f t="shared" si="88"/>
        <v xml:space="preserve"> Lara Beauty</v>
      </c>
      <c r="R419" t="str">
        <f t="shared" si="87"/>
        <v>LARA (LARA KOZMETIK)</v>
      </c>
      <c r="T419" t="s">
        <v>350</v>
      </c>
      <c r="U419" t="str">
        <f t="shared" si="89"/>
        <v>BAGS</v>
      </c>
      <c r="V419" t="str">
        <f t="shared" si="90"/>
        <v>PH BALANCED</v>
      </c>
      <c r="W419" t="str">
        <f t="shared" si="91"/>
        <v>72</v>
      </c>
      <c r="X419" s="27">
        <f t="shared" si="92"/>
        <v>11.936500000000001</v>
      </c>
      <c r="Y419" s="27">
        <f t="shared" si="93"/>
        <v>11.3424</v>
      </c>
      <c r="Z419" s="27">
        <f t="shared" si="94"/>
        <v>2.8279999999999998</v>
      </c>
      <c r="AA419" s="27">
        <f t="shared" si="95"/>
        <v>494.98500000000001</v>
      </c>
      <c r="AB419" s="27">
        <f t="shared" si="96"/>
        <v>456.52679999999998</v>
      </c>
      <c r="AC419" s="27">
        <f t="shared" si="97"/>
        <v>127.90179999999999</v>
      </c>
    </row>
    <row r="420" spans="1:29" ht="15" customHeight="1" x14ac:dyDescent="0.3">
      <c r="A420" s="22" t="s">
        <v>352</v>
      </c>
      <c r="B420" s="23" t="s">
        <v>8</v>
      </c>
      <c r="C420" s="23" t="s">
        <v>9</v>
      </c>
      <c r="D420" s="24" t="s">
        <v>20</v>
      </c>
      <c r="E420" s="24" t="s">
        <v>42</v>
      </c>
      <c r="F420" s="18">
        <v>15.0557</v>
      </c>
      <c r="G420" s="19">
        <v>9.7439</v>
      </c>
      <c r="H420" s="20">
        <v>7.3936000000000002</v>
      </c>
      <c r="I420" s="21">
        <v>945.80409999999995</v>
      </c>
      <c r="J420" s="20">
        <v>583.28309999999999</v>
      </c>
      <c r="K420" s="20">
        <v>424.78879999999998</v>
      </c>
      <c r="M420" t="str">
        <f t="shared" si="84"/>
        <v>LARA BABY SOFT VIT E&amp;PRO VIT B5 W 72 BAG</v>
      </c>
      <c r="N420" s="29" t="str">
        <f t="shared" si="85"/>
        <v xml:space="preserve"> Lara Beauty</v>
      </c>
      <c r="O420" t="str">
        <f t="shared" si="86"/>
        <v>LARA (LARA KOZMETIK)</v>
      </c>
      <c r="P420" t="str">
        <f t="shared" si="88"/>
        <v xml:space="preserve"> Lara Beauty</v>
      </c>
      <c r="R420" t="str">
        <f t="shared" si="87"/>
        <v>LARA (LARA KOZMETIK)</v>
      </c>
      <c r="T420" t="s">
        <v>351</v>
      </c>
      <c r="U420" t="str">
        <f t="shared" si="89"/>
        <v>BAGS</v>
      </c>
      <c r="V420" t="str">
        <f t="shared" si="90"/>
        <v>ALCOHOL FREE</v>
      </c>
      <c r="W420" t="str">
        <f t="shared" si="91"/>
        <v>72</v>
      </c>
      <c r="X420" s="27">
        <f t="shared" si="92"/>
        <v>16.799600000000002</v>
      </c>
      <c r="Y420" s="27">
        <f t="shared" si="93"/>
        <v>11.79</v>
      </c>
      <c r="Z420" s="27">
        <f t="shared" si="94"/>
        <v>3.1292</v>
      </c>
      <c r="AA420" s="27">
        <f t="shared" si="95"/>
        <v>633.09360000000004</v>
      </c>
      <c r="AB420" s="27">
        <f t="shared" si="96"/>
        <v>491.60489999999999</v>
      </c>
      <c r="AC420" s="27">
        <f t="shared" si="97"/>
        <v>123.1259</v>
      </c>
    </row>
    <row r="421" spans="1:29" ht="15" customHeight="1" x14ac:dyDescent="0.3">
      <c r="A421" s="22" t="s">
        <v>353</v>
      </c>
      <c r="B421" s="23" t="s">
        <v>8</v>
      </c>
      <c r="C421" s="23" t="s">
        <v>9</v>
      </c>
      <c r="D421" s="24" t="s">
        <v>20</v>
      </c>
      <c r="E421" s="24" t="s">
        <v>42</v>
      </c>
      <c r="F421" s="18">
        <v>2.5228000000000002</v>
      </c>
      <c r="G421" s="19"/>
      <c r="H421" s="20"/>
      <c r="I421" s="21">
        <v>102.04300000000001</v>
      </c>
      <c r="J421" s="20"/>
      <c r="K421" s="20"/>
      <c r="M421" t="str">
        <f t="shared" si="84"/>
        <v>LARA BABY SOFT&amp;FRESH W 72 BAG</v>
      </c>
      <c r="N421" s="29" t="str">
        <f t="shared" si="85"/>
        <v xml:space="preserve"> Lara Beauty</v>
      </c>
      <c r="O421" t="str">
        <f t="shared" si="86"/>
        <v>LARA (LARA KOZMETIK)</v>
      </c>
      <c r="P421" t="str">
        <f t="shared" si="88"/>
        <v xml:space="preserve"> Lara Beauty</v>
      </c>
      <c r="R421" t="str">
        <f t="shared" si="87"/>
        <v>LARA (LARA KOZMETIK)</v>
      </c>
      <c r="T421" t="s">
        <v>352</v>
      </c>
      <c r="U421" t="str">
        <f t="shared" si="89"/>
        <v>BAGS</v>
      </c>
      <c r="V421" t="str">
        <f t="shared" si="90"/>
        <v>PH BALANCED</v>
      </c>
      <c r="W421" t="str">
        <f t="shared" si="91"/>
        <v>72</v>
      </c>
      <c r="X421" s="27">
        <f t="shared" si="92"/>
        <v>15.0557</v>
      </c>
      <c r="Y421" s="27">
        <f t="shared" si="93"/>
        <v>9.7439</v>
      </c>
      <c r="Z421" s="27">
        <f t="shared" si="94"/>
        <v>7.3936000000000002</v>
      </c>
      <c r="AA421" s="27">
        <f t="shared" si="95"/>
        <v>945.80409999999995</v>
      </c>
      <c r="AB421" s="27">
        <f t="shared" si="96"/>
        <v>583.28309999999999</v>
      </c>
      <c r="AC421" s="27">
        <f t="shared" si="97"/>
        <v>424.78879999999998</v>
      </c>
    </row>
    <row r="422" spans="1:29" ht="15" customHeight="1" x14ac:dyDescent="0.3">
      <c r="A422" s="22" t="s">
        <v>354</v>
      </c>
      <c r="B422" s="23" t="s">
        <v>8</v>
      </c>
      <c r="C422" s="23" t="s">
        <v>9</v>
      </c>
      <c r="D422" s="24" t="s">
        <v>30</v>
      </c>
      <c r="E422" s="24" t="s">
        <v>17</v>
      </c>
      <c r="F422" s="18">
        <v>5.8501000000000003</v>
      </c>
      <c r="G422" s="19">
        <v>3.1604999999999999</v>
      </c>
      <c r="H422" s="20">
        <v>1.1102000000000001</v>
      </c>
      <c r="I422" s="21">
        <v>279.7971</v>
      </c>
      <c r="J422" s="20">
        <v>133.69110000000001</v>
      </c>
      <c r="K422" s="20">
        <v>49.716799999999999</v>
      </c>
      <c r="M422" t="str">
        <f t="shared" si="84"/>
        <v>LARA BABY SPECIAL FORMULA VIT E W 72 BAG</v>
      </c>
      <c r="N422" s="29" t="str">
        <f t="shared" si="85"/>
        <v xml:space="preserve"> Lara Beauty</v>
      </c>
      <c r="O422" t="str">
        <f t="shared" si="86"/>
        <v>LARA (LARA KOZMETIK)</v>
      </c>
      <c r="P422" t="str">
        <f t="shared" si="88"/>
        <v xml:space="preserve"> Lara Beauty</v>
      </c>
      <c r="R422" t="str">
        <f t="shared" si="87"/>
        <v>LARA (LARA KOZMETIK)</v>
      </c>
      <c r="T422" t="s">
        <v>353</v>
      </c>
      <c r="U422" t="str">
        <f t="shared" si="89"/>
        <v>BAGS</v>
      </c>
      <c r="V422" t="str">
        <f t="shared" si="90"/>
        <v>PH BALANCED</v>
      </c>
      <c r="W422" t="str">
        <f t="shared" si="91"/>
        <v>72</v>
      </c>
      <c r="X422" s="27">
        <f t="shared" si="92"/>
        <v>2.5228000000000002</v>
      </c>
      <c r="Y422" s="27">
        <f t="shared" si="93"/>
        <v>0</v>
      </c>
      <c r="Z422" s="27">
        <f t="shared" si="94"/>
        <v>0</v>
      </c>
      <c r="AA422" s="27">
        <f t="shared" si="95"/>
        <v>102.04300000000001</v>
      </c>
      <c r="AB422" s="27">
        <f t="shared" si="96"/>
        <v>0</v>
      </c>
      <c r="AC422" s="27">
        <f t="shared" si="97"/>
        <v>0</v>
      </c>
    </row>
    <row r="423" spans="1:29" ht="15" customHeight="1" x14ac:dyDescent="0.3">
      <c r="A423" s="22" t="s">
        <v>355</v>
      </c>
      <c r="B423" s="23" t="s">
        <v>8</v>
      </c>
      <c r="C423" s="23" t="s">
        <v>9</v>
      </c>
      <c r="D423" s="24" t="s">
        <v>10</v>
      </c>
      <c r="E423" s="24" t="s">
        <v>17</v>
      </c>
      <c r="F423" s="18">
        <v>3.5649999999999999</v>
      </c>
      <c r="G423" s="19">
        <v>3.9624000000000001</v>
      </c>
      <c r="H423" s="20">
        <v>3.0468999999999999</v>
      </c>
      <c r="I423" s="21">
        <v>186.07509999999999</v>
      </c>
      <c r="J423" s="20">
        <v>188.92570000000001</v>
      </c>
      <c r="K423" s="20">
        <v>146.31370000000001</v>
      </c>
      <c r="M423" t="str">
        <f t="shared" si="84"/>
        <v>LARA BABY SOFT ALOE VERA W 80 BAG KAPAK</v>
      </c>
      <c r="N423" s="29" t="str">
        <f t="shared" si="85"/>
        <v xml:space="preserve"> Lara Beauty</v>
      </c>
      <c r="O423" t="str">
        <f t="shared" si="86"/>
        <v>LARA (LARA KOZMETIK)</v>
      </c>
      <c r="P423" t="str">
        <f t="shared" si="88"/>
        <v xml:space="preserve"> Lara Beauty</v>
      </c>
      <c r="R423" t="str">
        <f t="shared" si="87"/>
        <v>LARA (LARA KOZMETIK)</v>
      </c>
      <c r="T423" t="s">
        <v>354</v>
      </c>
      <c r="U423" t="str">
        <f t="shared" si="89"/>
        <v>BAGS</v>
      </c>
      <c r="V423" t="str">
        <f t="shared" si="90"/>
        <v>ALCOHOL FREE</v>
      </c>
      <c r="W423" t="str">
        <f t="shared" si="91"/>
        <v>80</v>
      </c>
      <c r="X423" s="27">
        <f t="shared" si="92"/>
        <v>5.8501000000000003</v>
      </c>
      <c r="Y423" s="27">
        <f t="shared" si="93"/>
        <v>3.1604999999999999</v>
      </c>
      <c r="Z423" s="27">
        <f t="shared" si="94"/>
        <v>1.1102000000000001</v>
      </c>
      <c r="AA423" s="27">
        <f t="shared" si="95"/>
        <v>279.7971</v>
      </c>
      <c r="AB423" s="27">
        <f t="shared" si="96"/>
        <v>133.69110000000001</v>
      </c>
      <c r="AC423" s="27">
        <f t="shared" si="97"/>
        <v>49.716799999999999</v>
      </c>
    </row>
    <row r="424" spans="1:29" ht="15" customHeight="1" x14ac:dyDescent="0.3">
      <c r="A424" s="22" t="s">
        <v>356</v>
      </c>
      <c r="B424" s="23" t="s">
        <v>8</v>
      </c>
      <c r="C424" s="23" t="s">
        <v>9</v>
      </c>
      <c r="D424" s="24" t="s">
        <v>30</v>
      </c>
      <c r="E424" s="24" t="s">
        <v>17</v>
      </c>
      <c r="F424" s="18">
        <v>4.5880999999999998</v>
      </c>
      <c r="G424" s="19">
        <v>5.0932000000000004</v>
      </c>
      <c r="H424" s="20">
        <v>5.0259</v>
      </c>
      <c r="I424" s="21">
        <v>237.0685</v>
      </c>
      <c r="J424" s="20">
        <v>259.80410000000001</v>
      </c>
      <c r="K424" s="20">
        <v>248.8639</v>
      </c>
      <c r="M424" t="str">
        <f t="shared" si="84"/>
        <v>LARA BABY SOFT WILD ROSE W 80 BAG KAPAK</v>
      </c>
      <c r="N424" s="29" t="str">
        <f t="shared" si="85"/>
        <v xml:space="preserve"> Lara Beauty</v>
      </c>
      <c r="O424" t="str">
        <f t="shared" si="86"/>
        <v>LARA (LARA KOZMETIK)</v>
      </c>
      <c r="P424" t="str">
        <f t="shared" si="88"/>
        <v xml:space="preserve"> Lara Beauty</v>
      </c>
      <c r="R424" t="str">
        <f t="shared" si="87"/>
        <v>LARA (LARA KOZMETIK)</v>
      </c>
      <c r="T424" t="s">
        <v>355</v>
      </c>
      <c r="U424" t="str">
        <f t="shared" si="89"/>
        <v>BAGS</v>
      </c>
      <c r="V424" t="str">
        <f t="shared" si="90"/>
        <v>WITHOUT EXTRA PROTECTCARE INDICATION</v>
      </c>
      <c r="W424" t="str">
        <f t="shared" si="91"/>
        <v>80</v>
      </c>
      <c r="X424" s="27">
        <f t="shared" si="92"/>
        <v>3.5649999999999999</v>
      </c>
      <c r="Y424" s="27">
        <f t="shared" si="93"/>
        <v>3.9624000000000001</v>
      </c>
      <c r="Z424" s="27">
        <f t="shared" si="94"/>
        <v>3.0468999999999999</v>
      </c>
      <c r="AA424" s="27">
        <f t="shared" si="95"/>
        <v>186.07509999999999</v>
      </c>
      <c r="AB424" s="27">
        <f t="shared" si="96"/>
        <v>188.92570000000001</v>
      </c>
      <c r="AC424" s="27">
        <f t="shared" si="97"/>
        <v>146.31370000000001</v>
      </c>
    </row>
    <row r="425" spans="1:29" ht="15" customHeight="1" x14ac:dyDescent="0.3">
      <c r="A425" s="22" t="s">
        <v>357</v>
      </c>
      <c r="B425" s="23" t="s">
        <v>8</v>
      </c>
      <c r="C425" s="23" t="s">
        <v>9</v>
      </c>
      <c r="D425" s="24" t="s">
        <v>10</v>
      </c>
      <c r="E425" s="24" t="s">
        <v>358</v>
      </c>
      <c r="F425" s="18"/>
      <c r="G425" s="19">
        <v>7.0000000000000001E-3</v>
      </c>
      <c r="H425" s="20"/>
      <c r="I425" s="21"/>
      <c r="J425" s="20">
        <v>0.32779999999999998</v>
      </c>
      <c r="K425" s="20"/>
      <c r="M425" t="str">
        <f t="shared" si="84"/>
        <v>LARA BABYSOFT CAMOMILEBREEZ.W 80 BAG KAP</v>
      </c>
      <c r="N425" s="29" t="str">
        <f t="shared" si="85"/>
        <v xml:space="preserve"> Lara Beauty</v>
      </c>
      <c r="O425" t="str">
        <f t="shared" si="86"/>
        <v>LARA (LARA KOZMETIK)</v>
      </c>
      <c r="P425" t="str">
        <f t="shared" si="88"/>
        <v xml:space="preserve"> Lara Beauty</v>
      </c>
      <c r="R425" t="str">
        <f t="shared" si="87"/>
        <v>LARA (LARA KOZMETIK)</v>
      </c>
      <c r="T425" t="s">
        <v>356</v>
      </c>
      <c r="U425" t="str">
        <f t="shared" si="89"/>
        <v>BAGS</v>
      </c>
      <c r="V425" t="str">
        <f t="shared" si="90"/>
        <v>ALCOHOL FREE</v>
      </c>
      <c r="W425" t="str">
        <f t="shared" si="91"/>
        <v>80</v>
      </c>
      <c r="X425" s="27">
        <f t="shared" si="92"/>
        <v>4.5880999999999998</v>
      </c>
      <c r="Y425" s="27">
        <f t="shared" si="93"/>
        <v>5.0932000000000004</v>
      </c>
      <c r="Z425" s="27">
        <f t="shared" si="94"/>
        <v>5.0259</v>
      </c>
      <c r="AA425" s="27">
        <f t="shared" si="95"/>
        <v>237.0685</v>
      </c>
      <c r="AB425" s="27">
        <f t="shared" si="96"/>
        <v>259.80410000000001</v>
      </c>
      <c r="AC425" s="27">
        <f t="shared" si="97"/>
        <v>248.8639</v>
      </c>
    </row>
    <row r="426" spans="1:29" ht="15" customHeight="1" x14ac:dyDescent="0.3">
      <c r="A426" s="14" t="s">
        <v>359</v>
      </c>
      <c r="B426" s="15" t="s">
        <v>6</v>
      </c>
      <c r="C426" s="16"/>
      <c r="D426" s="17"/>
      <c r="E426" s="17"/>
      <c r="F426" s="18">
        <v>3.0200000000000001E-2</v>
      </c>
      <c r="G426" s="19">
        <v>2.0104000000000002</v>
      </c>
      <c r="H426" s="20">
        <v>1.0045999999999999</v>
      </c>
      <c r="I426" s="21">
        <v>1.4571000000000001</v>
      </c>
      <c r="J426" s="20">
        <v>118.0438</v>
      </c>
      <c r="K426" s="20">
        <v>56.873399999999997</v>
      </c>
      <c r="M426" t="str">
        <f t="shared" si="84"/>
        <v>LARA BABY SOFT EXTRA W 96 BAG/KAPACHE</v>
      </c>
      <c r="N426" s="29" t="str">
        <f t="shared" si="85"/>
        <v xml:space="preserve"> Lara Beauty</v>
      </c>
      <c r="O426" t="str">
        <f t="shared" si="86"/>
        <v>LARA (LARA KOZMETIK)</v>
      </c>
      <c r="P426" t="str">
        <f t="shared" si="88"/>
        <v xml:space="preserve"> Lara Beauty</v>
      </c>
      <c r="R426" t="str">
        <f t="shared" si="87"/>
        <v>LARA (LARA KOZMETIK)</v>
      </c>
      <c r="T426" t="s">
        <v>357</v>
      </c>
      <c r="U426" t="str">
        <f t="shared" si="89"/>
        <v>BAGS</v>
      </c>
      <c r="V426" t="str">
        <f t="shared" si="90"/>
        <v>WITHOUT EXTRA PROTECTCARE INDICATION</v>
      </c>
      <c r="W426" t="str">
        <f t="shared" si="91"/>
        <v>96</v>
      </c>
      <c r="X426" s="27">
        <f t="shared" si="92"/>
        <v>0</v>
      </c>
      <c r="Y426" s="27">
        <f t="shared" si="93"/>
        <v>7.0000000000000001E-3</v>
      </c>
      <c r="Z426" s="27">
        <f t="shared" si="94"/>
        <v>0</v>
      </c>
      <c r="AA426" s="27">
        <f t="shared" si="95"/>
        <v>0</v>
      </c>
      <c r="AB426" s="27">
        <f t="shared" si="96"/>
        <v>0.32779999999999998</v>
      </c>
      <c r="AC426" s="27">
        <f t="shared" si="97"/>
        <v>0</v>
      </c>
    </row>
    <row r="427" spans="1:29" ht="15" customHeight="1" x14ac:dyDescent="0.3">
      <c r="A427" s="22" t="s">
        <v>360</v>
      </c>
      <c r="B427" s="23" t="s">
        <v>8</v>
      </c>
      <c r="C427" s="23" t="s">
        <v>9</v>
      </c>
      <c r="D427" s="24" t="s">
        <v>20</v>
      </c>
      <c r="E427" s="24" t="s">
        <v>24</v>
      </c>
      <c r="F427" s="18">
        <v>3.0200000000000001E-2</v>
      </c>
      <c r="G427" s="19">
        <v>2.0104000000000002</v>
      </c>
      <c r="H427" s="20">
        <v>1.0045999999999999</v>
      </c>
      <c r="I427" s="21">
        <v>1.4571000000000001</v>
      </c>
      <c r="J427" s="20">
        <v>118.0438</v>
      </c>
      <c r="K427" s="20">
        <v>56.873399999999997</v>
      </c>
      <c r="M427" t="str">
        <f t="shared" si="84"/>
        <v/>
      </c>
      <c r="N427" s="29" t="str">
        <f t="shared" si="85"/>
        <v xml:space="preserve"> Lara Beauty</v>
      </c>
      <c r="O427" t="str">
        <f t="shared" si="86"/>
        <v>LARA (LARA KOZMETIK)</v>
      </c>
      <c r="P427" t="str">
        <f t="shared" si="88"/>
        <v/>
      </c>
      <c r="R427" t="str">
        <f t="shared" si="87"/>
        <v/>
      </c>
      <c r="T427" t="s">
        <v>871</v>
      </c>
      <c r="U427" t="str">
        <f t="shared" si="89"/>
        <v/>
      </c>
      <c r="V427" t="str">
        <f t="shared" si="90"/>
        <v/>
      </c>
      <c r="W427" t="str">
        <f t="shared" si="91"/>
        <v/>
      </c>
      <c r="X427" s="27" t="str">
        <f t="shared" si="92"/>
        <v/>
      </c>
      <c r="Y427" s="27" t="str">
        <f t="shared" si="93"/>
        <v/>
      </c>
      <c r="Z427" s="27" t="str">
        <f t="shared" si="94"/>
        <v/>
      </c>
      <c r="AA427" s="27" t="str">
        <f t="shared" si="95"/>
        <v/>
      </c>
      <c r="AB427" s="27" t="str">
        <f t="shared" si="96"/>
        <v/>
      </c>
      <c r="AC427" s="27" t="str">
        <f t="shared" si="97"/>
        <v/>
      </c>
    </row>
    <row r="428" spans="1:29" ht="15" customHeight="1" x14ac:dyDescent="0.3">
      <c r="A428" s="14" t="s">
        <v>361</v>
      </c>
      <c r="B428" s="15" t="s">
        <v>6</v>
      </c>
      <c r="C428" s="16"/>
      <c r="D428" s="17"/>
      <c r="E428" s="17"/>
      <c r="F428" s="18">
        <v>0.1913</v>
      </c>
      <c r="G428" s="19">
        <v>0.55200000000000005</v>
      </c>
      <c r="H428" s="20">
        <v>4.3700000000000003E-2</v>
      </c>
      <c r="I428" s="21">
        <v>6.9211999999999998</v>
      </c>
      <c r="J428" s="20">
        <v>19.9695</v>
      </c>
      <c r="K428" s="20">
        <v>1.2094</v>
      </c>
      <c r="M428" t="str">
        <f t="shared" si="84"/>
        <v>PUFY FRESH GERBERA PH5.5 W 120 BAG</v>
      </c>
      <c r="N428" s="29" t="str">
        <f t="shared" si="85"/>
        <v xml:space="preserve"> Lara Beauty</v>
      </c>
      <c r="O428" t="str">
        <f t="shared" si="86"/>
        <v>PUFY (LARA COSMETIC)</v>
      </c>
      <c r="P428" t="str">
        <f t="shared" si="88"/>
        <v xml:space="preserve"> Lara Beauty</v>
      </c>
      <c r="R428" t="str">
        <f t="shared" si="87"/>
        <v>PUFY (LARA COSMETIC)</v>
      </c>
      <c r="T428" t="s">
        <v>360</v>
      </c>
      <c r="U428" t="str">
        <f t="shared" si="89"/>
        <v>BAGS</v>
      </c>
      <c r="V428" t="str">
        <f t="shared" si="90"/>
        <v>PH BALANCED</v>
      </c>
      <c r="W428" t="str">
        <f t="shared" si="91"/>
        <v>120</v>
      </c>
      <c r="X428" s="27">
        <f t="shared" si="92"/>
        <v>3.0200000000000001E-2</v>
      </c>
      <c r="Y428" s="27">
        <f t="shared" si="93"/>
        <v>2.0104000000000002</v>
      </c>
      <c r="Z428" s="27">
        <f t="shared" si="94"/>
        <v>1.0045999999999999</v>
      </c>
      <c r="AA428" s="27">
        <f t="shared" si="95"/>
        <v>1.4571000000000001</v>
      </c>
      <c r="AB428" s="27">
        <f t="shared" si="96"/>
        <v>118.0438</v>
      </c>
      <c r="AC428" s="27">
        <f t="shared" si="97"/>
        <v>56.873399999999997</v>
      </c>
    </row>
    <row r="429" spans="1:29" ht="15" customHeight="1" x14ac:dyDescent="0.3">
      <c r="A429" s="22" t="s">
        <v>362</v>
      </c>
      <c r="B429" s="23" t="s">
        <v>8</v>
      </c>
      <c r="C429" s="23" t="s">
        <v>9</v>
      </c>
      <c r="D429" s="24" t="s">
        <v>10</v>
      </c>
      <c r="E429" s="24" t="s">
        <v>42</v>
      </c>
      <c r="F429" s="18">
        <v>0.1913</v>
      </c>
      <c r="G429" s="19">
        <v>0.55200000000000005</v>
      </c>
      <c r="H429" s="20">
        <v>4.3700000000000003E-2</v>
      </c>
      <c r="I429" s="21">
        <v>6.9211999999999998</v>
      </c>
      <c r="J429" s="20">
        <v>19.9695</v>
      </c>
      <c r="K429" s="20">
        <v>1.2094</v>
      </c>
      <c r="M429" t="str">
        <f t="shared" si="84"/>
        <v/>
      </c>
      <c r="N429" s="29" t="str">
        <f t="shared" si="85"/>
        <v xml:space="preserve"> Lara Beauty</v>
      </c>
      <c r="O429" t="str">
        <f t="shared" si="86"/>
        <v>PUFY (LARA COSMETIC)</v>
      </c>
      <c r="P429" t="str">
        <f t="shared" si="88"/>
        <v/>
      </c>
      <c r="R429" t="str">
        <f t="shared" si="87"/>
        <v/>
      </c>
      <c r="T429" t="s">
        <v>871</v>
      </c>
      <c r="U429" t="str">
        <f t="shared" si="89"/>
        <v/>
      </c>
      <c r="V429" t="str">
        <f t="shared" si="90"/>
        <v/>
      </c>
      <c r="W429" t="str">
        <f t="shared" si="91"/>
        <v/>
      </c>
      <c r="X429" s="27" t="str">
        <f t="shared" si="92"/>
        <v/>
      </c>
      <c r="Y429" s="27" t="str">
        <f t="shared" si="93"/>
        <v/>
      </c>
      <c r="Z429" s="27" t="str">
        <f t="shared" si="94"/>
        <v/>
      </c>
      <c r="AA429" s="27" t="str">
        <f t="shared" si="95"/>
        <v/>
      </c>
      <c r="AB429" s="27" t="str">
        <f t="shared" si="96"/>
        <v/>
      </c>
      <c r="AC429" s="27" t="str">
        <f t="shared" si="97"/>
        <v/>
      </c>
    </row>
    <row r="430" spans="1:29" ht="14.25" customHeight="1" x14ac:dyDescent="0.3">
      <c r="A430" s="25" t="s">
        <v>768</v>
      </c>
      <c r="B430" s="4" t="s">
        <v>5</v>
      </c>
      <c r="C430" s="4"/>
      <c r="D430" s="5"/>
      <c r="E430" s="5"/>
      <c r="F430" s="10">
        <v>0.17230000000000001</v>
      </c>
      <c r="G430" s="11">
        <v>0.63319999999999999</v>
      </c>
      <c r="H430" s="12">
        <v>0.15670000000000001</v>
      </c>
      <c r="I430" s="13">
        <v>7.7868000000000004</v>
      </c>
      <c r="J430" s="12">
        <v>27.705500000000001</v>
      </c>
      <c r="K430" s="12">
        <v>6.8449999999999998</v>
      </c>
      <c r="M430" t="str">
        <f t="shared" si="84"/>
        <v>TOP BLITZ CREAM VIT E W 72 BAG</v>
      </c>
      <c r="N430" s="29" t="str">
        <f t="shared" si="85"/>
        <v xml:space="preserve"> Lara Beauty</v>
      </c>
      <c r="O430" t="str">
        <f t="shared" si="86"/>
        <v>TOP BLITZ (LARA KOSMETICK)</v>
      </c>
      <c r="P430" t="str">
        <f t="shared" si="88"/>
        <v xml:space="preserve"> Lara Beauty</v>
      </c>
      <c r="R430" t="str">
        <f t="shared" si="87"/>
        <v>TOP BLITZ (LARA KOSMETICK)</v>
      </c>
      <c r="T430" t="s">
        <v>362</v>
      </c>
      <c r="U430" t="str">
        <f t="shared" si="89"/>
        <v>BAGS</v>
      </c>
      <c r="V430" t="str">
        <f t="shared" si="90"/>
        <v>WITHOUT EXTRA PROTECTCARE INDICATION</v>
      </c>
      <c r="W430" t="str">
        <f t="shared" si="91"/>
        <v>72</v>
      </c>
      <c r="X430" s="27">
        <f t="shared" si="92"/>
        <v>0.1913</v>
      </c>
      <c r="Y430" s="27">
        <f t="shared" si="93"/>
        <v>0.55200000000000005</v>
      </c>
      <c r="Z430" s="27">
        <f t="shared" si="94"/>
        <v>4.3700000000000003E-2</v>
      </c>
      <c r="AA430" s="27">
        <f t="shared" si="95"/>
        <v>6.9211999999999998</v>
      </c>
      <c r="AB430" s="27">
        <f t="shared" si="96"/>
        <v>19.9695</v>
      </c>
      <c r="AC430" s="27">
        <f t="shared" si="97"/>
        <v>1.2094</v>
      </c>
    </row>
    <row r="431" spans="1:29" ht="15" customHeight="1" x14ac:dyDescent="0.3">
      <c r="A431" s="14" t="s">
        <v>364</v>
      </c>
      <c r="B431" s="15" t="s">
        <v>6</v>
      </c>
      <c r="C431" s="16"/>
      <c r="D431" s="17"/>
      <c r="E431" s="17"/>
      <c r="F431" s="18">
        <v>0.17230000000000001</v>
      </c>
      <c r="G431" s="19">
        <v>0.63319999999999999</v>
      </c>
      <c r="H431" s="20">
        <v>0.15670000000000001</v>
      </c>
      <c r="I431" s="21">
        <v>7.7868000000000004</v>
      </c>
      <c r="J431" s="20">
        <v>27.705500000000001</v>
      </c>
      <c r="K431" s="20">
        <v>6.8449999999999998</v>
      </c>
      <c r="M431" t="str">
        <f t="shared" si="84"/>
        <v/>
      </c>
      <c r="N431" s="29" t="str">
        <f t="shared" si="85"/>
        <v xml:space="preserve"> Lara Beauty</v>
      </c>
      <c r="O431" t="str">
        <f t="shared" si="86"/>
        <v>TOP BLITZ (LARA KOSMETICK)</v>
      </c>
      <c r="P431" t="str">
        <f t="shared" si="88"/>
        <v/>
      </c>
      <c r="R431" t="str">
        <f t="shared" si="87"/>
        <v/>
      </c>
      <c r="T431" t="s">
        <v>871</v>
      </c>
      <c r="U431" t="str">
        <f t="shared" si="89"/>
        <v/>
      </c>
      <c r="V431" t="str">
        <f t="shared" si="90"/>
        <v/>
      </c>
      <c r="W431" t="str">
        <f t="shared" si="91"/>
        <v/>
      </c>
      <c r="X431" s="27" t="str">
        <f t="shared" si="92"/>
        <v/>
      </c>
      <c r="Y431" s="27" t="str">
        <f t="shared" si="93"/>
        <v/>
      </c>
      <c r="Z431" s="27" t="str">
        <f t="shared" si="94"/>
        <v/>
      </c>
      <c r="AA431" s="27" t="str">
        <f t="shared" si="95"/>
        <v/>
      </c>
      <c r="AB431" s="27" t="str">
        <f t="shared" si="96"/>
        <v/>
      </c>
      <c r="AC431" s="27" t="str">
        <f t="shared" si="97"/>
        <v/>
      </c>
    </row>
    <row r="432" spans="1:29" ht="15" customHeight="1" x14ac:dyDescent="0.3">
      <c r="A432" s="22" t="s">
        <v>365</v>
      </c>
      <c r="B432" s="23" t="s">
        <v>8</v>
      </c>
      <c r="C432" s="23" t="s">
        <v>9</v>
      </c>
      <c r="D432" s="24" t="s">
        <v>20</v>
      </c>
      <c r="E432" s="24" t="s">
        <v>32</v>
      </c>
      <c r="F432" s="18">
        <v>2.6700000000000002E-2</v>
      </c>
      <c r="G432" s="19">
        <v>6.6E-3</v>
      </c>
      <c r="H432" s="20"/>
      <c r="I432" s="21">
        <v>1.3361000000000001</v>
      </c>
      <c r="J432" s="20">
        <v>0.32919999999999999</v>
      </c>
      <c r="K432" s="20"/>
      <c r="M432" t="str">
        <f t="shared" si="84"/>
        <v/>
      </c>
      <c r="N432" s="29" t="str">
        <f t="shared" si="85"/>
        <v xml:space="preserve"> Lara Beauty</v>
      </c>
      <c r="O432" t="str">
        <f t="shared" si="86"/>
        <v>TOP BLITZ (LARA KOSMETICK)</v>
      </c>
      <c r="P432" t="str">
        <f t="shared" si="88"/>
        <v/>
      </c>
      <c r="R432" t="str">
        <f t="shared" si="87"/>
        <v/>
      </c>
      <c r="T432" t="s">
        <v>871</v>
      </c>
      <c r="U432" t="str">
        <f t="shared" si="89"/>
        <v/>
      </c>
      <c r="V432" t="str">
        <f t="shared" si="90"/>
        <v/>
      </c>
      <c r="W432" t="str">
        <f t="shared" si="91"/>
        <v/>
      </c>
      <c r="X432" s="27" t="str">
        <f t="shared" si="92"/>
        <v/>
      </c>
      <c r="Y432" s="27" t="str">
        <f t="shared" si="93"/>
        <v/>
      </c>
      <c r="Z432" s="27" t="str">
        <f t="shared" si="94"/>
        <v/>
      </c>
      <c r="AA432" s="27" t="str">
        <f t="shared" si="95"/>
        <v/>
      </c>
      <c r="AB432" s="27" t="str">
        <f t="shared" si="96"/>
        <v/>
      </c>
      <c r="AC432" s="27" t="str">
        <f t="shared" si="97"/>
        <v/>
      </c>
    </row>
    <row r="433" spans="1:29" ht="15" customHeight="1" x14ac:dyDescent="0.3">
      <c r="A433" s="22" t="s">
        <v>366</v>
      </c>
      <c r="B433" s="23" t="s">
        <v>8</v>
      </c>
      <c r="C433" s="23" t="s">
        <v>9</v>
      </c>
      <c r="D433" s="24" t="s">
        <v>64</v>
      </c>
      <c r="E433" s="24" t="s">
        <v>68</v>
      </c>
      <c r="F433" s="18">
        <v>6.93E-2</v>
      </c>
      <c r="G433" s="19">
        <v>0.19889999999999999</v>
      </c>
      <c r="H433" s="20"/>
      <c r="I433" s="21">
        <v>3.0247000000000002</v>
      </c>
      <c r="J433" s="20">
        <v>8.6912000000000003</v>
      </c>
      <c r="K433" s="20"/>
      <c r="M433" t="str">
        <f t="shared" si="84"/>
        <v>CONFY BABY PH5.5 W 40 BAG</v>
      </c>
      <c r="N433" s="29" t="str">
        <f t="shared" si="85"/>
        <v xml:space="preserve"> LeaderHealthFood</v>
      </c>
      <c r="O433" t="str">
        <f t="shared" si="86"/>
        <v>CONFY (LIDERSAN SAGLIK VE GIDA)</v>
      </c>
      <c r="P433" t="str">
        <f t="shared" si="88"/>
        <v xml:space="preserve"> LeaderHealthFood</v>
      </c>
      <c r="R433" t="str">
        <f t="shared" si="87"/>
        <v>CONFY (LIDERSAN SAGLIK VE GIDA)</v>
      </c>
      <c r="T433" t="s">
        <v>365</v>
      </c>
      <c r="U433" t="str">
        <f t="shared" si="89"/>
        <v>BAGS</v>
      </c>
      <c r="V433" t="str">
        <f t="shared" si="90"/>
        <v>PH BALANCED</v>
      </c>
      <c r="W433" t="str">
        <f t="shared" si="91"/>
        <v>40</v>
      </c>
      <c r="X433" s="27">
        <f t="shared" si="92"/>
        <v>2.6700000000000002E-2</v>
      </c>
      <c r="Y433" s="27">
        <f t="shared" si="93"/>
        <v>6.6E-3</v>
      </c>
      <c r="Z433" s="27">
        <f t="shared" si="94"/>
        <v>0</v>
      </c>
      <c r="AA433" s="27">
        <f t="shared" si="95"/>
        <v>1.3361000000000001</v>
      </c>
      <c r="AB433" s="27">
        <f t="shared" si="96"/>
        <v>0.32919999999999999</v>
      </c>
      <c r="AC433" s="27">
        <f t="shared" si="97"/>
        <v>0</v>
      </c>
    </row>
    <row r="434" spans="1:29" ht="15" customHeight="1" x14ac:dyDescent="0.3">
      <c r="A434" s="22" t="s">
        <v>367</v>
      </c>
      <c r="B434" s="23" t="s">
        <v>8</v>
      </c>
      <c r="C434" s="23" t="s">
        <v>9</v>
      </c>
      <c r="D434" s="24" t="s">
        <v>64</v>
      </c>
      <c r="E434" s="24" t="s">
        <v>68</v>
      </c>
      <c r="F434" s="18">
        <v>7.6300000000000007E-2</v>
      </c>
      <c r="G434" s="19">
        <v>0.42759999999999998</v>
      </c>
      <c r="H434" s="20">
        <v>0.15670000000000001</v>
      </c>
      <c r="I434" s="21">
        <v>3.4260000000000002</v>
      </c>
      <c r="J434" s="20">
        <v>18.685099999999998</v>
      </c>
      <c r="K434" s="20">
        <v>6.8449999999999998</v>
      </c>
      <c r="M434" t="str">
        <f t="shared" si="84"/>
        <v>CONFY BABY SENSITIVE W 90 BAG</v>
      </c>
      <c r="N434" s="29" t="str">
        <f t="shared" si="85"/>
        <v xml:space="preserve"> LeaderHealthFood</v>
      </c>
      <c r="O434" t="str">
        <f t="shared" si="86"/>
        <v>CONFY (LIDERSAN SAGLIK VE GIDA)</v>
      </c>
      <c r="P434" t="str">
        <f t="shared" si="88"/>
        <v xml:space="preserve"> LeaderHealthFood</v>
      </c>
      <c r="R434" t="str">
        <f t="shared" si="87"/>
        <v>CONFY (LIDERSAN SAGLIK VE GIDA)</v>
      </c>
      <c r="T434" t="s">
        <v>366</v>
      </c>
      <c r="U434" t="str">
        <f t="shared" si="89"/>
        <v>BAGS</v>
      </c>
      <c r="V434" t="str">
        <f t="shared" si="90"/>
        <v>SENSITIVE</v>
      </c>
      <c r="W434" t="str">
        <f t="shared" si="91"/>
        <v>90</v>
      </c>
      <c r="X434" s="27">
        <f t="shared" si="92"/>
        <v>6.93E-2</v>
      </c>
      <c r="Y434" s="27">
        <f t="shared" si="93"/>
        <v>0.19889999999999999</v>
      </c>
      <c r="Z434" s="27">
        <f t="shared" si="94"/>
        <v>0</v>
      </c>
      <c r="AA434" s="27">
        <f t="shared" si="95"/>
        <v>3.0247000000000002</v>
      </c>
      <c r="AB434" s="27">
        <f t="shared" si="96"/>
        <v>8.6912000000000003</v>
      </c>
      <c r="AC434" s="27">
        <f t="shared" si="97"/>
        <v>0</v>
      </c>
    </row>
    <row r="435" spans="1:29" ht="14.25" customHeight="1" x14ac:dyDescent="0.3">
      <c r="A435" s="25" t="s">
        <v>769</v>
      </c>
      <c r="B435" s="4" t="s">
        <v>5</v>
      </c>
      <c r="C435" s="4"/>
      <c r="D435" s="5"/>
      <c r="E435" s="5"/>
      <c r="F435" s="10">
        <v>23.7455</v>
      </c>
      <c r="G435" s="11">
        <v>29.3566</v>
      </c>
      <c r="H435" s="12">
        <v>11.906700000000001</v>
      </c>
      <c r="I435" s="13">
        <v>713.0412</v>
      </c>
      <c r="J435" s="12">
        <v>960.05740000000003</v>
      </c>
      <c r="K435" s="12">
        <v>372.1223</v>
      </c>
      <c r="M435" t="str">
        <f t="shared" si="84"/>
        <v>CONFY BABY SENSITIVE W 90 BAG PINK</v>
      </c>
      <c r="N435" s="29" t="str">
        <f t="shared" si="85"/>
        <v xml:space="preserve"> LeaderHealthFood</v>
      </c>
      <c r="O435" t="str">
        <f t="shared" si="86"/>
        <v>CONFY (LIDERSAN SAGLIK VE GIDA)</v>
      </c>
      <c r="P435" t="str">
        <f t="shared" si="88"/>
        <v xml:space="preserve"> LeaderHealthFood</v>
      </c>
      <c r="R435" t="str">
        <f t="shared" si="87"/>
        <v>CONFY (LIDERSAN SAGLIK VE GIDA)</v>
      </c>
      <c r="T435" t="s">
        <v>367</v>
      </c>
      <c r="U435" t="str">
        <f t="shared" si="89"/>
        <v>BAGS</v>
      </c>
      <c r="V435" t="str">
        <f t="shared" si="90"/>
        <v>SENSITIVE</v>
      </c>
      <c r="W435" t="str">
        <f t="shared" si="91"/>
        <v>90</v>
      </c>
      <c r="X435" s="27">
        <f t="shared" si="92"/>
        <v>7.6300000000000007E-2</v>
      </c>
      <c r="Y435" s="27">
        <f t="shared" si="93"/>
        <v>0.42759999999999998</v>
      </c>
      <c r="Z435" s="27">
        <f t="shared" si="94"/>
        <v>0.15670000000000001</v>
      </c>
      <c r="AA435" s="27">
        <f t="shared" si="95"/>
        <v>3.4260000000000002</v>
      </c>
      <c r="AB435" s="27">
        <f t="shared" si="96"/>
        <v>18.685099999999998</v>
      </c>
      <c r="AC435" s="27">
        <f t="shared" si="97"/>
        <v>6.8449999999999998</v>
      </c>
    </row>
    <row r="436" spans="1:29" ht="15" customHeight="1" x14ac:dyDescent="0.3">
      <c r="A436" s="14" t="s">
        <v>368</v>
      </c>
      <c r="B436" s="15" t="s">
        <v>6</v>
      </c>
      <c r="C436" s="16"/>
      <c r="D436" s="17"/>
      <c r="E436" s="17"/>
      <c r="F436" s="18">
        <v>23.7455</v>
      </c>
      <c r="G436" s="19">
        <v>29.3566</v>
      </c>
      <c r="H436" s="20">
        <v>11.906700000000001</v>
      </c>
      <c r="I436" s="21">
        <v>713.0412</v>
      </c>
      <c r="J436" s="20">
        <v>960.05740000000003</v>
      </c>
      <c r="K436" s="20">
        <v>372.1223</v>
      </c>
      <c r="M436" t="str">
        <f t="shared" si="84"/>
        <v/>
      </c>
      <c r="N436" s="29" t="str">
        <f t="shared" si="85"/>
        <v xml:space="preserve"> LeaderHealthFood</v>
      </c>
      <c r="O436" t="str">
        <f t="shared" si="86"/>
        <v>CONFY (LIDERSAN SAGLIK VE GIDA)</v>
      </c>
      <c r="P436" t="str">
        <f t="shared" si="88"/>
        <v/>
      </c>
      <c r="R436" t="str">
        <f t="shared" si="87"/>
        <v/>
      </c>
      <c r="T436" t="s">
        <v>871</v>
      </c>
      <c r="U436" t="str">
        <f t="shared" si="89"/>
        <v/>
      </c>
      <c r="V436" t="str">
        <f t="shared" si="90"/>
        <v/>
      </c>
      <c r="W436" t="str">
        <f t="shared" si="91"/>
        <v/>
      </c>
      <c r="X436" s="27" t="str">
        <f t="shared" si="92"/>
        <v/>
      </c>
      <c r="Y436" s="27" t="str">
        <f t="shared" si="93"/>
        <v/>
      </c>
      <c r="Z436" s="27" t="str">
        <f t="shared" si="94"/>
        <v/>
      </c>
      <c r="AA436" s="27" t="str">
        <f t="shared" si="95"/>
        <v/>
      </c>
      <c r="AB436" s="27" t="str">
        <f t="shared" si="96"/>
        <v/>
      </c>
      <c r="AC436" s="27" t="str">
        <f t="shared" si="97"/>
        <v/>
      </c>
    </row>
    <row r="437" spans="1:29" ht="15" customHeight="1" x14ac:dyDescent="0.3">
      <c r="A437" s="22" t="s">
        <v>369</v>
      </c>
      <c r="B437" s="23" t="s">
        <v>8</v>
      </c>
      <c r="C437" s="23" t="s">
        <v>9</v>
      </c>
      <c r="D437" s="24" t="s">
        <v>10</v>
      </c>
      <c r="E437" s="24" t="s">
        <v>37</v>
      </c>
      <c r="F437" s="18">
        <v>13.539</v>
      </c>
      <c r="G437" s="19">
        <v>14.939299999999999</v>
      </c>
      <c r="H437" s="20">
        <v>5.9192</v>
      </c>
      <c r="I437" s="21">
        <v>399.25150000000002</v>
      </c>
      <c r="J437" s="20">
        <v>471.38619999999997</v>
      </c>
      <c r="K437" s="20">
        <v>172.6644</v>
      </c>
      <c r="M437" t="str">
        <f t="shared" si="84"/>
        <v/>
      </c>
      <c r="N437" s="29" t="str">
        <f t="shared" si="85"/>
        <v xml:space="preserve"> LeaderHealthFood</v>
      </c>
      <c r="O437" t="str">
        <f t="shared" si="86"/>
        <v>CONFY (LIDERSAN SAGLIK VE GIDA)</v>
      </c>
      <c r="P437" t="str">
        <f t="shared" si="88"/>
        <v/>
      </c>
      <c r="R437" t="str">
        <f t="shared" si="87"/>
        <v/>
      </c>
      <c r="T437" t="s">
        <v>871</v>
      </c>
      <c r="U437" t="str">
        <f t="shared" si="89"/>
        <v/>
      </c>
      <c r="V437" t="str">
        <f t="shared" si="90"/>
        <v/>
      </c>
      <c r="W437" t="str">
        <f t="shared" si="91"/>
        <v/>
      </c>
      <c r="X437" s="27" t="str">
        <f t="shared" si="92"/>
        <v/>
      </c>
      <c r="Y437" s="27" t="str">
        <f t="shared" si="93"/>
        <v/>
      </c>
      <c r="Z437" s="27" t="str">
        <f t="shared" si="94"/>
        <v/>
      </c>
      <c r="AA437" s="27" t="str">
        <f t="shared" si="95"/>
        <v/>
      </c>
      <c r="AB437" s="27" t="str">
        <f t="shared" si="96"/>
        <v/>
      </c>
      <c r="AC437" s="27" t="str">
        <f t="shared" si="97"/>
        <v/>
      </c>
    </row>
    <row r="438" spans="1:29" ht="15" customHeight="1" x14ac:dyDescent="0.3">
      <c r="A438" s="22" t="s">
        <v>370</v>
      </c>
      <c r="B438" s="23" t="s">
        <v>8</v>
      </c>
      <c r="C438" s="23" t="s">
        <v>9</v>
      </c>
      <c r="D438" s="24" t="s">
        <v>10</v>
      </c>
      <c r="E438" s="24" t="s">
        <v>37</v>
      </c>
      <c r="F438" s="18">
        <v>9.7232000000000003</v>
      </c>
      <c r="G438" s="19">
        <v>14.417199999999999</v>
      </c>
      <c r="H438" s="20">
        <v>5.9874999999999998</v>
      </c>
      <c r="I438" s="21">
        <v>300.88780000000003</v>
      </c>
      <c r="J438" s="20">
        <v>488.67129999999997</v>
      </c>
      <c r="K438" s="20">
        <v>199.4579</v>
      </c>
      <c r="M438" t="str">
        <f t="shared" si="84"/>
        <v>MIMOSA BABY ALOE VERA 64 BAG</v>
      </c>
      <c r="N438" s="29" t="str">
        <f t="shared" si="85"/>
        <v xml:space="preserve"> GlobalMap</v>
      </c>
      <c r="O438" t="str">
        <f t="shared" si="86"/>
        <v>MIMOSA (MAPA INTERNATIONAL)</v>
      </c>
      <c r="P438" t="str">
        <f t="shared" si="88"/>
        <v xml:space="preserve"> GlobalMap</v>
      </c>
      <c r="R438" t="str">
        <f t="shared" si="87"/>
        <v>MIMOSA (MAPA INTERNATIONAL)</v>
      </c>
      <c r="T438" t="s">
        <v>369</v>
      </c>
      <c r="U438" t="str">
        <f t="shared" si="89"/>
        <v>BAGS</v>
      </c>
      <c r="V438" t="str">
        <f t="shared" si="90"/>
        <v>WITHOUT EXTRA PROTECTCARE INDICATION</v>
      </c>
      <c r="W438" t="str">
        <f t="shared" si="91"/>
        <v>64</v>
      </c>
      <c r="X438" s="27">
        <f t="shared" si="92"/>
        <v>13.539</v>
      </c>
      <c r="Y438" s="27">
        <f t="shared" si="93"/>
        <v>14.939299999999999</v>
      </c>
      <c r="Z438" s="27">
        <f t="shared" si="94"/>
        <v>5.9192</v>
      </c>
      <c r="AA438" s="27">
        <f t="shared" si="95"/>
        <v>399.25150000000002</v>
      </c>
      <c r="AB438" s="27">
        <f t="shared" si="96"/>
        <v>471.38619999999997</v>
      </c>
      <c r="AC438" s="27">
        <f t="shared" si="97"/>
        <v>172.6644</v>
      </c>
    </row>
    <row r="439" spans="1:29" ht="15" customHeight="1" x14ac:dyDescent="0.3">
      <c r="A439" s="22" t="s">
        <v>371</v>
      </c>
      <c r="B439" s="23" t="s">
        <v>8</v>
      </c>
      <c r="C439" s="23" t="s">
        <v>9</v>
      </c>
      <c r="D439" s="24" t="s">
        <v>20</v>
      </c>
      <c r="E439" s="24" t="s">
        <v>42</v>
      </c>
      <c r="F439" s="18">
        <v>0.4834</v>
      </c>
      <c r="G439" s="19"/>
      <c r="H439" s="20"/>
      <c r="I439" s="21">
        <v>12.901899999999999</v>
      </c>
      <c r="J439" s="20"/>
      <c r="K439" s="20"/>
      <c r="M439" t="str">
        <f t="shared" si="84"/>
        <v>MIMOSA BABY CHAMOMILE 64 BAG</v>
      </c>
      <c r="N439" s="29" t="str">
        <f t="shared" si="85"/>
        <v xml:space="preserve"> GlobalMap</v>
      </c>
      <c r="O439" t="str">
        <f t="shared" si="86"/>
        <v>MIMOSA (MAPA INTERNATIONAL)</v>
      </c>
      <c r="P439" t="str">
        <f t="shared" si="88"/>
        <v xml:space="preserve"> GlobalMap</v>
      </c>
      <c r="R439" t="str">
        <f t="shared" si="87"/>
        <v>MIMOSA (MAPA INTERNATIONAL)</v>
      </c>
      <c r="T439" t="s">
        <v>370</v>
      </c>
      <c r="U439" t="str">
        <f t="shared" si="89"/>
        <v>BAGS</v>
      </c>
      <c r="V439" t="str">
        <f t="shared" si="90"/>
        <v>WITHOUT EXTRA PROTECTCARE INDICATION</v>
      </c>
      <c r="W439" t="str">
        <f t="shared" si="91"/>
        <v>64</v>
      </c>
      <c r="X439" s="27">
        <f t="shared" si="92"/>
        <v>9.7232000000000003</v>
      </c>
      <c r="Y439" s="27">
        <f t="shared" si="93"/>
        <v>14.417199999999999</v>
      </c>
      <c r="Z439" s="27">
        <f t="shared" si="94"/>
        <v>5.9874999999999998</v>
      </c>
      <c r="AA439" s="27">
        <f t="shared" si="95"/>
        <v>300.88780000000003</v>
      </c>
      <c r="AB439" s="27">
        <f t="shared" si="96"/>
        <v>488.67129999999997</v>
      </c>
      <c r="AC439" s="27">
        <f t="shared" si="97"/>
        <v>199.4579</v>
      </c>
    </row>
    <row r="440" spans="1:29" ht="14.25" customHeight="1" x14ac:dyDescent="0.3">
      <c r="A440" s="25" t="s">
        <v>770</v>
      </c>
      <c r="B440" s="4" t="s">
        <v>5</v>
      </c>
      <c r="C440" s="4"/>
      <c r="D440" s="5"/>
      <c r="E440" s="5"/>
      <c r="F440" s="10">
        <v>0.13550000000000001</v>
      </c>
      <c r="G440" s="11"/>
      <c r="H440" s="12"/>
      <c r="I440" s="13">
        <v>3.2519</v>
      </c>
      <c r="J440" s="12"/>
      <c r="K440" s="12"/>
      <c r="M440" t="str">
        <f t="shared" si="84"/>
        <v>MIMOSA BABY PH5.5 72 BAG KAPAK</v>
      </c>
      <c r="N440" s="29" t="str">
        <f t="shared" si="85"/>
        <v xml:space="preserve"> GlobalMap</v>
      </c>
      <c r="O440" t="str">
        <f t="shared" si="86"/>
        <v>MIMOSA (MAPA INTERNATIONAL)</v>
      </c>
      <c r="P440" t="str">
        <f t="shared" si="88"/>
        <v xml:space="preserve"> GlobalMap</v>
      </c>
      <c r="R440" t="str">
        <f t="shared" si="87"/>
        <v>MIMOSA (MAPA INTERNATIONAL)</v>
      </c>
      <c r="T440" t="s">
        <v>371</v>
      </c>
      <c r="U440" t="str">
        <f t="shared" si="89"/>
        <v>BAGS</v>
      </c>
      <c r="V440" t="str">
        <f t="shared" si="90"/>
        <v>PH BALANCED</v>
      </c>
      <c r="W440" t="str">
        <f t="shared" si="91"/>
        <v>72</v>
      </c>
      <c r="X440" s="27">
        <f t="shared" si="92"/>
        <v>0.4834</v>
      </c>
      <c r="Y440" s="27">
        <f t="shared" si="93"/>
        <v>0</v>
      </c>
      <c r="Z440" s="27">
        <f t="shared" si="94"/>
        <v>0</v>
      </c>
      <c r="AA440" s="27">
        <f t="shared" si="95"/>
        <v>12.901899999999999</v>
      </c>
      <c r="AB440" s="27">
        <f t="shared" si="96"/>
        <v>0</v>
      </c>
      <c r="AC440" s="27">
        <f t="shared" si="97"/>
        <v>0</v>
      </c>
    </row>
    <row r="441" spans="1:29" ht="15" customHeight="1" x14ac:dyDescent="0.3">
      <c r="A441" s="14" t="s">
        <v>372</v>
      </c>
      <c r="B441" s="15" t="s">
        <v>6</v>
      </c>
      <c r="C441" s="16"/>
      <c r="D441" s="17"/>
      <c r="E441" s="17"/>
      <c r="F441" s="18">
        <v>0.13550000000000001</v>
      </c>
      <c r="G441" s="19"/>
      <c r="H441" s="20"/>
      <c r="I441" s="21">
        <v>3.2519</v>
      </c>
      <c r="J441" s="20"/>
      <c r="K441" s="20"/>
      <c r="M441" t="str">
        <f t="shared" si="84"/>
        <v/>
      </c>
      <c r="N441" s="29" t="str">
        <f t="shared" si="85"/>
        <v xml:space="preserve"> GlobalMap</v>
      </c>
      <c r="O441" t="str">
        <f t="shared" si="86"/>
        <v>MIMOSA (MAPA INTERNATIONAL)</v>
      </c>
      <c r="P441" t="str">
        <f t="shared" si="88"/>
        <v/>
      </c>
      <c r="R441" t="str">
        <f t="shared" si="87"/>
        <v/>
      </c>
      <c r="T441" t="s">
        <v>871</v>
      </c>
      <c r="U441" t="str">
        <f t="shared" si="89"/>
        <v/>
      </c>
      <c r="V441" t="str">
        <f t="shared" si="90"/>
        <v/>
      </c>
      <c r="W441" t="str">
        <f t="shared" si="91"/>
        <v/>
      </c>
      <c r="X441" s="27" t="str">
        <f t="shared" si="92"/>
        <v/>
      </c>
      <c r="Y441" s="27" t="str">
        <f t="shared" si="93"/>
        <v/>
      </c>
      <c r="Z441" s="27" t="str">
        <f t="shared" si="94"/>
        <v/>
      </c>
      <c r="AA441" s="27" t="str">
        <f t="shared" si="95"/>
        <v/>
      </c>
      <c r="AB441" s="27" t="str">
        <f t="shared" si="96"/>
        <v/>
      </c>
      <c r="AC441" s="27" t="str">
        <f t="shared" si="97"/>
        <v/>
      </c>
    </row>
    <row r="442" spans="1:29" ht="15" customHeight="1" x14ac:dyDescent="0.3">
      <c r="A442" s="22" t="s">
        <v>373</v>
      </c>
      <c r="B442" s="23" t="s">
        <v>8</v>
      </c>
      <c r="C442" s="23" t="s">
        <v>9</v>
      </c>
      <c r="D442" s="24" t="s">
        <v>64</v>
      </c>
      <c r="E442" s="24" t="s">
        <v>99</v>
      </c>
      <c r="F442" s="18">
        <v>0.13550000000000001</v>
      </c>
      <c r="G442" s="19"/>
      <c r="H442" s="20"/>
      <c r="I442" s="21">
        <v>3.2519</v>
      </c>
      <c r="J442" s="20"/>
      <c r="K442" s="20"/>
      <c r="M442" t="str">
        <f t="shared" si="84"/>
        <v/>
      </c>
      <c r="N442" s="29" t="str">
        <f t="shared" si="85"/>
        <v xml:space="preserve"> GlobalMap</v>
      </c>
      <c r="O442" t="str">
        <f t="shared" si="86"/>
        <v>MIMOSA (MAPA INTERNATIONAL)</v>
      </c>
      <c r="P442" t="str">
        <f t="shared" si="88"/>
        <v/>
      </c>
      <c r="R442" t="str">
        <f t="shared" si="87"/>
        <v/>
      </c>
      <c r="T442" t="s">
        <v>871</v>
      </c>
      <c r="U442" t="str">
        <f t="shared" si="89"/>
        <v/>
      </c>
      <c r="V442" t="str">
        <f t="shared" si="90"/>
        <v/>
      </c>
      <c r="W442" t="str">
        <f t="shared" si="91"/>
        <v/>
      </c>
      <c r="X442" s="27" t="str">
        <f t="shared" si="92"/>
        <v/>
      </c>
      <c r="Y442" s="27" t="str">
        <f t="shared" si="93"/>
        <v/>
      </c>
      <c r="Z442" s="27" t="str">
        <f t="shared" si="94"/>
        <v/>
      </c>
      <c r="AA442" s="27" t="str">
        <f t="shared" si="95"/>
        <v/>
      </c>
      <c r="AB442" s="27" t="str">
        <f t="shared" si="96"/>
        <v/>
      </c>
      <c r="AC442" s="27" t="str">
        <f t="shared" si="97"/>
        <v/>
      </c>
    </row>
    <row r="443" spans="1:29" ht="14.25" customHeight="1" x14ac:dyDescent="0.3">
      <c r="A443" s="25" t="s">
        <v>771</v>
      </c>
      <c r="B443" s="4" t="s">
        <v>5</v>
      </c>
      <c r="C443" s="4"/>
      <c r="D443" s="5"/>
      <c r="E443" s="5"/>
      <c r="F443" s="10">
        <v>336.51549999999997</v>
      </c>
      <c r="G443" s="11">
        <v>318.62270000000001</v>
      </c>
      <c r="H443" s="12">
        <v>125.7655</v>
      </c>
      <c r="I443" s="13">
        <v>10227.0057</v>
      </c>
      <c r="J443" s="12">
        <v>9928.9132000000009</v>
      </c>
      <c r="K443" s="12">
        <v>3640.5189</v>
      </c>
      <c r="M443" t="str">
        <f t="shared" si="84"/>
        <v>SENCE BABY SENSITIVE PH5.5 W 60 BAG</v>
      </c>
      <c r="N443" s="29" t="str">
        <f t="shared" si="85"/>
        <v xml:space="preserve"> PrimeBrands Marketing B.V.</v>
      </c>
      <c r="O443" t="str">
        <f t="shared" si="86"/>
        <v>SENCE (MAXBRANDS MARKETING B.V.)</v>
      </c>
      <c r="P443" t="str">
        <f t="shared" si="88"/>
        <v xml:space="preserve"> PrimeBrands Marketing B.V.</v>
      </c>
      <c r="R443" t="str">
        <f t="shared" si="87"/>
        <v>SENCE (MAXBRANDS MARKETING B.V.)</v>
      </c>
      <c r="T443" t="s">
        <v>373</v>
      </c>
      <c r="U443" t="str">
        <f t="shared" si="89"/>
        <v>BAGS</v>
      </c>
      <c r="V443" t="str">
        <f t="shared" si="90"/>
        <v>SENSITIVE</v>
      </c>
      <c r="W443" t="str">
        <f t="shared" si="91"/>
        <v>60</v>
      </c>
      <c r="X443" s="27">
        <f t="shared" si="92"/>
        <v>0.13550000000000001</v>
      </c>
      <c r="Y443" s="27">
        <f t="shared" si="93"/>
        <v>0</v>
      </c>
      <c r="Z443" s="27">
        <f t="shared" si="94"/>
        <v>0</v>
      </c>
      <c r="AA443" s="27">
        <f t="shared" si="95"/>
        <v>3.2519</v>
      </c>
      <c r="AB443" s="27">
        <f t="shared" si="96"/>
        <v>0</v>
      </c>
      <c r="AC443" s="27">
        <f t="shared" si="97"/>
        <v>0</v>
      </c>
    </row>
    <row r="444" spans="1:29" ht="15" customHeight="1" x14ac:dyDescent="0.3">
      <c r="A444" s="14" t="s">
        <v>374</v>
      </c>
      <c r="B444" s="15" t="s">
        <v>6</v>
      </c>
      <c r="C444" s="16"/>
      <c r="D444" s="17"/>
      <c r="E444" s="17"/>
      <c r="F444" s="18">
        <v>277.92669999999998</v>
      </c>
      <c r="G444" s="19">
        <v>310.41480000000001</v>
      </c>
      <c r="H444" s="20">
        <v>125.3454</v>
      </c>
      <c r="I444" s="21">
        <v>8929.9617999999991</v>
      </c>
      <c r="J444" s="20">
        <v>9775.1643000000004</v>
      </c>
      <c r="K444" s="20">
        <v>3632.8901999999998</v>
      </c>
      <c r="M444" t="str">
        <f t="shared" si="84"/>
        <v/>
      </c>
      <c r="N444" s="29" t="str">
        <f t="shared" si="85"/>
        <v xml:space="preserve"> PrimeBrands Marketing B.V.</v>
      </c>
      <c r="O444" t="str">
        <f t="shared" si="86"/>
        <v>SENCE (MAXBRANDS MARKETING B.V.)</v>
      </c>
      <c r="P444" t="str">
        <f t="shared" si="88"/>
        <v/>
      </c>
      <c r="R444" t="str">
        <f t="shared" si="87"/>
        <v/>
      </c>
      <c r="T444" t="s">
        <v>871</v>
      </c>
      <c r="U444" t="str">
        <f t="shared" si="89"/>
        <v/>
      </c>
      <c r="V444" t="str">
        <f t="shared" si="90"/>
        <v/>
      </c>
      <c r="W444" t="str">
        <f t="shared" si="91"/>
        <v/>
      </c>
      <c r="X444" s="27" t="str">
        <f t="shared" si="92"/>
        <v/>
      </c>
      <c r="Y444" s="27" t="str">
        <f t="shared" si="93"/>
        <v/>
      </c>
      <c r="Z444" s="27" t="str">
        <f t="shared" si="94"/>
        <v/>
      </c>
      <c r="AA444" s="27" t="str">
        <f t="shared" si="95"/>
        <v/>
      </c>
      <c r="AB444" s="27" t="str">
        <f t="shared" si="96"/>
        <v/>
      </c>
      <c r="AC444" s="27" t="str">
        <f t="shared" si="97"/>
        <v/>
      </c>
    </row>
    <row r="445" spans="1:29" ht="15" customHeight="1" x14ac:dyDescent="0.3">
      <c r="A445" s="22" t="s">
        <v>375</v>
      </c>
      <c r="B445" s="23" t="s">
        <v>8</v>
      </c>
      <c r="C445" s="23" t="s">
        <v>9</v>
      </c>
      <c r="D445" s="24" t="s">
        <v>249</v>
      </c>
      <c r="E445" s="24" t="s">
        <v>376</v>
      </c>
      <c r="F445" s="18"/>
      <c r="G445" s="19">
        <v>2.3E-3</v>
      </c>
      <c r="H445" s="20"/>
      <c r="I445" s="21"/>
      <c r="J445" s="20">
        <v>4.8000000000000001E-2</v>
      </c>
      <c r="K445" s="20"/>
      <c r="M445" t="str">
        <f t="shared" si="84"/>
        <v/>
      </c>
      <c r="N445" s="29" t="str">
        <f t="shared" si="85"/>
        <v xml:space="preserve"> PrimeBrands Marketing B.V.</v>
      </c>
      <c r="O445" t="str">
        <f t="shared" si="86"/>
        <v>SENCE (MAXBRANDS MARKETING B.V.)</v>
      </c>
      <c r="P445" t="str">
        <f t="shared" si="88"/>
        <v/>
      </c>
      <c r="R445" t="str">
        <f t="shared" si="87"/>
        <v/>
      </c>
      <c r="T445" t="s">
        <v>871</v>
      </c>
      <c r="U445" t="str">
        <f t="shared" si="89"/>
        <v/>
      </c>
      <c r="V445" t="str">
        <f t="shared" si="90"/>
        <v/>
      </c>
      <c r="W445" t="str">
        <f t="shared" si="91"/>
        <v/>
      </c>
      <c r="X445" s="27" t="str">
        <f t="shared" si="92"/>
        <v/>
      </c>
      <c r="Y445" s="27" t="str">
        <f t="shared" si="93"/>
        <v/>
      </c>
      <c r="Z445" s="27" t="str">
        <f t="shared" si="94"/>
        <v/>
      </c>
      <c r="AA445" s="27" t="str">
        <f t="shared" si="95"/>
        <v/>
      </c>
      <c r="AB445" s="27" t="str">
        <f t="shared" si="96"/>
        <v/>
      </c>
      <c r="AC445" s="27" t="str">
        <f t="shared" si="97"/>
        <v/>
      </c>
    </row>
    <row r="446" spans="1:29" ht="15" customHeight="1" x14ac:dyDescent="0.3">
      <c r="A446" s="22" t="s">
        <v>377</v>
      </c>
      <c r="B446" s="23" t="s">
        <v>8</v>
      </c>
      <c r="C446" s="23" t="s">
        <v>9</v>
      </c>
      <c r="D446" s="24" t="s">
        <v>249</v>
      </c>
      <c r="E446" s="24" t="s">
        <v>376</v>
      </c>
      <c r="F446" s="18">
        <v>3.7978999999999998</v>
      </c>
      <c r="G446" s="19">
        <v>0.23119999999999999</v>
      </c>
      <c r="H446" s="20">
        <v>5.57E-2</v>
      </c>
      <c r="I446" s="21">
        <v>45.909399999999998</v>
      </c>
      <c r="J446" s="20">
        <v>3.0430999999999999</v>
      </c>
      <c r="K446" s="20">
        <v>0.74270000000000003</v>
      </c>
      <c r="M446" t="str">
        <f t="shared" si="84"/>
        <v>BABY CARE CHAMOMILE 4X12/2FR BAG</v>
      </c>
      <c r="N446" s="29" t="str">
        <f t="shared" si="85"/>
        <v xml:space="preserve"> Giga S.A.</v>
      </c>
      <c r="O446" t="str">
        <f t="shared" si="86"/>
        <v>BABY CARE (MEGA)</v>
      </c>
      <c r="P446" t="str">
        <f t="shared" si="88"/>
        <v xml:space="preserve"> Giga S.A.</v>
      </c>
      <c r="R446" t="str">
        <f t="shared" si="87"/>
        <v>BABY CARE (MEGA)</v>
      </c>
      <c r="T446" t="s">
        <v>375</v>
      </c>
      <c r="U446" t="str">
        <f t="shared" si="89"/>
        <v>BAGS</v>
      </c>
      <c r="V446" t="str">
        <f t="shared" si="90"/>
        <v>ALCOHOL FREE &amp; HYPOALLERGENIC</v>
      </c>
      <c r="W446" t="str">
        <f t="shared" si="91"/>
        <v>12</v>
      </c>
      <c r="X446" s="27">
        <f t="shared" si="92"/>
        <v>0</v>
      </c>
      <c r="Y446" s="27">
        <f t="shared" si="93"/>
        <v>2.3E-3</v>
      </c>
      <c r="Z446" s="27">
        <f t="shared" si="94"/>
        <v>0</v>
      </c>
      <c r="AA446" s="27">
        <f t="shared" si="95"/>
        <v>0</v>
      </c>
      <c r="AB446" s="27">
        <f t="shared" si="96"/>
        <v>4.8000000000000001E-2</v>
      </c>
      <c r="AC446" s="27">
        <f t="shared" si="97"/>
        <v>0</v>
      </c>
    </row>
    <row r="447" spans="1:29" ht="15" customHeight="1" x14ac:dyDescent="0.3">
      <c r="A447" s="22" t="s">
        <v>378</v>
      </c>
      <c r="B447" s="23" t="s">
        <v>8</v>
      </c>
      <c r="C447" s="23" t="s">
        <v>9</v>
      </c>
      <c r="D447" s="24" t="s">
        <v>249</v>
      </c>
      <c r="E447" s="24" t="s">
        <v>376</v>
      </c>
      <c r="F447" s="18">
        <v>10.1713</v>
      </c>
      <c r="G447" s="19">
        <v>1.4034</v>
      </c>
      <c r="H447" s="20">
        <v>0.79169999999999996</v>
      </c>
      <c r="I447" s="21">
        <v>191.46350000000001</v>
      </c>
      <c r="J447" s="20">
        <v>25.065200000000001</v>
      </c>
      <c r="K447" s="20">
        <v>12.493499999999999</v>
      </c>
      <c r="M447" t="str">
        <f t="shared" si="84"/>
        <v>BABY CARE CHAMOMILE W 12 BAG</v>
      </c>
      <c r="N447" s="29" t="str">
        <f t="shared" si="85"/>
        <v xml:space="preserve"> Giga S.A.</v>
      </c>
      <c r="O447" t="str">
        <f t="shared" si="86"/>
        <v>BABY CARE (MEGA)</v>
      </c>
      <c r="P447" t="str">
        <f t="shared" si="88"/>
        <v xml:space="preserve"> Giga S.A.</v>
      </c>
      <c r="R447" t="str">
        <f t="shared" si="87"/>
        <v>BABY CARE (MEGA)</v>
      </c>
      <c r="T447" t="s">
        <v>377</v>
      </c>
      <c r="U447" t="str">
        <f t="shared" si="89"/>
        <v>BAGS</v>
      </c>
      <c r="V447" t="str">
        <f t="shared" si="90"/>
        <v>ALCOHOL FREE &amp; HYPOALLERGENIC</v>
      </c>
      <c r="W447" t="str">
        <f t="shared" si="91"/>
        <v>12</v>
      </c>
      <c r="X447" s="27">
        <f t="shared" si="92"/>
        <v>3.7978999999999998</v>
      </c>
      <c r="Y447" s="27">
        <f t="shared" si="93"/>
        <v>0.23119999999999999</v>
      </c>
      <c r="Z447" s="27">
        <f t="shared" si="94"/>
        <v>5.57E-2</v>
      </c>
      <c r="AA447" s="27">
        <f t="shared" si="95"/>
        <v>45.909399999999998</v>
      </c>
      <c r="AB447" s="27">
        <f t="shared" si="96"/>
        <v>3.0430999999999999</v>
      </c>
      <c r="AC447" s="27">
        <f t="shared" si="97"/>
        <v>0.74270000000000003</v>
      </c>
    </row>
    <row r="448" spans="1:29" ht="15" customHeight="1" x14ac:dyDescent="0.3">
      <c r="A448" s="22" t="s">
        <v>379</v>
      </c>
      <c r="B448" s="23" t="s">
        <v>8</v>
      </c>
      <c r="C448" s="23" t="s">
        <v>9</v>
      </c>
      <c r="D448" s="24" t="s">
        <v>249</v>
      </c>
      <c r="E448" s="24" t="s">
        <v>11</v>
      </c>
      <c r="F448" s="18">
        <v>8.9099999999999999E-2</v>
      </c>
      <c r="G448" s="19"/>
      <c r="H448" s="20"/>
      <c r="I448" s="21">
        <v>1.4943</v>
      </c>
      <c r="J448" s="20"/>
      <c r="K448" s="20"/>
      <c r="M448" t="str">
        <f t="shared" si="84"/>
        <v>BABY CARE CHAMOMILE W 3X12/1FR BAG</v>
      </c>
      <c r="N448" s="29" t="str">
        <f t="shared" si="85"/>
        <v xml:space="preserve"> Giga S.A.</v>
      </c>
      <c r="O448" t="str">
        <f t="shared" si="86"/>
        <v>BABY CARE (MEGA)</v>
      </c>
      <c r="P448" t="str">
        <f t="shared" si="88"/>
        <v xml:space="preserve"> Giga S.A.</v>
      </c>
      <c r="R448" t="str">
        <f t="shared" si="87"/>
        <v>BABY CARE (MEGA)</v>
      </c>
      <c r="T448" t="s">
        <v>378</v>
      </c>
      <c r="U448" t="str">
        <f t="shared" si="89"/>
        <v>BAGS</v>
      </c>
      <c r="V448" t="str">
        <f t="shared" si="90"/>
        <v>ALCOHOL FREE &amp; HYPOALLERGENIC</v>
      </c>
      <c r="W448" t="str">
        <f t="shared" si="91"/>
        <v>12</v>
      </c>
      <c r="X448" s="27">
        <f t="shared" si="92"/>
        <v>10.1713</v>
      </c>
      <c r="Y448" s="27">
        <f t="shared" si="93"/>
        <v>1.4034</v>
      </c>
      <c r="Z448" s="27">
        <f t="shared" si="94"/>
        <v>0.79169999999999996</v>
      </c>
      <c r="AA448" s="27">
        <f t="shared" si="95"/>
        <v>191.46350000000001</v>
      </c>
      <c r="AB448" s="27">
        <f t="shared" si="96"/>
        <v>25.065200000000001</v>
      </c>
      <c r="AC448" s="27">
        <f t="shared" si="97"/>
        <v>12.493499999999999</v>
      </c>
    </row>
    <row r="449" spans="1:29" ht="15" customHeight="1" x14ac:dyDescent="0.3">
      <c r="A449" s="22" t="s">
        <v>380</v>
      </c>
      <c r="B449" s="23" t="s">
        <v>8</v>
      </c>
      <c r="C449" s="23" t="s">
        <v>9</v>
      </c>
      <c r="D449" s="24" t="s">
        <v>10</v>
      </c>
      <c r="E449" s="24" t="s">
        <v>123</v>
      </c>
      <c r="F449" s="18">
        <v>16.7622</v>
      </c>
      <c r="G449" s="19">
        <v>54.880099999999999</v>
      </c>
      <c r="H449" s="20">
        <v>30.8141</v>
      </c>
      <c r="I449" s="21">
        <v>558.82709999999997</v>
      </c>
      <c r="J449" s="20">
        <v>1712.2448999999999</v>
      </c>
      <c r="K449" s="20">
        <v>842.72770000000003</v>
      </c>
      <c r="M449" t="str">
        <f t="shared" si="84"/>
        <v>BABY CARE TRAVEL CHAMOMILE 20 BAG</v>
      </c>
      <c r="N449" s="29" t="str">
        <f t="shared" si="85"/>
        <v xml:space="preserve"> Giga S.A.</v>
      </c>
      <c r="O449" t="str">
        <f t="shared" si="86"/>
        <v>BABY CARE (MEGA)</v>
      </c>
      <c r="P449" t="str">
        <f t="shared" si="88"/>
        <v xml:space="preserve"> Giga S.A.</v>
      </c>
      <c r="R449" t="str">
        <f t="shared" si="87"/>
        <v>BABY CARE (MEGA)</v>
      </c>
      <c r="T449" t="s">
        <v>379</v>
      </c>
      <c r="U449" t="str">
        <f t="shared" si="89"/>
        <v>BAGS</v>
      </c>
      <c r="V449" t="str">
        <f t="shared" si="90"/>
        <v>ALCOHOL FREE &amp; HYPOALLERGENIC</v>
      </c>
      <c r="W449" t="str">
        <f t="shared" si="91"/>
        <v>20</v>
      </c>
      <c r="X449" s="27">
        <f t="shared" si="92"/>
        <v>8.9099999999999999E-2</v>
      </c>
      <c r="Y449" s="27">
        <f t="shared" si="93"/>
        <v>0</v>
      </c>
      <c r="Z449" s="27">
        <f t="shared" si="94"/>
        <v>0</v>
      </c>
      <c r="AA449" s="27">
        <f t="shared" si="95"/>
        <v>1.4943</v>
      </c>
      <c r="AB449" s="27">
        <f t="shared" si="96"/>
        <v>0</v>
      </c>
      <c r="AC449" s="27">
        <f t="shared" si="97"/>
        <v>0</v>
      </c>
    </row>
    <row r="450" spans="1:29" ht="15" customHeight="1" x14ac:dyDescent="0.3">
      <c r="A450" s="22" t="s">
        <v>381</v>
      </c>
      <c r="B450" s="23" t="s">
        <v>8</v>
      </c>
      <c r="C450" s="23" t="s">
        <v>9</v>
      </c>
      <c r="D450" s="24" t="s">
        <v>10</v>
      </c>
      <c r="E450" s="24" t="s">
        <v>123</v>
      </c>
      <c r="F450" s="18">
        <v>61.024299999999997</v>
      </c>
      <c r="G450" s="19">
        <v>69.369399999999999</v>
      </c>
      <c r="H450" s="20">
        <v>37.2607</v>
      </c>
      <c r="I450" s="21">
        <v>1986.0632000000001</v>
      </c>
      <c r="J450" s="20">
        <v>2074.7809000000002</v>
      </c>
      <c r="K450" s="20">
        <v>1026.0545999999999</v>
      </c>
      <c r="M450" t="str">
        <f t="shared" si="84"/>
        <v>BABY CARE CLAMING PURE WATER 63 BAG</v>
      </c>
      <c r="N450" s="29" t="str">
        <f t="shared" si="85"/>
        <v xml:space="preserve"> Giga S.A.</v>
      </c>
      <c r="O450" t="str">
        <f t="shared" si="86"/>
        <v>BABY CARE (MEGA)</v>
      </c>
      <c r="P450" t="str">
        <f t="shared" si="88"/>
        <v xml:space="preserve"> Giga S.A.</v>
      </c>
      <c r="R450" t="str">
        <f t="shared" si="87"/>
        <v>BABY CARE (MEGA)</v>
      </c>
      <c r="T450" t="s">
        <v>380</v>
      </c>
      <c r="U450" t="str">
        <f t="shared" si="89"/>
        <v>BAGS</v>
      </c>
      <c r="V450" t="str">
        <f t="shared" si="90"/>
        <v>WITHOUT EXTRA PROTECTCARE INDICATION</v>
      </c>
      <c r="W450" t="str">
        <f t="shared" si="91"/>
        <v>63</v>
      </c>
      <c r="X450" s="27">
        <f t="shared" si="92"/>
        <v>16.7622</v>
      </c>
      <c r="Y450" s="27">
        <f t="shared" si="93"/>
        <v>54.880099999999999</v>
      </c>
      <c r="Z450" s="27">
        <f t="shared" si="94"/>
        <v>30.8141</v>
      </c>
      <c r="AA450" s="27">
        <f t="shared" si="95"/>
        <v>558.82709999999997</v>
      </c>
      <c r="AB450" s="27">
        <f t="shared" si="96"/>
        <v>1712.2448999999999</v>
      </c>
      <c r="AC450" s="27">
        <f t="shared" si="97"/>
        <v>842.72770000000003</v>
      </c>
    </row>
    <row r="451" spans="1:29" ht="15" customHeight="1" x14ac:dyDescent="0.3">
      <c r="A451" s="22" t="s">
        <v>382</v>
      </c>
      <c r="B451" s="23" t="s">
        <v>8</v>
      </c>
      <c r="C451" s="23" t="s">
        <v>9</v>
      </c>
      <c r="D451" s="24" t="s">
        <v>64</v>
      </c>
      <c r="E451" s="24" t="s">
        <v>123</v>
      </c>
      <c r="F451" s="18">
        <v>99.720299999999995</v>
      </c>
      <c r="G451" s="19">
        <v>82.962900000000005</v>
      </c>
      <c r="H451" s="20">
        <v>1.6460999999999999</v>
      </c>
      <c r="I451" s="21">
        <v>3124.0421999999999</v>
      </c>
      <c r="J451" s="20">
        <v>2460.6639</v>
      </c>
      <c r="K451" s="20">
        <v>45.897799999999997</v>
      </c>
      <c r="M451" t="str">
        <f t="shared" si="84"/>
        <v>BABY CARE PURE COTTON EXTRACT 63 BAG</v>
      </c>
      <c r="N451" s="29" t="str">
        <f t="shared" si="85"/>
        <v xml:space="preserve"> Giga S.A.</v>
      </c>
      <c r="O451" t="str">
        <f t="shared" si="86"/>
        <v>BABY CARE (MEGA)</v>
      </c>
      <c r="P451" t="str">
        <f t="shared" si="88"/>
        <v xml:space="preserve"> Giga S.A.</v>
      </c>
      <c r="R451" t="str">
        <f t="shared" si="87"/>
        <v>BABY CARE (MEGA)</v>
      </c>
      <c r="T451" t="s">
        <v>381</v>
      </c>
      <c r="U451" t="str">
        <f t="shared" si="89"/>
        <v>BAGS</v>
      </c>
      <c r="V451" t="str">
        <f t="shared" si="90"/>
        <v>WITHOUT EXTRA PROTECTCARE INDICATION</v>
      </c>
      <c r="W451" t="str">
        <f t="shared" si="91"/>
        <v>63</v>
      </c>
      <c r="X451" s="27">
        <f t="shared" si="92"/>
        <v>61.024299999999997</v>
      </c>
      <c r="Y451" s="27">
        <f t="shared" si="93"/>
        <v>69.369399999999999</v>
      </c>
      <c r="Z451" s="27">
        <f t="shared" si="94"/>
        <v>37.2607</v>
      </c>
      <c r="AA451" s="27">
        <f t="shared" si="95"/>
        <v>1986.0632000000001</v>
      </c>
      <c r="AB451" s="27">
        <f t="shared" si="96"/>
        <v>2074.7809000000002</v>
      </c>
      <c r="AC451" s="27">
        <f t="shared" si="97"/>
        <v>1026.0545999999999</v>
      </c>
    </row>
    <row r="452" spans="1:29" ht="15" customHeight="1" x14ac:dyDescent="0.3">
      <c r="A452" s="22" t="s">
        <v>383</v>
      </c>
      <c r="B452" s="23" t="s">
        <v>8</v>
      </c>
      <c r="C452" s="23" t="s">
        <v>9</v>
      </c>
      <c r="D452" s="24" t="s">
        <v>10</v>
      </c>
      <c r="E452" s="24" t="s">
        <v>42</v>
      </c>
      <c r="F452" s="18">
        <v>86.361699999999999</v>
      </c>
      <c r="G452" s="19">
        <v>101.56570000000001</v>
      </c>
      <c r="H452" s="20">
        <v>54.776899999999998</v>
      </c>
      <c r="I452" s="21">
        <v>3022.1621</v>
      </c>
      <c r="J452" s="20">
        <v>3499.3182999999999</v>
      </c>
      <c r="K452" s="20">
        <v>1704.9738</v>
      </c>
      <c r="M452" t="str">
        <f t="shared" si="84"/>
        <v>BABY CARE SENSITIVE OLIVE EXTRACT 63 BAG</v>
      </c>
      <c r="N452" s="29" t="str">
        <f t="shared" si="85"/>
        <v xml:space="preserve"> Giga S.A.</v>
      </c>
      <c r="O452" t="str">
        <f t="shared" si="86"/>
        <v>BABY CARE (MEGA)</v>
      </c>
      <c r="P452" t="str">
        <f t="shared" si="88"/>
        <v xml:space="preserve"> Giga S.A.</v>
      </c>
      <c r="R452" t="str">
        <f t="shared" si="87"/>
        <v>BABY CARE (MEGA)</v>
      </c>
      <c r="T452" t="s">
        <v>382</v>
      </c>
      <c r="U452" t="str">
        <f t="shared" si="89"/>
        <v>BAGS</v>
      </c>
      <c r="V452" t="str">
        <f t="shared" si="90"/>
        <v>SENSITIVE</v>
      </c>
      <c r="W452" t="str">
        <f t="shared" si="91"/>
        <v>63</v>
      </c>
      <c r="X452" s="27">
        <f t="shared" si="92"/>
        <v>99.720299999999995</v>
      </c>
      <c r="Y452" s="27">
        <f t="shared" si="93"/>
        <v>82.962900000000005</v>
      </c>
      <c r="Z452" s="27">
        <f t="shared" si="94"/>
        <v>1.6460999999999999</v>
      </c>
      <c r="AA452" s="27">
        <f t="shared" si="95"/>
        <v>3124.0421999999999</v>
      </c>
      <c r="AB452" s="27">
        <f t="shared" si="96"/>
        <v>2460.6639</v>
      </c>
      <c r="AC452" s="27">
        <f t="shared" si="97"/>
        <v>45.897799999999997</v>
      </c>
    </row>
    <row r="453" spans="1:29" ht="15" customHeight="1" x14ac:dyDescent="0.3">
      <c r="A453" s="14" t="s">
        <v>384</v>
      </c>
      <c r="B453" s="15" t="s">
        <v>6</v>
      </c>
      <c r="C453" s="16"/>
      <c r="D453" s="17"/>
      <c r="E453" s="17"/>
      <c r="F453" s="18">
        <v>58.588999999999999</v>
      </c>
      <c r="G453" s="19">
        <v>8.2077000000000009</v>
      </c>
      <c r="H453" s="20">
        <v>0.42030000000000001</v>
      </c>
      <c r="I453" s="21">
        <v>1297.0438999999999</v>
      </c>
      <c r="J453" s="20">
        <v>153.7491</v>
      </c>
      <c r="K453" s="20">
        <v>7.6287000000000003</v>
      </c>
      <c r="M453" t="str">
        <f t="shared" ref="M453:M516" si="98">IF(B452="ITEM",A452,"")</f>
        <v>BABY CARE TRAVEL CHAMOMILE 72 BAG RE</v>
      </c>
      <c r="N453" s="29" t="str">
        <f t="shared" si="85"/>
        <v xml:space="preserve"> Giga S.A.</v>
      </c>
      <c r="O453" t="str">
        <f t="shared" si="86"/>
        <v>BABY CARE (MEGA)</v>
      </c>
      <c r="P453" t="str">
        <f t="shared" si="88"/>
        <v xml:space="preserve"> Giga S.A.</v>
      </c>
      <c r="R453" t="str">
        <f t="shared" si="87"/>
        <v>BABY CARE (MEGA)</v>
      </c>
      <c r="T453" t="s">
        <v>383</v>
      </c>
      <c r="U453" t="str">
        <f t="shared" si="89"/>
        <v>BAGS</v>
      </c>
      <c r="V453" t="str">
        <f t="shared" si="90"/>
        <v>WITHOUT EXTRA PROTECTCARE INDICATION</v>
      </c>
      <c r="W453" t="str">
        <f t="shared" si="91"/>
        <v>72</v>
      </c>
      <c r="X453" s="27">
        <f t="shared" si="92"/>
        <v>86.361699999999999</v>
      </c>
      <c r="Y453" s="27">
        <f t="shared" si="93"/>
        <v>101.56570000000001</v>
      </c>
      <c r="Z453" s="27">
        <f t="shared" si="94"/>
        <v>54.776899999999998</v>
      </c>
      <c r="AA453" s="27">
        <f t="shared" si="95"/>
        <v>3022.1621</v>
      </c>
      <c r="AB453" s="27">
        <f t="shared" si="96"/>
        <v>3499.3182999999999</v>
      </c>
      <c r="AC453" s="27">
        <f t="shared" si="97"/>
        <v>1704.9738</v>
      </c>
    </row>
    <row r="454" spans="1:29" ht="15" customHeight="1" x14ac:dyDescent="0.3">
      <c r="A454" s="22" t="s">
        <v>385</v>
      </c>
      <c r="B454" s="23" t="s">
        <v>8</v>
      </c>
      <c r="C454" s="23" t="s">
        <v>9</v>
      </c>
      <c r="D454" s="24" t="s">
        <v>64</v>
      </c>
      <c r="E454" s="24" t="s">
        <v>13</v>
      </c>
      <c r="F454" s="18"/>
      <c r="G454" s="19"/>
      <c r="H454" s="20"/>
      <c r="I454" s="21">
        <v>0.2349</v>
      </c>
      <c r="J454" s="20"/>
      <c r="K454" s="20"/>
      <c r="M454" t="str">
        <f t="shared" si="98"/>
        <v/>
      </c>
      <c r="N454" s="29" t="str">
        <f t="shared" si="85"/>
        <v xml:space="preserve"> Giga S.A.</v>
      </c>
      <c r="O454" t="str">
        <f t="shared" si="86"/>
        <v>BABY CARE (MEGA)</v>
      </c>
      <c r="P454" t="str">
        <f t="shared" si="88"/>
        <v/>
      </c>
      <c r="R454" t="str">
        <f t="shared" si="87"/>
        <v/>
      </c>
      <c r="T454" t="s">
        <v>871</v>
      </c>
      <c r="U454" t="str">
        <f t="shared" si="89"/>
        <v/>
      </c>
      <c r="V454" t="str">
        <f t="shared" si="90"/>
        <v/>
      </c>
      <c r="W454" t="str">
        <f t="shared" si="91"/>
        <v/>
      </c>
      <c r="X454" s="27" t="str">
        <f t="shared" si="92"/>
        <v/>
      </c>
      <c r="Y454" s="27" t="str">
        <f t="shared" si="93"/>
        <v/>
      </c>
      <c r="Z454" s="27" t="str">
        <f t="shared" si="94"/>
        <v/>
      </c>
      <c r="AA454" s="27" t="str">
        <f t="shared" si="95"/>
        <v/>
      </c>
      <c r="AB454" s="27" t="str">
        <f t="shared" si="96"/>
        <v/>
      </c>
      <c r="AC454" s="27" t="str">
        <f t="shared" si="97"/>
        <v/>
      </c>
    </row>
    <row r="455" spans="1:29" ht="15" customHeight="1" x14ac:dyDescent="0.3">
      <c r="A455" s="22" t="s">
        <v>386</v>
      </c>
      <c r="B455" s="23" t="s">
        <v>8</v>
      </c>
      <c r="C455" s="23" t="s">
        <v>9</v>
      </c>
      <c r="D455" s="24" t="s">
        <v>64</v>
      </c>
      <c r="E455" s="24" t="s">
        <v>363</v>
      </c>
      <c r="F455" s="18"/>
      <c r="G455" s="19"/>
      <c r="H455" s="20"/>
      <c r="I455" s="21"/>
      <c r="J455" s="20"/>
      <c r="K455" s="20"/>
      <c r="M455" t="str">
        <f t="shared" si="98"/>
        <v>BABYLINO SENSITIVE ARNIKA&amp;CHAM W10+WIPFI</v>
      </c>
      <c r="N455" s="29" t="str">
        <f t="shared" ref="N455:N518" si="99">IF(B452="MANUFACTURER",A452,N454)</f>
        <v xml:space="preserve"> Giga S.A.</v>
      </c>
      <c r="O455" t="str">
        <f t="shared" ref="O455:O518" si="100">IF(B453="BRAND",A453,O454)</f>
        <v>BABYLINO (MEGA S.A.)</v>
      </c>
      <c r="P455" t="str">
        <f t="shared" si="88"/>
        <v xml:space="preserve"> Giga S.A.</v>
      </c>
      <c r="R455" t="str">
        <f t="shared" ref="R455:R518" si="101">IF(B454="ITEM",O455,"")</f>
        <v>BABYLINO (MEGA S.A.)</v>
      </c>
      <c r="T455" t="s">
        <v>385</v>
      </c>
      <c r="U455" t="str">
        <f t="shared" si="89"/>
        <v>BAGS</v>
      </c>
      <c r="V455" t="str">
        <f t="shared" si="90"/>
        <v>SENSITIVE</v>
      </c>
      <c r="W455" t="str">
        <f t="shared" si="91"/>
        <v>10</v>
      </c>
      <c r="X455" s="27">
        <f t="shared" si="92"/>
        <v>0</v>
      </c>
      <c r="Y455" s="27">
        <f t="shared" si="93"/>
        <v>0</v>
      </c>
      <c r="Z455" s="27">
        <f t="shared" si="94"/>
        <v>0</v>
      </c>
      <c r="AA455" s="27">
        <f t="shared" si="95"/>
        <v>0.2349</v>
      </c>
      <c r="AB455" s="27">
        <f t="shared" si="96"/>
        <v>0</v>
      </c>
      <c r="AC455" s="27">
        <f t="shared" si="97"/>
        <v>0</v>
      </c>
    </row>
    <row r="456" spans="1:29" ht="15" customHeight="1" x14ac:dyDescent="0.3">
      <c r="A456" s="22" t="s">
        <v>387</v>
      </c>
      <c r="B456" s="23" t="s">
        <v>8</v>
      </c>
      <c r="C456" s="23" t="s">
        <v>9</v>
      </c>
      <c r="D456" s="24" t="s">
        <v>64</v>
      </c>
      <c r="E456" s="24" t="s">
        <v>363</v>
      </c>
      <c r="F456" s="18">
        <v>23.7104</v>
      </c>
      <c r="G456" s="19">
        <v>2.5188000000000001</v>
      </c>
      <c r="H456" s="20">
        <v>0.15770000000000001</v>
      </c>
      <c r="I456" s="21">
        <v>549.04570000000001</v>
      </c>
      <c r="J456" s="20">
        <v>49.080599999999997</v>
      </c>
      <c r="K456" s="20">
        <v>2.9064000000000001</v>
      </c>
      <c r="M456" t="str">
        <f t="shared" si="98"/>
        <v>BABY LINO SENSITIVE CHAMOMILE W 3X54/1FR</v>
      </c>
      <c r="N456" s="29" t="str">
        <f t="shared" si="99"/>
        <v xml:space="preserve"> Giga S.A.</v>
      </c>
      <c r="O456" t="str">
        <f t="shared" si="100"/>
        <v>BABYLINO (MEGA S.A.)</v>
      </c>
      <c r="P456" t="str">
        <f t="shared" ref="P456:P519" si="102">IF(B455="ITEM",N456,"")</f>
        <v xml:space="preserve"> Giga S.A.</v>
      </c>
      <c r="R456" t="str">
        <f t="shared" si="101"/>
        <v>BABYLINO (MEGA S.A.)</v>
      </c>
      <c r="T456" t="s">
        <v>386</v>
      </c>
      <c r="U456" t="str">
        <f t="shared" ref="U456:U519" si="103">IF(B455="ITEM",C455,"")</f>
        <v>BAGS</v>
      </c>
      <c r="V456" t="str">
        <f t="shared" ref="V456:V519" si="104">IF(B455="ITEM",D455,"")</f>
        <v>SENSITIVE</v>
      </c>
      <c r="W456" t="str">
        <f t="shared" ref="W456:W519" si="105">IF(B455="ITEM",E455,"")</f>
        <v>54</v>
      </c>
      <c r="X456" s="27">
        <f t="shared" ref="X456:X519" si="106">IF(B455 = "ITEM",F455,"")</f>
        <v>0</v>
      </c>
      <c r="Y456" s="27">
        <f t="shared" ref="Y456:Y519" si="107">IF(B455="ITEM",G455,"")</f>
        <v>0</v>
      </c>
      <c r="Z456" s="27">
        <f t="shared" ref="Z456:Z519" si="108">IF(B455="ITEM",H455,"")</f>
        <v>0</v>
      </c>
      <c r="AA456" s="27">
        <f t="shared" ref="AA456:AA519" si="109">IF(B455="ITEM",I455,"")</f>
        <v>0</v>
      </c>
      <c r="AB456" s="27">
        <f t="shared" ref="AB456:AB519" si="110">IF(B455="ITEM",J455,"")</f>
        <v>0</v>
      </c>
      <c r="AC456" s="27">
        <f t="shared" ref="AC456:AC519" si="111">IF(B455="ITEM",K455,"")</f>
        <v>0</v>
      </c>
    </row>
    <row r="457" spans="1:29" ht="15" customHeight="1" x14ac:dyDescent="0.3">
      <c r="A457" s="22" t="s">
        <v>388</v>
      </c>
      <c r="B457" s="23" t="s">
        <v>8</v>
      </c>
      <c r="C457" s="23" t="s">
        <v>9</v>
      </c>
      <c r="D457" s="24" t="s">
        <v>64</v>
      </c>
      <c r="E457" s="24" t="s">
        <v>363</v>
      </c>
      <c r="F457" s="18">
        <v>34.488300000000002</v>
      </c>
      <c r="G457" s="19">
        <v>5.6889000000000003</v>
      </c>
      <c r="H457" s="20">
        <v>0.2626</v>
      </c>
      <c r="I457" s="21">
        <v>739.96220000000005</v>
      </c>
      <c r="J457" s="20">
        <v>104.66840000000001</v>
      </c>
      <c r="K457" s="20">
        <v>4.7222</v>
      </c>
      <c r="M457" t="str">
        <f t="shared" si="98"/>
        <v>BABY LINO SENSITIVE CHAMOMILE W 54 BAG</v>
      </c>
      <c r="N457" s="29" t="str">
        <f t="shared" si="99"/>
        <v xml:space="preserve"> Giga S.A.</v>
      </c>
      <c r="O457" t="str">
        <f t="shared" si="100"/>
        <v>BABYLINO (MEGA S.A.)</v>
      </c>
      <c r="P457" t="str">
        <f t="shared" si="102"/>
        <v xml:space="preserve"> Giga S.A.</v>
      </c>
      <c r="R457" t="str">
        <f t="shared" si="101"/>
        <v>BABYLINO (MEGA S.A.)</v>
      </c>
      <c r="T457" t="s">
        <v>387</v>
      </c>
      <c r="U457" t="str">
        <f t="shared" si="103"/>
        <v>BAGS</v>
      </c>
      <c r="V457" t="str">
        <f t="shared" si="104"/>
        <v>SENSITIVE</v>
      </c>
      <c r="W457" t="str">
        <f t="shared" si="105"/>
        <v>54</v>
      </c>
      <c r="X457" s="27">
        <f t="shared" si="106"/>
        <v>23.7104</v>
      </c>
      <c r="Y457" s="27">
        <f t="shared" si="107"/>
        <v>2.5188000000000001</v>
      </c>
      <c r="Z457" s="27">
        <f t="shared" si="108"/>
        <v>0.15770000000000001</v>
      </c>
      <c r="AA457" s="27">
        <f t="shared" si="109"/>
        <v>549.04570000000001</v>
      </c>
      <c r="AB457" s="27">
        <f t="shared" si="110"/>
        <v>49.080599999999997</v>
      </c>
      <c r="AC457" s="27">
        <f t="shared" si="111"/>
        <v>2.9064000000000001</v>
      </c>
    </row>
    <row r="458" spans="1:29" ht="15" customHeight="1" x14ac:dyDescent="0.3">
      <c r="A458" s="22" t="s">
        <v>389</v>
      </c>
      <c r="B458" s="23" t="s">
        <v>8</v>
      </c>
      <c r="C458" s="23" t="s">
        <v>9</v>
      </c>
      <c r="D458" s="24" t="s">
        <v>64</v>
      </c>
      <c r="E458" s="24" t="s">
        <v>363</v>
      </c>
      <c r="F458" s="18">
        <v>0.31869999999999998</v>
      </c>
      <c r="G458" s="19"/>
      <c r="H458" s="20"/>
      <c r="I458" s="21">
        <v>6.5327000000000002</v>
      </c>
      <c r="J458" s="20"/>
      <c r="K458" s="20"/>
      <c r="M458" t="str">
        <f t="shared" si="98"/>
        <v>BABYLINO SENSITIVE ARNIKACHAMOMILE W 54</v>
      </c>
      <c r="N458" s="29" t="str">
        <f t="shared" si="99"/>
        <v xml:space="preserve"> Giga S.A.</v>
      </c>
      <c r="O458" t="str">
        <f t="shared" si="100"/>
        <v>BABYLINO (MEGA S.A.)</v>
      </c>
      <c r="P458" t="str">
        <f t="shared" si="102"/>
        <v xml:space="preserve"> Giga S.A.</v>
      </c>
      <c r="R458" t="str">
        <f t="shared" si="101"/>
        <v>BABYLINO (MEGA S.A.)</v>
      </c>
      <c r="T458" t="s">
        <v>388</v>
      </c>
      <c r="U458" t="str">
        <f t="shared" si="103"/>
        <v>BAGS</v>
      </c>
      <c r="V458" t="str">
        <f t="shared" si="104"/>
        <v>SENSITIVE</v>
      </c>
      <c r="W458" t="str">
        <f t="shared" si="105"/>
        <v>54</v>
      </c>
      <c r="X458" s="27">
        <f t="shared" si="106"/>
        <v>34.488300000000002</v>
      </c>
      <c r="Y458" s="27">
        <f t="shared" si="107"/>
        <v>5.6889000000000003</v>
      </c>
      <c r="Z458" s="27">
        <f t="shared" si="108"/>
        <v>0.2626</v>
      </c>
      <c r="AA458" s="27">
        <f t="shared" si="109"/>
        <v>739.96220000000005</v>
      </c>
      <c r="AB458" s="27">
        <f t="shared" si="110"/>
        <v>104.66840000000001</v>
      </c>
      <c r="AC458" s="27">
        <f t="shared" si="111"/>
        <v>4.7222</v>
      </c>
    </row>
    <row r="459" spans="1:29" ht="15" customHeight="1" x14ac:dyDescent="0.3">
      <c r="A459" s="22" t="s">
        <v>390</v>
      </c>
      <c r="B459" s="23" t="s">
        <v>8</v>
      </c>
      <c r="C459" s="23" t="s">
        <v>9</v>
      </c>
      <c r="D459" s="24" t="s">
        <v>64</v>
      </c>
      <c r="E459" s="24" t="s">
        <v>363</v>
      </c>
      <c r="F459" s="18">
        <v>7.1499999999999994E-2</v>
      </c>
      <c r="G459" s="19"/>
      <c r="H459" s="20"/>
      <c r="I459" s="21">
        <v>1.2682</v>
      </c>
      <c r="J459" s="20"/>
      <c r="K459" s="20"/>
      <c r="M459" t="str">
        <f t="shared" si="98"/>
        <v>BABYLINO SENSITIVE CHAMOMILE W 54+10 BAG</v>
      </c>
      <c r="N459" s="29" t="str">
        <f t="shared" si="99"/>
        <v xml:space="preserve"> Giga S.A.</v>
      </c>
      <c r="O459" t="str">
        <f t="shared" si="100"/>
        <v>BABYLINO (MEGA S.A.)</v>
      </c>
      <c r="P459" t="str">
        <f t="shared" si="102"/>
        <v xml:space="preserve"> Giga S.A.</v>
      </c>
      <c r="R459" t="str">
        <f t="shared" si="101"/>
        <v>BABYLINO (MEGA S.A.)</v>
      </c>
      <c r="T459" t="s">
        <v>389</v>
      </c>
      <c r="U459" t="str">
        <f t="shared" si="103"/>
        <v>BAGS</v>
      </c>
      <c r="V459" t="str">
        <f t="shared" si="104"/>
        <v>SENSITIVE</v>
      </c>
      <c r="W459" t="str">
        <f t="shared" si="105"/>
        <v>54</v>
      </c>
      <c r="X459" s="27">
        <f t="shared" si="106"/>
        <v>0.31869999999999998</v>
      </c>
      <c r="Y459" s="27">
        <f t="shared" si="107"/>
        <v>0</v>
      </c>
      <c r="Z459" s="27">
        <f t="shared" si="108"/>
        <v>0</v>
      </c>
      <c r="AA459" s="27">
        <f t="shared" si="109"/>
        <v>6.5327000000000002</v>
      </c>
      <c r="AB459" s="27">
        <f t="shared" si="110"/>
        <v>0</v>
      </c>
      <c r="AC459" s="27">
        <f t="shared" si="111"/>
        <v>0</v>
      </c>
    </row>
    <row r="460" spans="1:29" ht="14.25" customHeight="1" x14ac:dyDescent="0.3">
      <c r="A460" s="25" t="s">
        <v>772</v>
      </c>
      <c r="B460" s="4" t="s">
        <v>5</v>
      </c>
      <c r="C460" s="4"/>
      <c r="D460" s="5"/>
      <c r="E460" s="5"/>
      <c r="F460" s="10"/>
      <c r="G460" s="11"/>
      <c r="H460" s="12"/>
      <c r="I460" s="13"/>
      <c r="J460" s="12"/>
      <c r="K460" s="12"/>
      <c r="M460" t="str">
        <f t="shared" si="98"/>
        <v>BABYLINO SENSITIVE CHAMOMILE W 54+WIP 10</v>
      </c>
      <c r="N460" s="29" t="str">
        <f t="shared" si="99"/>
        <v xml:space="preserve"> Giga S.A.</v>
      </c>
      <c r="O460" t="str">
        <f t="shared" si="100"/>
        <v>BABYLINO (MEGA S.A.)</v>
      </c>
      <c r="P460" t="str">
        <f t="shared" si="102"/>
        <v xml:space="preserve"> Giga S.A.</v>
      </c>
      <c r="R460" t="str">
        <f t="shared" si="101"/>
        <v>BABYLINO (MEGA S.A.)</v>
      </c>
      <c r="T460" t="s">
        <v>390</v>
      </c>
      <c r="U460" t="str">
        <f t="shared" si="103"/>
        <v>BAGS</v>
      </c>
      <c r="V460" t="str">
        <f t="shared" si="104"/>
        <v>SENSITIVE</v>
      </c>
      <c r="W460" t="str">
        <f t="shared" si="105"/>
        <v>54</v>
      </c>
      <c r="X460" s="27">
        <f t="shared" si="106"/>
        <v>7.1499999999999994E-2</v>
      </c>
      <c r="Y460" s="27">
        <f t="shared" si="107"/>
        <v>0</v>
      </c>
      <c r="Z460" s="27">
        <f t="shared" si="108"/>
        <v>0</v>
      </c>
      <c r="AA460" s="27">
        <f t="shared" si="109"/>
        <v>1.2682</v>
      </c>
      <c r="AB460" s="27">
        <f t="shared" si="110"/>
        <v>0</v>
      </c>
      <c r="AC460" s="27">
        <f t="shared" si="111"/>
        <v>0</v>
      </c>
    </row>
    <row r="461" spans="1:29" ht="15" customHeight="1" x14ac:dyDescent="0.3">
      <c r="A461" s="14" t="s">
        <v>391</v>
      </c>
      <c r="B461" s="15" t="s">
        <v>6</v>
      </c>
      <c r="C461" s="16"/>
      <c r="D461" s="17"/>
      <c r="E461" s="17"/>
      <c r="F461" s="18"/>
      <c r="G461" s="19"/>
      <c r="H461" s="20"/>
      <c r="I461" s="21"/>
      <c r="J461" s="20"/>
      <c r="K461" s="20"/>
      <c r="M461" t="str">
        <f t="shared" si="98"/>
        <v/>
      </c>
      <c r="N461" s="29" t="str">
        <f t="shared" si="99"/>
        <v xml:space="preserve"> Giga S.A.</v>
      </c>
      <c r="O461" t="str">
        <f t="shared" si="100"/>
        <v>BABYLINO (MEGA S.A.)</v>
      </c>
      <c r="P461" t="str">
        <f t="shared" si="102"/>
        <v/>
      </c>
      <c r="R461" t="str">
        <f t="shared" si="101"/>
        <v/>
      </c>
      <c r="T461" t="s">
        <v>871</v>
      </c>
      <c r="U461" t="str">
        <f t="shared" si="103"/>
        <v/>
      </c>
      <c r="V461" t="str">
        <f t="shared" si="104"/>
        <v/>
      </c>
      <c r="W461" t="str">
        <f t="shared" si="105"/>
        <v/>
      </c>
      <c r="X461" s="27" t="str">
        <f t="shared" si="106"/>
        <v/>
      </c>
      <c r="Y461" s="27" t="str">
        <f t="shared" si="107"/>
        <v/>
      </c>
      <c r="Z461" s="27" t="str">
        <f t="shared" si="108"/>
        <v/>
      </c>
      <c r="AA461" s="27" t="str">
        <f t="shared" si="109"/>
        <v/>
      </c>
      <c r="AB461" s="27" t="str">
        <f t="shared" si="110"/>
        <v/>
      </c>
      <c r="AC461" s="27" t="str">
        <f t="shared" si="111"/>
        <v/>
      </c>
    </row>
    <row r="462" spans="1:29" ht="15" customHeight="1" x14ac:dyDescent="0.3">
      <c r="A462" s="22" t="s">
        <v>392</v>
      </c>
      <c r="B462" s="23" t="s">
        <v>8</v>
      </c>
      <c r="C462" s="23" t="s">
        <v>9</v>
      </c>
      <c r="D462" s="24" t="s">
        <v>30</v>
      </c>
      <c r="E462" s="24" t="s">
        <v>21</v>
      </c>
      <c r="F462" s="18"/>
      <c r="G462" s="19"/>
      <c r="H462" s="20"/>
      <c r="I462" s="21"/>
      <c r="J462" s="20"/>
      <c r="K462" s="20"/>
      <c r="M462" t="str">
        <f t="shared" si="98"/>
        <v/>
      </c>
      <c r="N462" s="29" t="str">
        <f t="shared" si="99"/>
        <v xml:space="preserve"> Giga S.A.</v>
      </c>
      <c r="O462" t="str">
        <f t="shared" si="100"/>
        <v>BABYLINO (MEGA S.A.)</v>
      </c>
      <c r="P462" t="str">
        <f t="shared" si="102"/>
        <v/>
      </c>
      <c r="R462" t="str">
        <f t="shared" si="101"/>
        <v/>
      </c>
      <c r="T462" t="s">
        <v>871</v>
      </c>
      <c r="U462" t="str">
        <f t="shared" si="103"/>
        <v/>
      </c>
      <c r="V462" t="str">
        <f t="shared" si="104"/>
        <v/>
      </c>
      <c r="W462" t="str">
        <f t="shared" si="105"/>
        <v/>
      </c>
      <c r="X462" s="27" t="str">
        <f t="shared" si="106"/>
        <v/>
      </c>
      <c r="Y462" s="27" t="str">
        <f t="shared" si="107"/>
        <v/>
      </c>
      <c r="Z462" s="27" t="str">
        <f t="shared" si="108"/>
        <v/>
      </c>
      <c r="AA462" s="27" t="str">
        <f t="shared" si="109"/>
        <v/>
      </c>
      <c r="AB462" s="27" t="str">
        <f t="shared" si="110"/>
        <v/>
      </c>
      <c r="AC462" s="27" t="str">
        <f t="shared" si="111"/>
        <v/>
      </c>
    </row>
    <row r="463" spans="1:29" ht="14.25" customHeight="1" x14ac:dyDescent="0.3">
      <c r="A463" s="25" t="s">
        <v>773</v>
      </c>
      <c r="B463" s="4" t="s">
        <v>5</v>
      </c>
      <c r="C463" s="4"/>
      <c r="D463" s="5"/>
      <c r="E463" s="5"/>
      <c r="F463" s="10"/>
      <c r="G463" s="11">
        <v>6.2138</v>
      </c>
      <c r="H463" s="12">
        <v>8.77E-2</v>
      </c>
      <c r="I463" s="13"/>
      <c r="J463" s="12">
        <v>384.83499999999998</v>
      </c>
      <c r="K463" s="12">
        <v>5.7408999999999999</v>
      </c>
      <c r="M463" t="str">
        <f t="shared" si="98"/>
        <v>HUGGLO WET&amp;SOFT W 100 BAG KAPAK</v>
      </c>
      <c r="N463" s="29" t="str">
        <f t="shared" si="99"/>
        <v xml:space="preserve"> Miss Health Co.</v>
      </c>
      <c r="O463" t="str">
        <f t="shared" si="100"/>
        <v>HUGGLO (MIS SAGLIK SAN.)</v>
      </c>
      <c r="P463" t="str">
        <f t="shared" si="102"/>
        <v xml:space="preserve"> Miss Health Co.</v>
      </c>
      <c r="R463" t="str">
        <f t="shared" si="101"/>
        <v>HUGGLO (MIS SAGLIK SAN.)</v>
      </c>
      <c r="T463" t="s">
        <v>392</v>
      </c>
      <c r="U463" t="str">
        <f t="shared" si="103"/>
        <v>BAGS</v>
      </c>
      <c r="V463" t="str">
        <f t="shared" si="104"/>
        <v>ALCOHOL FREE</v>
      </c>
      <c r="W463" t="str">
        <f t="shared" si="105"/>
        <v>100</v>
      </c>
      <c r="X463" s="27">
        <f t="shared" si="106"/>
        <v>0</v>
      </c>
      <c r="Y463" s="27">
        <f t="shared" si="107"/>
        <v>0</v>
      </c>
      <c r="Z463" s="27">
        <f t="shared" si="108"/>
        <v>0</v>
      </c>
      <c r="AA463" s="27">
        <f t="shared" si="109"/>
        <v>0</v>
      </c>
      <c r="AB463" s="27">
        <f t="shared" si="110"/>
        <v>0</v>
      </c>
      <c r="AC463" s="27">
        <f t="shared" si="111"/>
        <v>0</v>
      </c>
    </row>
    <row r="464" spans="1:29" ht="15" customHeight="1" x14ac:dyDescent="0.3">
      <c r="A464" s="14" t="s">
        <v>393</v>
      </c>
      <c r="B464" s="15" t="s">
        <v>6</v>
      </c>
      <c r="C464" s="16"/>
      <c r="D464" s="17"/>
      <c r="E464" s="17"/>
      <c r="F464" s="18"/>
      <c r="G464" s="19">
        <v>6.2138</v>
      </c>
      <c r="H464" s="20">
        <v>8.77E-2</v>
      </c>
      <c r="I464" s="21"/>
      <c r="J464" s="20">
        <v>384.83499999999998</v>
      </c>
      <c r="K464" s="20">
        <v>5.7408999999999999</v>
      </c>
      <c r="M464" t="str">
        <f t="shared" si="98"/>
        <v/>
      </c>
      <c r="N464" s="29" t="str">
        <f t="shared" si="99"/>
        <v xml:space="preserve"> Miss Health Co.</v>
      </c>
      <c r="O464" t="str">
        <f t="shared" si="100"/>
        <v>HUGGLO (MIS SAGLIK SAN.)</v>
      </c>
      <c r="P464" t="str">
        <f t="shared" si="102"/>
        <v/>
      </c>
      <c r="R464" t="str">
        <f t="shared" si="101"/>
        <v/>
      </c>
      <c r="T464" t="s">
        <v>871</v>
      </c>
      <c r="U464" t="str">
        <f t="shared" si="103"/>
        <v/>
      </c>
      <c r="V464" t="str">
        <f t="shared" si="104"/>
        <v/>
      </c>
      <c r="W464" t="str">
        <f t="shared" si="105"/>
        <v/>
      </c>
      <c r="X464" s="27" t="str">
        <f t="shared" si="106"/>
        <v/>
      </c>
      <c r="Y464" s="27" t="str">
        <f t="shared" si="107"/>
        <v/>
      </c>
      <c r="Z464" s="27" t="str">
        <f t="shared" si="108"/>
        <v/>
      </c>
      <c r="AA464" s="27" t="str">
        <f t="shared" si="109"/>
        <v/>
      </c>
      <c r="AB464" s="27" t="str">
        <f t="shared" si="110"/>
        <v/>
      </c>
      <c r="AC464" s="27" t="str">
        <f t="shared" si="111"/>
        <v/>
      </c>
    </row>
    <row r="465" spans="1:29" ht="15" customHeight="1" x14ac:dyDescent="0.3">
      <c r="A465" s="22" t="s">
        <v>394</v>
      </c>
      <c r="B465" s="23" t="s">
        <v>8</v>
      </c>
      <c r="C465" s="23" t="s">
        <v>9</v>
      </c>
      <c r="D465" s="24" t="s">
        <v>69</v>
      </c>
      <c r="E465" s="24" t="s">
        <v>42</v>
      </c>
      <c r="F465" s="18"/>
      <c r="G465" s="19">
        <v>6.2138</v>
      </c>
      <c r="H465" s="20">
        <v>8.77E-2</v>
      </c>
      <c r="I465" s="21"/>
      <c r="J465" s="20">
        <v>384.83499999999998</v>
      </c>
      <c r="K465" s="20">
        <v>5.7408999999999999</v>
      </c>
      <c r="M465" t="str">
        <f t="shared" si="98"/>
        <v/>
      </c>
      <c r="N465" s="29" t="str">
        <f t="shared" si="99"/>
        <v xml:space="preserve"> Miss Health Co.</v>
      </c>
      <c r="O465" t="str">
        <f t="shared" si="100"/>
        <v>HUGGLO (MIS SAGLIK SAN.)</v>
      </c>
      <c r="P465" t="str">
        <f t="shared" si="102"/>
        <v/>
      </c>
      <c r="R465" t="str">
        <f t="shared" si="101"/>
        <v/>
      </c>
      <c r="T465" t="s">
        <v>871</v>
      </c>
      <c r="U465" t="str">
        <f t="shared" si="103"/>
        <v/>
      </c>
      <c r="V465" t="str">
        <f t="shared" si="104"/>
        <v/>
      </c>
      <c r="W465" t="str">
        <f t="shared" si="105"/>
        <v/>
      </c>
      <c r="X465" s="27" t="str">
        <f t="shared" si="106"/>
        <v/>
      </c>
      <c r="Y465" s="27" t="str">
        <f t="shared" si="107"/>
        <v/>
      </c>
      <c r="Z465" s="27" t="str">
        <f t="shared" si="108"/>
        <v/>
      </c>
      <c r="AA465" s="27" t="str">
        <f t="shared" si="109"/>
        <v/>
      </c>
      <c r="AB465" s="27" t="str">
        <f t="shared" si="110"/>
        <v/>
      </c>
      <c r="AC465" s="27" t="str">
        <f t="shared" si="111"/>
        <v/>
      </c>
    </row>
    <row r="466" spans="1:29" ht="14.25" customHeight="1" x14ac:dyDescent="0.3">
      <c r="A466" s="25" t="s">
        <v>774</v>
      </c>
      <c r="B466" s="4" t="s">
        <v>5</v>
      </c>
      <c r="C466" s="4"/>
      <c r="D466" s="5"/>
      <c r="E466" s="5"/>
      <c r="F466" s="10">
        <v>62.723500000000001</v>
      </c>
      <c r="G466" s="11">
        <v>72.771000000000001</v>
      </c>
      <c r="H466" s="12">
        <v>17.986000000000001</v>
      </c>
      <c r="I466" s="13">
        <v>4142.5168000000003</v>
      </c>
      <c r="J466" s="12">
        <v>3738.1192999999998</v>
      </c>
      <c r="K466" s="12">
        <v>966.62199999999996</v>
      </c>
      <c r="M466" t="str">
        <f t="shared" si="98"/>
        <v>L'UNICO BABY OLIO DI ARGAN HYPO.W 72 BAG</v>
      </c>
      <c r="N466" s="29" t="str">
        <f t="shared" si="99"/>
        <v xml:space="preserve"> MontraWorld</v>
      </c>
      <c r="O466" t="str">
        <f t="shared" si="100"/>
        <v>L'UNICO (MONTRASIO)</v>
      </c>
      <c r="P466" t="str">
        <f t="shared" si="102"/>
        <v xml:space="preserve"> MontraWorld</v>
      </c>
      <c r="R466" t="str">
        <f t="shared" si="101"/>
        <v>L'UNICO (MONTRASIO)</v>
      </c>
      <c r="T466" t="s">
        <v>394</v>
      </c>
      <c r="U466" t="str">
        <f t="shared" si="103"/>
        <v>BAGS</v>
      </c>
      <c r="V466" t="str">
        <f t="shared" si="104"/>
        <v>HYPOALLERGENIC</v>
      </c>
      <c r="W466" t="str">
        <f t="shared" si="105"/>
        <v>72</v>
      </c>
      <c r="X466" s="27">
        <f t="shared" si="106"/>
        <v>0</v>
      </c>
      <c r="Y466" s="27">
        <f t="shared" si="107"/>
        <v>6.2138</v>
      </c>
      <c r="Z466" s="27">
        <f t="shared" si="108"/>
        <v>8.77E-2</v>
      </c>
      <c r="AA466" s="27">
        <f t="shared" si="109"/>
        <v>0</v>
      </c>
      <c r="AB466" s="27">
        <f t="shared" si="110"/>
        <v>384.83499999999998</v>
      </c>
      <c r="AC466" s="27">
        <f t="shared" si="111"/>
        <v>5.7408999999999999</v>
      </c>
    </row>
    <row r="467" spans="1:29" ht="15" customHeight="1" x14ac:dyDescent="0.3">
      <c r="A467" s="14" t="s">
        <v>395</v>
      </c>
      <c r="B467" s="15" t="s">
        <v>6</v>
      </c>
      <c r="C467" s="16"/>
      <c r="D467" s="17"/>
      <c r="E467" s="17"/>
      <c r="F467" s="18">
        <v>20.423200000000001</v>
      </c>
      <c r="G467" s="19">
        <v>51.941600000000001</v>
      </c>
      <c r="H467" s="20">
        <v>13.0914</v>
      </c>
      <c r="I467" s="21">
        <v>1229.9928</v>
      </c>
      <c r="J467" s="20">
        <v>2594.8521000000001</v>
      </c>
      <c r="K467" s="20">
        <v>721.54930000000002</v>
      </c>
      <c r="M467" t="str">
        <f t="shared" si="98"/>
        <v/>
      </c>
      <c r="N467" s="29" t="str">
        <f t="shared" si="99"/>
        <v xml:space="preserve"> MontraWorld</v>
      </c>
      <c r="O467" t="str">
        <f t="shared" si="100"/>
        <v>L'UNICO (MONTRASIO)</v>
      </c>
      <c r="P467" t="str">
        <f t="shared" si="102"/>
        <v/>
      </c>
      <c r="R467" t="str">
        <f t="shared" si="101"/>
        <v/>
      </c>
      <c r="T467" t="s">
        <v>871</v>
      </c>
      <c r="U467" t="str">
        <f t="shared" si="103"/>
        <v/>
      </c>
      <c r="V467" t="str">
        <f t="shared" si="104"/>
        <v/>
      </c>
      <c r="W467" t="str">
        <f t="shared" si="105"/>
        <v/>
      </c>
      <c r="X467" s="27" t="str">
        <f t="shared" si="106"/>
        <v/>
      </c>
      <c r="Y467" s="27" t="str">
        <f t="shared" si="107"/>
        <v/>
      </c>
      <c r="Z467" s="27" t="str">
        <f t="shared" si="108"/>
        <v/>
      </c>
      <c r="AA467" s="27" t="str">
        <f t="shared" si="109"/>
        <v/>
      </c>
      <c r="AB467" s="27" t="str">
        <f t="shared" si="110"/>
        <v/>
      </c>
      <c r="AC467" s="27" t="str">
        <f t="shared" si="111"/>
        <v/>
      </c>
    </row>
    <row r="468" spans="1:29" ht="15" customHeight="1" x14ac:dyDescent="0.3">
      <c r="A468" s="22" t="s">
        <v>396</v>
      </c>
      <c r="B468" s="23" t="s">
        <v>8</v>
      </c>
      <c r="C468" s="23" t="s">
        <v>9</v>
      </c>
      <c r="D468" s="24" t="s">
        <v>64</v>
      </c>
      <c r="E468" s="24" t="s">
        <v>21</v>
      </c>
      <c r="F468" s="18">
        <v>2.8529</v>
      </c>
      <c r="G468" s="19"/>
      <c r="H468" s="20"/>
      <c r="I468" s="21">
        <v>195.97380000000001</v>
      </c>
      <c r="J468" s="20"/>
      <c r="K468" s="20"/>
      <c r="M468" t="str">
        <f t="shared" si="98"/>
        <v/>
      </c>
      <c r="N468" s="29" t="str">
        <f t="shared" si="99"/>
        <v xml:space="preserve"> MontraWorld</v>
      </c>
      <c r="O468" t="str">
        <f t="shared" si="100"/>
        <v>L'UNICO (MONTRASIO)</v>
      </c>
      <c r="P468" t="str">
        <f t="shared" si="102"/>
        <v/>
      </c>
      <c r="R468" t="str">
        <f t="shared" si="101"/>
        <v/>
      </c>
      <c r="T468" t="s">
        <v>871</v>
      </c>
      <c r="U468" t="str">
        <f t="shared" si="103"/>
        <v/>
      </c>
      <c r="V468" t="str">
        <f t="shared" si="104"/>
        <v/>
      </c>
      <c r="W468" t="str">
        <f t="shared" si="105"/>
        <v/>
      </c>
      <c r="X468" s="27" t="str">
        <f t="shared" si="106"/>
        <v/>
      </c>
      <c r="Y468" s="27" t="str">
        <f t="shared" si="107"/>
        <v/>
      </c>
      <c r="Z468" s="27" t="str">
        <f t="shared" si="108"/>
        <v/>
      </c>
      <c r="AA468" s="27" t="str">
        <f t="shared" si="109"/>
        <v/>
      </c>
      <c r="AB468" s="27" t="str">
        <f t="shared" si="110"/>
        <v/>
      </c>
      <c r="AC468" s="27" t="str">
        <f t="shared" si="111"/>
        <v/>
      </c>
    </row>
    <row r="469" spans="1:29" ht="15" customHeight="1" x14ac:dyDescent="0.3">
      <c r="A469" s="22" t="s">
        <v>397</v>
      </c>
      <c r="B469" s="23" t="s">
        <v>8</v>
      </c>
      <c r="C469" s="23" t="s">
        <v>9</v>
      </c>
      <c r="D469" s="24" t="s">
        <v>64</v>
      </c>
      <c r="E469" s="24" t="s">
        <v>21</v>
      </c>
      <c r="F469" s="18">
        <v>13.515499999999999</v>
      </c>
      <c r="G469" s="19">
        <v>1.9742999999999999</v>
      </c>
      <c r="H469" s="20">
        <v>2.98E-2</v>
      </c>
      <c r="I469" s="21">
        <v>813.32730000000004</v>
      </c>
      <c r="J469" s="20">
        <v>103.7679</v>
      </c>
      <c r="K469" s="20">
        <v>1.4246000000000001</v>
      </c>
      <c r="M469" t="str">
        <f t="shared" si="98"/>
        <v>BIG SOFT SENSITIVE WITH CREAM 100 BAG</v>
      </c>
      <c r="N469" s="29" t="str">
        <f t="shared" si="99"/>
        <v xml:space="preserve"> Moratex Group / Tobi MegaGroup LTD</v>
      </c>
      <c r="O469" t="str">
        <f t="shared" si="100"/>
        <v>BIG SOFT (MORAMEX GROUP / TOBI MG LTD)</v>
      </c>
      <c r="P469" t="str">
        <f t="shared" si="102"/>
        <v xml:space="preserve"> Moratex Group / Tobi MegaGroup LTD</v>
      </c>
      <c r="R469" t="str">
        <f t="shared" si="101"/>
        <v>BIG SOFT (MORAMEX GROUP / TOBI MG LTD)</v>
      </c>
      <c r="T469" t="s">
        <v>396</v>
      </c>
      <c r="U469" t="str">
        <f t="shared" si="103"/>
        <v>BAGS</v>
      </c>
      <c r="V469" t="str">
        <f t="shared" si="104"/>
        <v>SENSITIVE</v>
      </c>
      <c r="W469" t="str">
        <f t="shared" si="105"/>
        <v>100</v>
      </c>
      <c r="X469" s="27">
        <f t="shared" si="106"/>
        <v>2.8529</v>
      </c>
      <c r="Y469" s="27">
        <f t="shared" si="107"/>
        <v>0</v>
      </c>
      <c r="Z469" s="27">
        <f t="shared" si="108"/>
        <v>0</v>
      </c>
      <c r="AA469" s="27">
        <f t="shared" si="109"/>
        <v>195.97380000000001</v>
      </c>
      <c r="AB469" s="27">
        <f t="shared" si="110"/>
        <v>0</v>
      </c>
      <c r="AC469" s="27">
        <f t="shared" si="111"/>
        <v>0</v>
      </c>
    </row>
    <row r="470" spans="1:29" ht="15" customHeight="1" x14ac:dyDescent="0.3">
      <c r="A470" s="22" t="s">
        <v>398</v>
      </c>
      <c r="B470" s="23" t="s">
        <v>8</v>
      </c>
      <c r="C470" s="23" t="s">
        <v>9</v>
      </c>
      <c r="D470" s="24" t="s">
        <v>64</v>
      </c>
      <c r="E470" s="24" t="s">
        <v>24</v>
      </c>
      <c r="F470" s="18"/>
      <c r="G470" s="19">
        <v>47.540100000000002</v>
      </c>
      <c r="H470" s="20">
        <v>13.0617</v>
      </c>
      <c r="I470" s="21"/>
      <c r="J470" s="20">
        <v>2356.4949999999999</v>
      </c>
      <c r="K470" s="20">
        <v>720.12469999999996</v>
      </c>
      <c r="M470" t="str">
        <f t="shared" si="98"/>
        <v>BIGSOFT SENSITIVEWITHCREAM 100 BAG KAPAK</v>
      </c>
      <c r="N470" s="29" t="str">
        <f t="shared" si="99"/>
        <v xml:space="preserve"> Moratex Group / Tobi MegaGroup LTD</v>
      </c>
      <c r="O470" t="str">
        <f t="shared" si="100"/>
        <v>BIG SOFT (MORAMEX GROUP / TOBI MG LTD)</v>
      </c>
      <c r="P470" t="str">
        <f t="shared" si="102"/>
        <v xml:space="preserve"> Moratex Group / Tobi MegaGroup LTD</v>
      </c>
      <c r="R470" t="str">
        <f t="shared" si="101"/>
        <v>BIG SOFT (MORAMEX GROUP / TOBI MG LTD)</v>
      </c>
      <c r="T470" t="s">
        <v>397</v>
      </c>
      <c r="U470" t="str">
        <f t="shared" si="103"/>
        <v>BAGS</v>
      </c>
      <c r="V470" t="str">
        <f t="shared" si="104"/>
        <v>SENSITIVE</v>
      </c>
      <c r="W470" t="str">
        <f t="shared" si="105"/>
        <v>100</v>
      </c>
      <c r="X470" s="27">
        <f t="shared" si="106"/>
        <v>13.515499999999999</v>
      </c>
      <c r="Y470" s="27">
        <f t="shared" si="107"/>
        <v>1.9742999999999999</v>
      </c>
      <c r="Z470" s="27">
        <f t="shared" si="108"/>
        <v>2.98E-2</v>
      </c>
      <c r="AA470" s="27">
        <f t="shared" si="109"/>
        <v>813.32730000000004</v>
      </c>
      <c r="AB470" s="27">
        <f t="shared" si="110"/>
        <v>103.7679</v>
      </c>
      <c r="AC470" s="27">
        <f t="shared" si="111"/>
        <v>1.4246000000000001</v>
      </c>
    </row>
    <row r="471" spans="1:29" ht="15" customHeight="1" x14ac:dyDescent="0.3">
      <c r="A471" s="22" t="s">
        <v>399</v>
      </c>
      <c r="B471" s="23" t="s">
        <v>8</v>
      </c>
      <c r="C471" s="23" t="s">
        <v>9</v>
      </c>
      <c r="D471" s="24" t="s">
        <v>64</v>
      </c>
      <c r="E471" s="24" t="s">
        <v>103</v>
      </c>
      <c r="F471" s="18">
        <v>4.0548000000000002</v>
      </c>
      <c r="G471" s="19">
        <v>2.4268999999999998</v>
      </c>
      <c r="H471" s="20"/>
      <c r="I471" s="21">
        <v>220.69159999999999</v>
      </c>
      <c r="J471" s="20">
        <v>134.58930000000001</v>
      </c>
      <c r="K471" s="20"/>
      <c r="M471" t="str">
        <f t="shared" si="98"/>
        <v>BIG SOFT CREAM SENS.PH5.5 W 120 BAG</v>
      </c>
      <c r="N471" s="29" t="str">
        <f t="shared" si="99"/>
        <v xml:space="preserve"> Moratex Group / Tobi MegaGroup LTD</v>
      </c>
      <c r="O471" t="str">
        <f t="shared" si="100"/>
        <v>BIG SOFT (MORAMEX GROUP / TOBI MG LTD)</v>
      </c>
      <c r="P471" t="str">
        <f t="shared" si="102"/>
        <v xml:space="preserve"> Moratex Group / Tobi MegaGroup LTD</v>
      </c>
      <c r="R471" t="str">
        <f t="shared" si="101"/>
        <v>BIG SOFT (MORAMEX GROUP / TOBI MG LTD)</v>
      </c>
      <c r="T471" t="s">
        <v>398</v>
      </c>
      <c r="U471" t="str">
        <f t="shared" si="103"/>
        <v>BAGS</v>
      </c>
      <c r="V471" t="str">
        <f t="shared" si="104"/>
        <v>SENSITIVE</v>
      </c>
      <c r="W471" t="str">
        <f t="shared" si="105"/>
        <v>120</v>
      </c>
      <c r="X471" s="27">
        <f t="shared" si="106"/>
        <v>0</v>
      </c>
      <c r="Y471" s="27">
        <f t="shared" si="107"/>
        <v>47.540100000000002</v>
      </c>
      <c r="Z471" s="27">
        <f t="shared" si="108"/>
        <v>13.0617</v>
      </c>
      <c r="AA471" s="27">
        <f t="shared" si="109"/>
        <v>0</v>
      </c>
      <c r="AB471" s="27">
        <f t="shared" si="110"/>
        <v>2356.4949999999999</v>
      </c>
      <c r="AC471" s="27">
        <f t="shared" si="111"/>
        <v>720.12469999999996</v>
      </c>
    </row>
    <row r="472" spans="1:29" ht="15" customHeight="1" x14ac:dyDescent="0.3">
      <c r="A472" s="14" t="s">
        <v>400</v>
      </c>
      <c r="B472" s="15" t="s">
        <v>6</v>
      </c>
      <c r="C472" s="16"/>
      <c r="D472" s="17"/>
      <c r="E472" s="17"/>
      <c r="F472" s="18">
        <v>42.300199999999997</v>
      </c>
      <c r="G472" s="19">
        <v>20.829499999999999</v>
      </c>
      <c r="H472" s="20">
        <v>4.8948</v>
      </c>
      <c r="I472" s="21">
        <v>2912.5239999999999</v>
      </c>
      <c r="J472" s="20">
        <v>1143.2672</v>
      </c>
      <c r="K472" s="20">
        <v>245.0727</v>
      </c>
      <c r="M472" t="str">
        <f t="shared" si="98"/>
        <v>BIG SOFT SENSITIVE OLIVE OIL ALOE 70 BAG</v>
      </c>
      <c r="N472" s="29" t="str">
        <f t="shared" si="99"/>
        <v xml:space="preserve"> Moratex Group / Tobi MegaGroup LTD</v>
      </c>
      <c r="O472" t="str">
        <f t="shared" si="100"/>
        <v>BIG SOFT (MORAMEX GROUP / TOBI MG LTD)</v>
      </c>
      <c r="P472" t="str">
        <f t="shared" si="102"/>
        <v xml:space="preserve"> Moratex Group / Tobi MegaGroup LTD</v>
      </c>
      <c r="R472" t="str">
        <f t="shared" si="101"/>
        <v>BIG SOFT (MORAMEX GROUP / TOBI MG LTD)</v>
      </c>
      <c r="T472" t="s">
        <v>399</v>
      </c>
      <c r="U472" t="str">
        <f t="shared" si="103"/>
        <v>BAGS</v>
      </c>
      <c r="V472" t="str">
        <f t="shared" si="104"/>
        <v>SENSITIVE</v>
      </c>
      <c r="W472" t="str">
        <f t="shared" si="105"/>
        <v>70</v>
      </c>
      <c r="X472" s="27">
        <f t="shared" si="106"/>
        <v>4.0548000000000002</v>
      </c>
      <c r="Y472" s="27">
        <f t="shared" si="107"/>
        <v>2.4268999999999998</v>
      </c>
      <c r="Z472" s="27">
        <f t="shared" si="108"/>
        <v>0</v>
      </c>
      <c r="AA472" s="27">
        <f t="shared" si="109"/>
        <v>220.69159999999999</v>
      </c>
      <c r="AB472" s="27">
        <f t="shared" si="110"/>
        <v>134.58930000000001</v>
      </c>
      <c r="AC472" s="27">
        <f t="shared" si="111"/>
        <v>0</v>
      </c>
    </row>
    <row r="473" spans="1:29" ht="15" customHeight="1" x14ac:dyDescent="0.3">
      <c r="A473" s="22" t="s">
        <v>401</v>
      </c>
      <c r="B473" s="23" t="s">
        <v>8</v>
      </c>
      <c r="C473" s="23" t="s">
        <v>9</v>
      </c>
      <c r="D473" s="24" t="s">
        <v>20</v>
      </c>
      <c r="E473" s="24" t="s">
        <v>103</v>
      </c>
      <c r="F473" s="18">
        <v>42.300199999999997</v>
      </c>
      <c r="G473" s="19">
        <v>20.829499999999999</v>
      </c>
      <c r="H473" s="20">
        <v>4.8948</v>
      </c>
      <c r="I473" s="21">
        <v>2912.5239999999999</v>
      </c>
      <c r="J473" s="20">
        <v>1143.2672</v>
      </c>
      <c r="K473" s="20">
        <v>245.0727</v>
      </c>
      <c r="M473" t="str">
        <f t="shared" si="98"/>
        <v/>
      </c>
      <c r="N473" s="29" t="str">
        <f t="shared" si="99"/>
        <v xml:space="preserve"> Moratex Group / Tobi MegaGroup LTD</v>
      </c>
      <c r="O473" t="str">
        <f t="shared" si="100"/>
        <v>BIG SOFT (MORAMEX GROUP / TOBI MG LTD)</v>
      </c>
      <c r="P473" t="str">
        <f t="shared" si="102"/>
        <v/>
      </c>
      <c r="R473" t="str">
        <f t="shared" si="101"/>
        <v/>
      </c>
      <c r="T473" t="s">
        <v>871</v>
      </c>
      <c r="U473" t="str">
        <f t="shared" si="103"/>
        <v/>
      </c>
      <c r="V473" t="str">
        <f t="shared" si="104"/>
        <v/>
      </c>
      <c r="W473" t="str">
        <f t="shared" si="105"/>
        <v/>
      </c>
      <c r="X473" s="27" t="str">
        <f t="shared" si="106"/>
        <v/>
      </c>
      <c r="Y473" s="27" t="str">
        <f t="shared" si="107"/>
        <v/>
      </c>
      <c r="Z473" s="27" t="str">
        <f t="shared" si="108"/>
        <v/>
      </c>
      <c r="AA473" s="27" t="str">
        <f t="shared" si="109"/>
        <v/>
      </c>
      <c r="AB473" s="27" t="str">
        <f t="shared" si="110"/>
        <v/>
      </c>
      <c r="AC473" s="27" t="str">
        <f t="shared" si="111"/>
        <v/>
      </c>
    </row>
    <row r="474" spans="1:29" ht="14.25" customHeight="1" x14ac:dyDescent="0.3">
      <c r="A474" s="25" t="s">
        <v>775</v>
      </c>
      <c r="B474" s="4" t="s">
        <v>5</v>
      </c>
      <c r="C474" s="4"/>
      <c r="D474" s="5"/>
      <c r="E474" s="5"/>
      <c r="F474" s="10">
        <v>27.204899999999999</v>
      </c>
      <c r="G474" s="11">
        <v>84.962400000000002</v>
      </c>
      <c r="H474" s="12">
        <v>67.934799999999996</v>
      </c>
      <c r="I474" s="13">
        <v>1705.1168</v>
      </c>
      <c r="J474" s="12">
        <v>4625.1881000000003</v>
      </c>
      <c r="K474" s="12">
        <v>3467.3735000000001</v>
      </c>
      <c r="M474" t="str">
        <f t="shared" si="98"/>
        <v>HAPPY FAMILY BABY PH5.5 W 70 BAG</v>
      </c>
      <c r="N474" s="29" t="str">
        <f t="shared" si="99"/>
        <v xml:space="preserve"> Moratex Group / Tobi MegaGroup LTD</v>
      </c>
      <c r="O474" t="str">
        <f t="shared" si="100"/>
        <v>HAPPY (MORAMEX GROUP / TOBI MG LTD)</v>
      </c>
      <c r="P474" t="str">
        <f t="shared" si="102"/>
        <v xml:space="preserve"> Moratex Group / Tobi MegaGroup LTD</v>
      </c>
      <c r="R474" t="str">
        <f t="shared" si="101"/>
        <v>HAPPY (MORAMEX GROUP / TOBI MG LTD)</v>
      </c>
      <c r="T474" t="s">
        <v>401</v>
      </c>
      <c r="U474" t="str">
        <f t="shared" si="103"/>
        <v>BAGS</v>
      </c>
      <c r="V474" t="str">
        <f t="shared" si="104"/>
        <v>PH BALANCED</v>
      </c>
      <c r="W474" t="str">
        <f t="shared" si="105"/>
        <v>70</v>
      </c>
      <c r="X474" s="27">
        <f t="shared" si="106"/>
        <v>42.300199999999997</v>
      </c>
      <c r="Y474" s="27">
        <f t="shared" si="107"/>
        <v>20.829499999999999</v>
      </c>
      <c r="Z474" s="27">
        <f t="shared" si="108"/>
        <v>4.8948</v>
      </c>
      <c r="AA474" s="27">
        <f t="shared" si="109"/>
        <v>2912.5239999999999</v>
      </c>
      <c r="AB474" s="27">
        <f t="shared" si="110"/>
        <v>1143.2672</v>
      </c>
      <c r="AC474" s="27">
        <f t="shared" si="111"/>
        <v>245.0727</v>
      </c>
    </row>
    <row r="475" spans="1:29" ht="15" customHeight="1" x14ac:dyDescent="0.3">
      <c r="A475" s="14" t="s">
        <v>402</v>
      </c>
      <c r="B475" s="15" t="s">
        <v>6</v>
      </c>
      <c r="C475" s="16"/>
      <c r="D475" s="17"/>
      <c r="E475" s="17"/>
      <c r="F475" s="18">
        <v>12.6196</v>
      </c>
      <c r="G475" s="19">
        <v>0.30170000000000002</v>
      </c>
      <c r="H475" s="20"/>
      <c r="I475" s="21">
        <v>774.8818</v>
      </c>
      <c r="J475" s="20">
        <v>18.222799999999999</v>
      </c>
      <c r="K475" s="20"/>
      <c r="M475" t="str">
        <f t="shared" si="98"/>
        <v/>
      </c>
      <c r="N475" s="29" t="str">
        <f t="shared" si="99"/>
        <v xml:space="preserve"> Moratex Group / Tobi MegaGroup LTD</v>
      </c>
      <c r="O475" t="str">
        <f t="shared" si="100"/>
        <v>HAPPY (MORAMEX GROUP / TOBI MG LTD)</v>
      </c>
      <c r="P475" t="str">
        <f t="shared" si="102"/>
        <v/>
      </c>
      <c r="R475" t="str">
        <f t="shared" si="101"/>
        <v/>
      </c>
      <c r="T475" t="s">
        <v>871</v>
      </c>
      <c r="U475" t="str">
        <f t="shared" si="103"/>
        <v/>
      </c>
      <c r="V475" t="str">
        <f t="shared" si="104"/>
        <v/>
      </c>
      <c r="W475" t="str">
        <f t="shared" si="105"/>
        <v/>
      </c>
      <c r="X475" s="27" t="str">
        <f t="shared" si="106"/>
        <v/>
      </c>
      <c r="Y475" s="27" t="str">
        <f t="shared" si="107"/>
        <v/>
      </c>
      <c r="Z475" s="27" t="str">
        <f t="shared" si="108"/>
        <v/>
      </c>
      <c r="AA475" s="27" t="str">
        <f t="shared" si="109"/>
        <v/>
      </c>
      <c r="AB475" s="27" t="str">
        <f t="shared" si="110"/>
        <v/>
      </c>
      <c r="AC475" s="27" t="str">
        <f t="shared" si="111"/>
        <v/>
      </c>
    </row>
    <row r="476" spans="1:29" ht="15" customHeight="1" x14ac:dyDescent="0.3">
      <c r="A476" s="22" t="s">
        <v>403</v>
      </c>
      <c r="B476" s="23" t="s">
        <v>8</v>
      </c>
      <c r="C476" s="23" t="s">
        <v>9</v>
      </c>
      <c r="D476" s="24" t="s">
        <v>20</v>
      </c>
      <c r="E476" s="24" t="s">
        <v>24</v>
      </c>
      <c r="F476" s="18">
        <v>12.6196</v>
      </c>
      <c r="G476" s="19">
        <v>0.30170000000000002</v>
      </c>
      <c r="H476" s="20"/>
      <c r="I476" s="21">
        <v>774.8818</v>
      </c>
      <c r="J476" s="20">
        <v>18.222799999999999</v>
      </c>
      <c r="K476" s="20"/>
      <c r="M476" t="str">
        <f t="shared" si="98"/>
        <v/>
      </c>
      <c r="N476" s="29" t="str">
        <f t="shared" si="99"/>
        <v xml:space="preserve"> Moratex Group / Tobi MegaGroup LTD</v>
      </c>
      <c r="O476" t="str">
        <f t="shared" si="100"/>
        <v>HAPPY (MORAMEX GROUP / TOBI MG LTD)</v>
      </c>
      <c r="P476" t="str">
        <f t="shared" si="102"/>
        <v/>
      </c>
      <c r="R476" t="str">
        <f t="shared" si="101"/>
        <v/>
      </c>
      <c r="T476" t="s">
        <v>871</v>
      </c>
      <c r="U476" t="str">
        <f t="shared" si="103"/>
        <v/>
      </c>
      <c r="V476" t="str">
        <f t="shared" si="104"/>
        <v/>
      </c>
      <c r="W476" t="str">
        <f t="shared" si="105"/>
        <v/>
      </c>
      <c r="X476" s="27" t="str">
        <f t="shared" si="106"/>
        <v/>
      </c>
      <c r="Y476" s="27" t="str">
        <f t="shared" si="107"/>
        <v/>
      </c>
      <c r="Z476" s="27" t="str">
        <f t="shared" si="108"/>
        <v/>
      </c>
      <c r="AA476" s="27" t="str">
        <f t="shared" si="109"/>
        <v/>
      </c>
      <c r="AB476" s="27" t="str">
        <f t="shared" si="110"/>
        <v/>
      </c>
      <c r="AC476" s="27" t="str">
        <f t="shared" si="111"/>
        <v/>
      </c>
    </row>
    <row r="477" spans="1:29" ht="15" customHeight="1" x14ac:dyDescent="0.3">
      <c r="A477" s="14" t="s">
        <v>404</v>
      </c>
      <c r="B477" s="15" t="s">
        <v>6</v>
      </c>
      <c r="C477" s="16"/>
      <c r="D477" s="17"/>
      <c r="E477" s="17"/>
      <c r="F477" s="18">
        <v>14.5854</v>
      </c>
      <c r="G477" s="19">
        <v>84.660600000000002</v>
      </c>
      <c r="H477" s="20">
        <v>67.934799999999996</v>
      </c>
      <c r="I477" s="21">
        <v>930.23509999999999</v>
      </c>
      <c r="J477" s="20">
        <v>4606.9654</v>
      </c>
      <c r="K477" s="20">
        <v>3467.3735000000001</v>
      </c>
      <c r="M477" t="str">
        <f t="shared" si="98"/>
        <v>MORS CHAMOMILE PH5.5 W 120 BAG KAPAK</v>
      </c>
      <c r="N477" s="29" t="str">
        <f t="shared" si="99"/>
        <v xml:space="preserve"> MoreBeauty</v>
      </c>
      <c r="O477" t="str">
        <f t="shared" si="100"/>
        <v>MORS (MORS COSMETICS)</v>
      </c>
      <c r="P477" t="str">
        <f t="shared" si="102"/>
        <v xml:space="preserve"> MoreBeauty</v>
      </c>
      <c r="R477" t="str">
        <f t="shared" si="101"/>
        <v>MORS (MORS COSMETICS)</v>
      </c>
      <c r="T477" t="s">
        <v>403</v>
      </c>
      <c r="U477" t="str">
        <f t="shared" si="103"/>
        <v>BAGS</v>
      </c>
      <c r="V477" t="str">
        <f t="shared" si="104"/>
        <v>PH BALANCED</v>
      </c>
      <c r="W477" t="str">
        <f t="shared" si="105"/>
        <v>120</v>
      </c>
      <c r="X477" s="27">
        <f t="shared" si="106"/>
        <v>12.6196</v>
      </c>
      <c r="Y477" s="27">
        <f t="shared" si="107"/>
        <v>0.30170000000000002</v>
      </c>
      <c r="Z477" s="27">
        <f t="shared" si="108"/>
        <v>0</v>
      </c>
      <c r="AA477" s="27">
        <f t="shared" si="109"/>
        <v>774.8818</v>
      </c>
      <c r="AB477" s="27">
        <f t="shared" si="110"/>
        <v>18.222799999999999</v>
      </c>
      <c r="AC477" s="27">
        <f t="shared" si="111"/>
        <v>0</v>
      </c>
    </row>
    <row r="478" spans="1:29" ht="15" customHeight="1" x14ac:dyDescent="0.3">
      <c r="A478" s="22" t="s">
        <v>405</v>
      </c>
      <c r="B478" s="23" t="s">
        <v>8</v>
      </c>
      <c r="C478" s="23" t="s">
        <v>9</v>
      </c>
      <c r="D478" s="24" t="s">
        <v>30</v>
      </c>
      <c r="E478" s="24" t="s">
        <v>24</v>
      </c>
      <c r="F478" s="18"/>
      <c r="G478" s="19">
        <v>39.128300000000003</v>
      </c>
      <c r="H478" s="20">
        <v>18.019200000000001</v>
      </c>
      <c r="I478" s="21"/>
      <c r="J478" s="20">
        <v>2116.4569999999999</v>
      </c>
      <c r="K478" s="20">
        <v>1056.0386000000001</v>
      </c>
      <c r="M478" t="str">
        <f t="shared" si="98"/>
        <v/>
      </c>
      <c r="N478" s="29" t="str">
        <f t="shared" si="99"/>
        <v xml:space="preserve"> MoreBeauty</v>
      </c>
      <c r="O478" t="str">
        <f t="shared" si="100"/>
        <v>MORS (MORS COSMETICS)</v>
      </c>
      <c r="P478" t="str">
        <f t="shared" si="102"/>
        <v/>
      </c>
      <c r="R478" t="str">
        <f t="shared" si="101"/>
        <v/>
      </c>
      <c r="T478" t="s">
        <v>871</v>
      </c>
      <c r="U478" t="str">
        <f t="shared" si="103"/>
        <v/>
      </c>
      <c r="V478" t="str">
        <f t="shared" si="104"/>
        <v/>
      </c>
      <c r="W478" t="str">
        <f t="shared" si="105"/>
        <v/>
      </c>
      <c r="X478" s="27" t="str">
        <f t="shared" si="106"/>
        <v/>
      </c>
      <c r="Y478" s="27" t="str">
        <f t="shared" si="107"/>
        <v/>
      </c>
      <c r="Z478" s="27" t="str">
        <f t="shared" si="108"/>
        <v/>
      </c>
      <c r="AA478" s="27" t="str">
        <f t="shared" si="109"/>
        <v/>
      </c>
      <c r="AB478" s="27" t="str">
        <f t="shared" si="110"/>
        <v/>
      </c>
      <c r="AC478" s="27" t="str">
        <f t="shared" si="111"/>
        <v/>
      </c>
    </row>
    <row r="479" spans="1:29" ht="15" customHeight="1" x14ac:dyDescent="0.3">
      <c r="A479" s="22" t="s">
        <v>406</v>
      </c>
      <c r="B479" s="23" t="s">
        <v>8</v>
      </c>
      <c r="C479" s="23" t="s">
        <v>9</v>
      </c>
      <c r="D479" s="24" t="s">
        <v>30</v>
      </c>
      <c r="E479" s="24" t="s">
        <v>42</v>
      </c>
      <c r="F479" s="18">
        <v>14.5854</v>
      </c>
      <c r="G479" s="19">
        <v>45.532299999999999</v>
      </c>
      <c r="H479" s="20">
        <v>49.915700000000001</v>
      </c>
      <c r="I479" s="21">
        <v>930.23509999999999</v>
      </c>
      <c r="J479" s="20">
        <v>2490.5082000000002</v>
      </c>
      <c r="K479" s="20">
        <v>2411.3348000000001</v>
      </c>
      <c r="M479" t="str">
        <f t="shared" si="98"/>
        <v>WIPEST COMFORT ALC.FREE W 120 BAG KAPAK</v>
      </c>
      <c r="N479" s="29" t="str">
        <f t="shared" si="99"/>
        <v xml:space="preserve"> MoreBeauty</v>
      </c>
      <c r="O479" t="str">
        <f t="shared" si="100"/>
        <v>WIPEST (MORS COSMETICS)</v>
      </c>
      <c r="P479" t="str">
        <f t="shared" si="102"/>
        <v xml:space="preserve"> MoreBeauty</v>
      </c>
      <c r="R479" t="str">
        <f t="shared" si="101"/>
        <v>WIPEST (MORS COSMETICS)</v>
      </c>
      <c r="T479" t="s">
        <v>405</v>
      </c>
      <c r="U479" t="str">
        <f t="shared" si="103"/>
        <v>BAGS</v>
      </c>
      <c r="V479" t="str">
        <f t="shared" si="104"/>
        <v>ALCOHOL FREE</v>
      </c>
      <c r="W479" t="str">
        <f t="shared" si="105"/>
        <v>120</v>
      </c>
      <c r="X479" s="27">
        <f t="shared" si="106"/>
        <v>0</v>
      </c>
      <c r="Y479" s="27">
        <f t="shared" si="107"/>
        <v>39.128300000000003</v>
      </c>
      <c r="Z479" s="27">
        <f t="shared" si="108"/>
        <v>18.019200000000001</v>
      </c>
      <c r="AA479" s="27">
        <f t="shared" si="109"/>
        <v>0</v>
      </c>
      <c r="AB479" s="27">
        <f t="shared" si="110"/>
        <v>2116.4569999999999</v>
      </c>
      <c r="AC479" s="27">
        <f t="shared" si="111"/>
        <v>1056.0386000000001</v>
      </c>
    </row>
    <row r="480" spans="1:29" ht="14.25" customHeight="1" x14ac:dyDescent="0.3">
      <c r="A480" s="25" t="s">
        <v>776</v>
      </c>
      <c r="B480" s="4" t="s">
        <v>5</v>
      </c>
      <c r="C480" s="4"/>
      <c r="D480" s="5"/>
      <c r="E480" s="5"/>
      <c r="F480" s="10">
        <v>0.31290000000000001</v>
      </c>
      <c r="G480" s="11">
        <v>4.0300000000000002E-2</v>
      </c>
      <c r="H480" s="12"/>
      <c r="I480" s="13">
        <v>2.3519999999999999</v>
      </c>
      <c r="J480" s="12">
        <v>0.30399999999999999</v>
      </c>
      <c r="K480" s="12"/>
      <c r="M480" t="str">
        <f t="shared" si="98"/>
        <v>WIPEST COMFORT ALC.FREE W 72 BAG KAPAK</v>
      </c>
      <c r="N480" s="29" t="str">
        <f t="shared" si="99"/>
        <v xml:space="preserve"> MoreBeauty</v>
      </c>
      <c r="O480" t="str">
        <f t="shared" si="100"/>
        <v>WIPEST (MORS COSMETICS)</v>
      </c>
      <c r="P480" t="str">
        <f t="shared" si="102"/>
        <v xml:space="preserve"> MoreBeauty</v>
      </c>
      <c r="R480" t="str">
        <f t="shared" si="101"/>
        <v>WIPEST (MORS COSMETICS)</v>
      </c>
      <c r="T480" t="s">
        <v>406</v>
      </c>
      <c r="U480" t="str">
        <f t="shared" si="103"/>
        <v>BAGS</v>
      </c>
      <c r="V480" t="str">
        <f t="shared" si="104"/>
        <v>ALCOHOL FREE</v>
      </c>
      <c r="W480" t="str">
        <f t="shared" si="105"/>
        <v>72</v>
      </c>
      <c r="X480" s="27">
        <f t="shared" si="106"/>
        <v>14.5854</v>
      </c>
      <c r="Y480" s="27">
        <f t="shared" si="107"/>
        <v>45.532299999999999</v>
      </c>
      <c r="Z480" s="27">
        <f t="shared" si="108"/>
        <v>49.915700000000001</v>
      </c>
      <c r="AA480" s="27">
        <f t="shared" si="109"/>
        <v>930.23509999999999</v>
      </c>
      <c r="AB480" s="27">
        <f t="shared" si="110"/>
        <v>2490.5082000000002</v>
      </c>
      <c r="AC480" s="27">
        <f t="shared" si="111"/>
        <v>2411.3348000000001</v>
      </c>
    </row>
    <row r="481" spans="1:29" ht="15" customHeight="1" x14ac:dyDescent="0.3">
      <c r="A481" s="14" t="s">
        <v>407</v>
      </c>
      <c r="B481" s="15" t="s">
        <v>6</v>
      </c>
      <c r="C481" s="16"/>
      <c r="D481" s="17"/>
      <c r="E481" s="17"/>
      <c r="F481" s="18">
        <v>0.31290000000000001</v>
      </c>
      <c r="G481" s="19">
        <v>4.0300000000000002E-2</v>
      </c>
      <c r="H481" s="20"/>
      <c r="I481" s="21">
        <v>2.3519999999999999</v>
      </c>
      <c r="J481" s="20">
        <v>0.30399999999999999</v>
      </c>
      <c r="K481" s="20"/>
      <c r="M481" t="str">
        <f t="shared" si="98"/>
        <v/>
      </c>
      <c r="N481" s="29" t="str">
        <f t="shared" si="99"/>
        <v xml:space="preserve"> MoreBeauty</v>
      </c>
      <c r="O481" t="str">
        <f t="shared" si="100"/>
        <v>WIPEST (MORS COSMETICS)</v>
      </c>
      <c r="P481" t="str">
        <f t="shared" si="102"/>
        <v/>
      </c>
      <c r="R481" t="str">
        <f t="shared" si="101"/>
        <v/>
      </c>
      <c r="T481" t="s">
        <v>871</v>
      </c>
      <c r="U481" t="str">
        <f t="shared" si="103"/>
        <v/>
      </c>
      <c r="V481" t="str">
        <f t="shared" si="104"/>
        <v/>
      </c>
      <c r="W481" t="str">
        <f t="shared" si="105"/>
        <v/>
      </c>
      <c r="X481" s="27" t="str">
        <f t="shared" si="106"/>
        <v/>
      </c>
      <c r="Y481" s="27" t="str">
        <f t="shared" si="107"/>
        <v/>
      </c>
      <c r="Z481" s="27" t="str">
        <f t="shared" si="108"/>
        <v/>
      </c>
      <c r="AA481" s="27" t="str">
        <f t="shared" si="109"/>
        <v/>
      </c>
      <c r="AB481" s="27" t="str">
        <f t="shared" si="110"/>
        <v/>
      </c>
      <c r="AC481" s="27" t="str">
        <f t="shared" si="111"/>
        <v/>
      </c>
    </row>
    <row r="482" spans="1:29" ht="15" customHeight="1" x14ac:dyDescent="0.3">
      <c r="A482" s="22" t="s">
        <v>408</v>
      </c>
      <c r="B482" s="23" t="s">
        <v>8</v>
      </c>
      <c r="C482" s="23" t="s">
        <v>9</v>
      </c>
      <c r="D482" s="24" t="s">
        <v>64</v>
      </c>
      <c r="E482" s="24" t="s">
        <v>34</v>
      </c>
      <c r="F482" s="18">
        <v>0.1139</v>
      </c>
      <c r="G482" s="19">
        <v>4.0300000000000002E-2</v>
      </c>
      <c r="H482" s="20"/>
      <c r="I482" s="21">
        <v>0.85599999999999998</v>
      </c>
      <c r="J482" s="20">
        <v>0.30399999999999999</v>
      </c>
      <c r="K482" s="20"/>
      <c r="M482" t="str">
        <f t="shared" si="98"/>
        <v/>
      </c>
      <c r="N482" s="29" t="str">
        <f t="shared" si="99"/>
        <v xml:space="preserve"> MoreBeauty</v>
      </c>
      <c r="O482" t="str">
        <f t="shared" si="100"/>
        <v>WIPEST (MORS COSMETICS)</v>
      </c>
      <c r="P482" t="str">
        <f t="shared" si="102"/>
        <v/>
      </c>
      <c r="R482" t="str">
        <f t="shared" si="101"/>
        <v/>
      </c>
      <c r="T482" t="s">
        <v>871</v>
      </c>
      <c r="U482" t="str">
        <f t="shared" si="103"/>
        <v/>
      </c>
      <c r="V482" t="str">
        <f t="shared" si="104"/>
        <v/>
      </c>
      <c r="W482" t="str">
        <f t="shared" si="105"/>
        <v/>
      </c>
      <c r="X482" s="27" t="str">
        <f t="shared" si="106"/>
        <v/>
      </c>
      <c r="Y482" s="27" t="str">
        <f t="shared" si="107"/>
        <v/>
      </c>
      <c r="Z482" s="27" t="str">
        <f t="shared" si="108"/>
        <v/>
      </c>
      <c r="AA482" s="27" t="str">
        <f t="shared" si="109"/>
        <v/>
      </c>
      <c r="AB482" s="27" t="str">
        <f t="shared" si="110"/>
        <v/>
      </c>
      <c r="AC482" s="27" t="str">
        <f t="shared" si="111"/>
        <v/>
      </c>
    </row>
    <row r="483" spans="1:29" ht="15" customHeight="1" x14ac:dyDescent="0.3">
      <c r="A483" s="22" t="s">
        <v>409</v>
      </c>
      <c r="B483" s="23" t="s">
        <v>8</v>
      </c>
      <c r="C483" s="23" t="s">
        <v>9</v>
      </c>
      <c r="D483" s="24" t="s">
        <v>64</v>
      </c>
      <c r="E483" s="24" t="s">
        <v>34</v>
      </c>
      <c r="F483" s="18">
        <v>0.19919999999999999</v>
      </c>
      <c r="G483" s="19"/>
      <c r="H483" s="20"/>
      <c r="I483" s="21">
        <v>1.496</v>
      </c>
      <c r="J483" s="20"/>
      <c r="K483" s="20"/>
      <c r="M483" t="str">
        <f t="shared" si="98"/>
        <v>NATY SENSITIVE ALOE VERA W 56 BAG</v>
      </c>
      <c r="N483" s="29" t="str">
        <f t="shared" si="99"/>
        <v xml:space="preserve"> NaturalCo AB</v>
      </c>
      <c r="O483" t="str">
        <f t="shared" si="100"/>
        <v>NATY (NATY AB)</v>
      </c>
      <c r="P483" t="str">
        <f t="shared" si="102"/>
        <v xml:space="preserve"> NaturalCo AB</v>
      </c>
      <c r="R483" t="str">
        <f t="shared" si="101"/>
        <v>NATY (NATY AB)</v>
      </c>
      <c r="T483" t="s">
        <v>408</v>
      </c>
      <c r="U483" t="str">
        <f t="shared" si="103"/>
        <v>BAGS</v>
      </c>
      <c r="V483" t="str">
        <f t="shared" si="104"/>
        <v>SENSITIVE</v>
      </c>
      <c r="W483" t="str">
        <f t="shared" si="105"/>
        <v>56</v>
      </c>
      <c r="X483" s="27">
        <f t="shared" si="106"/>
        <v>0.1139</v>
      </c>
      <c r="Y483" s="27">
        <f t="shared" si="107"/>
        <v>4.0300000000000002E-2</v>
      </c>
      <c r="Z483" s="27">
        <f t="shared" si="108"/>
        <v>0</v>
      </c>
      <c r="AA483" s="27">
        <f t="shared" si="109"/>
        <v>0.85599999999999998</v>
      </c>
      <c r="AB483" s="27">
        <f t="shared" si="110"/>
        <v>0.30399999999999999</v>
      </c>
      <c r="AC483" s="27">
        <f t="shared" si="111"/>
        <v>0</v>
      </c>
    </row>
    <row r="484" spans="1:29" ht="14.25" customHeight="1" x14ac:dyDescent="0.3">
      <c r="A484" s="25" t="s">
        <v>777</v>
      </c>
      <c r="B484" s="4" t="s">
        <v>5</v>
      </c>
      <c r="C484" s="4"/>
      <c r="D484" s="5"/>
      <c r="E484" s="5"/>
      <c r="F484" s="10">
        <v>131.49090000000001</v>
      </c>
      <c r="G484" s="11">
        <v>246.0711</v>
      </c>
      <c r="H484" s="12">
        <v>78.181899999999999</v>
      </c>
      <c r="I484" s="13">
        <v>7528.2015000000001</v>
      </c>
      <c r="J484" s="12">
        <v>14073.58</v>
      </c>
      <c r="K484" s="12">
        <v>4344.6674999999996</v>
      </c>
      <c r="M484" t="str">
        <f t="shared" si="98"/>
        <v>NATY SENSITIVE W 56 BAG NATY AB</v>
      </c>
      <c r="N484" s="29" t="str">
        <f t="shared" si="99"/>
        <v xml:space="preserve"> NaturalCo AB</v>
      </c>
      <c r="O484" t="str">
        <f t="shared" si="100"/>
        <v>NATY (NATY AB)</v>
      </c>
      <c r="P484" t="str">
        <f t="shared" si="102"/>
        <v xml:space="preserve"> NaturalCo AB</v>
      </c>
      <c r="R484" t="str">
        <f t="shared" si="101"/>
        <v>NATY (NATY AB)</v>
      </c>
      <c r="T484" t="s">
        <v>409</v>
      </c>
      <c r="U484" t="str">
        <f t="shared" si="103"/>
        <v>BAGS</v>
      </c>
      <c r="V484" t="str">
        <f t="shared" si="104"/>
        <v>SENSITIVE</v>
      </c>
      <c r="W484" t="str">
        <f t="shared" si="105"/>
        <v>56</v>
      </c>
      <c r="X484" s="27">
        <f t="shared" si="106"/>
        <v>0.19919999999999999</v>
      </c>
      <c r="Y484" s="27">
        <f t="shared" si="107"/>
        <v>0</v>
      </c>
      <c r="Z484" s="27">
        <f t="shared" si="108"/>
        <v>0</v>
      </c>
      <c r="AA484" s="27">
        <f t="shared" si="109"/>
        <v>1.496</v>
      </c>
      <c r="AB484" s="27">
        <f t="shared" si="110"/>
        <v>0</v>
      </c>
      <c r="AC484" s="27">
        <f t="shared" si="111"/>
        <v>0</v>
      </c>
    </row>
    <row r="485" spans="1:29" ht="15" customHeight="1" x14ac:dyDescent="0.3">
      <c r="A485" s="14" t="s">
        <v>410</v>
      </c>
      <c r="B485" s="15" t="s">
        <v>6</v>
      </c>
      <c r="C485" s="16"/>
      <c r="D485" s="17"/>
      <c r="E485" s="17"/>
      <c r="F485" s="18">
        <v>17.142399999999999</v>
      </c>
      <c r="G485" s="19">
        <v>6.4819000000000004</v>
      </c>
      <c r="H485" s="20">
        <v>0.25540000000000002</v>
      </c>
      <c r="I485" s="21">
        <v>938.0729</v>
      </c>
      <c r="J485" s="20">
        <v>380.07749999999999</v>
      </c>
      <c r="K485" s="20">
        <v>12.7729</v>
      </c>
      <c r="M485" t="str">
        <f t="shared" si="98"/>
        <v/>
      </c>
      <c r="N485" s="29" t="str">
        <f t="shared" si="99"/>
        <v xml:space="preserve"> NaturalCo AB</v>
      </c>
      <c r="O485" t="str">
        <f t="shared" si="100"/>
        <v>NATY (NATY AB)</v>
      </c>
      <c r="P485" t="str">
        <f t="shared" si="102"/>
        <v/>
      </c>
      <c r="R485" t="str">
        <f t="shared" si="101"/>
        <v/>
      </c>
      <c r="T485" t="s">
        <v>871</v>
      </c>
      <c r="U485" t="str">
        <f t="shared" si="103"/>
        <v/>
      </c>
      <c r="V485" t="str">
        <f t="shared" si="104"/>
        <v/>
      </c>
      <c r="W485" t="str">
        <f t="shared" si="105"/>
        <v/>
      </c>
      <c r="X485" s="27" t="str">
        <f t="shared" si="106"/>
        <v/>
      </c>
      <c r="Y485" s="27" t="str">
        <f t="shared" si="107"/>
        <v/>
      </c>
      <c r="Z485" s="27" t="str">
        <f t="shared" si="108"/>
        <v/>
      </c>
      <c r="AA485" s="27" t="str">
        <f t="shared" si="109"/>
        <v/>
      </c>
      <c r="AB485" s="27" t="str">
        <f t="shared" si="110"/>
        <v/>
      </c>
      <c r="AC485" s="27" t="str">
        <f t="shared" si="111"/>
        <v/>
      </c>
    </row>
    <row r="486" spans="1:29" ht="15" customHeight="1" x14ac:dyDescent="0.3">
      <c r="A486" s="22" t="s">
        <v>411</v>
      </c>
      <c r="B486" s="23" t="s">
        <v>8</v>
      </c>
      <c r="C486" s="23" t="s">
        <v>9</v>
      </c>
      <c r="D486" s="24" t="s">
        <v>30</v>
      </c>
      <c r="E486" s="24" t="s">
        <v>21</v>
      </c>
      <c r="F486" s="18">
        <v>4.4461000000000004</v>
      </c>
      <c r="G486" s="19">
        <v>2.0626000000000002</v>
      </c>
      <c r="H486" s="20"/>
      <c r="I486" s="21">
        <v>234.7319</v>
      </c>
      <c r="J486" s="20">
        <v>137.5095</v>
      </c>
      <c r="K486" s="20"/>
      <c r="M486" t="str">
        <f t="shared" si="98"/>
        <v/>
      </c>
      <c r="N486" s="29" t="str">
        <f t="shared" si="99"/>
        <v xml:space="preserve"> NaturalCo AB</v>
      </c>
      <c r="O486" t="str">
        <f t="shared" si="100"/>
        <v>NATY (NATY AB)</v>
      </c>
      <c r="P486" t="str">
        <f t="shared" si="102"/>
        <v/>
      </c>
      <c r="R486" t="str">
        <f t="shared" si="101"/>
        <v/>
      </c>
      <c r="T486" t="s">
        <v>871</v>
      </c>
      <c r="U486" t="str">
        <f t="shared" si="103"/>
        <v/>
      </c>
      <c r="V486" t="str">
        <f t="shared" si="104"/>
        <v/>
      </c>
      <c r="W486" t="str">
        <f t="shared" si="105"/>
        <v/>
      </c>
      <c r="X486" s="27" t="str">
        <f t="shared" si="106"/>
        <v/>
      </c>
      <c r="Y486" s="27" t="str">
        <f t="shared" si="107"/>
        <v/>
      </c>
      <c r="Z486" s="27" t="str">
        <f t="shared" si="108"/>
        <v/>
      </c>
      <c r="AA486" s="27" t="str">
        <f t="shared" si="109"/>
        <v/>
      </c>
      <c r="AB486" s="27" t="str">
        <f t="shared" si="110"/>
        <v/>
      </c>
      <c r="AC486" s="27" t="str">
        <f t="shared" si="111"/>
        <v/>
      </c>
    </row>
    <row r="487" spans="1:29" ht="15" customHeight="1" x14ac:dyDescent="0.3">
      <c r="A487" s="22" t="s">
        <v>412</v>
      </c>
      <c r="B487" s="23" t="s">
        <v>8</v>
      </c>
      <c r="C487" s="23" t="s">
        <v>9</v>
      </c>
      <c r="D487" s="24" t="s">
        <v>20</v>
      </c>
      <c r="E487" s="24" t="s">
        <v>26</v>
      </c>
      <c r="F487" s="18">
        <v>0.15609999999999999</v>
      </c>
      <c r="G487" s="19">
        <v>2.98E-2</v>
      </c>
      <c r="H487" s="20">
        <v>0.25540000000000002</v>
      </c>
      <c r="I487" s="21">
        <v>9.3703000000000003</v>
      </c>
      <c r="J487" s="20">
        <v>1.4905999999999999</v>
      </c>
      <c r="K487" s="20">
        <v>12.7729</v>
      </c>
      <c r="M487" t="str">
        <f t="shared" si="98"/>
        <v>FRESH BABY PREMIUM ALC.FREE W 100 BAG</v>
      </c>
      <c r="N487" s="29" t="str">
        <f t="shared" si="99"/>
        <v xml:space="preserve"> Voyage Turkey</v>
      </c>
      <c r="O487" t="str">
        <f t="shared" si="100"/>
        <v>FRESH BABY (NAVIGA TURKEY)</v>
      </c>
      <c r="P487" t="str">
        <f t="shared" si="102"/>
        <v xml:space="preserve"> Voyage Turkey</v>
      </c>
      <c r="R487" t="str">
        <f t="shared" si="101"/>
        <v>FRESH BABY (NAVIGA TURKEY)</v>
      </c>
      <c r="T487" t="s">
        <v>411</v>
      </c>
      <c r="U487" t="str">
        <f t="shared" si="103"/>
        <v>BAGS</v>
      </c>
      <c r="V487" t="str">
        <f t="shared" si="104"/>
        <v>ALCOHOL FREE</v>
      </c>
      <c r="W487" t="str">
        <f t="shared" si="105"/>
        <v>100</v>
      </c>
      <c r="X487" s="27">
        <f t="shared" si="106"/>
        <v>4.4461000000000004</v>
      </c>
      <c r="Y487" s="27">
        <f t="shared" si="107"/>
        <v>2.0626000000000002</v>
      </c>
      <c r="Z487" s="27">
        <f t="shared" si="108"/>
        <v>0</v>
      </c>
      <c r="AA487" s="27">
        <f t="shared" si="109"/>
        <v>234.7319</v>
      </c>
      <c r="AB487" s="27">
        <f t="shared" si="110"/>
        <v>137.5095</v>
      </c>
      <c r="AC487" s="27">
        <f t="shared" si="111"/>
        <v>0</v>
      </c>
    </row>
    <row r="488" spans="1:29" ht="15" customHeight="1" x14ac:dyDescent="0.3">
      <c r="A488" s="22" t="s">
        <v>413</v>
      </c>
      <c r="B488" s="23" t="s">
        <v>8</v>
      </c>
      <c r="C488" s="23" t="s">
        <v>9</v>
      </c>
      <c r="D488" s="24" t="s">
        <v>10</v>
      </c>
      <c r="E488" s="24" t="s">
        <v>99</v>
      </c>
      <c r="F488" s="18">
        <v>1.8445</v>
      </c>
      <c r="G488" s="19"/>
      <c r="H488" s="20"/>
      <c r="I488" s="21">
        <v>41.871899999999997</v>
      </c>
      <c r="J488" s="20"/>
      <c r="K488" s="20"/>
      <c r="M488" t="str">
        <f t="shared" si="98"/>
        <v>FRESH BABY PH5.5 W 15 BAG</v>
      </c>
      <c r="N488" s="29" t="str">
        <f t="shared" si="99"/>
        <v xml:space="preserve"> Voyage Turkey</v>
      </c>
      <c r="O488" t="str">
        <f t="shared" si="100"/>
        <v>FRESH BABY (NAVIGA TURKEY)</v>
      </c>
      <c r="P488" t="str">
        <f t="shared" si="102"/>
        <v xml:space="preserve"> Voyage Turkey</v>
      </c>
      <c r="R488" t="str">
        <f t="shared" si="101"/>
        <v>FRESH BABY (NAVIGA TURKEY)</v>
      </c>
      <c r="T488" t="s">
        <v>412</v>
      </c>
      <c r="U488" t="str">
        <f t="shared" si="103"/>
        <v>BAGS</v>
      </c>
      <c r="V488" t="str">
        <f t="shared" si="104"/>
        <v>PH BALANCED</v>
      </c>
      <c r="W488" t="str">
        <f t="shared" si="105"/>
        <v>15</v>
      </c>
      <c r="X488" s="27">
        <f t="shared" si="106"/>
        <v>0.15609999999999999</v>
      </c>
      <c r="Y488" s="27">
        <f t="shared" si="107"/>
        <v>2.98E-2</v>
      </c>
      <c r="Z488" s="27">
        <f t="shared" si="108"/>
        <v>0.25540000000000002</v>
      </c>
      <c r="AA488" s="27">
        <f t="shared" si="109"/>
        <v>9.3703000000000003</v>
      </c>
      <c r="AB488" s="27">
        <f t="shared" si="110"/>
        <v>1.4905999999999999</v>
      </c>
      <c r="AC488" s="27">
        <f t="shared" si="111"/>
        <v>12.7729</v>
      </c>
    </row>
    <row r="489" spans="1:29" ht="15" customHeight="1" x14ac:dyDescent="0.3">
      <c r="A489" s="22" t="s">
        <v>414</v>
      </c>
      <c r="B489" s="23" t="s">
        <v>8</v>
      </c>
      <c r="C489" s="23" t="s">
        <v>9</v>
      </c>
      <c r="D489" s="24" t="s">
        <v>20</v>
      </c>
      <c r="E489" s="24" t="s">
        <v>42</v>
      </c>
      <c r="F489" s="18">
        <v>0.57199999999999995</v>
      </c>
      <c r="G489" s="19"/>
      <c r="H489" s="20"/>
      <c r="I489" s="21">
        <v>34.318100000000001</v>
      </c>
      <c r="J489" s="20"/>
      <c r="K489" s="20"/>
      <c r="M489" t="str">
        <f t="shared" si="98"/>
        <v>FRESH BABY WATER 99.9% W 60 BAG</v>
      </c>
      <c r="N489" s="29" t="str">
        <f t="shared" si="99"/>
        <v xml:space="preserve"> Voyage Turkey</v>
      </c>
      <c r="O489" t="str">
        <f t="shared" si="100"/>
        <v>FRESH BABY (NAVIGA TURKEY)</v>
      </c>
      <c r="P489" t="str">
        <f t="shared" si="102"/>
        <v xml:space="preserve"> Voyage Turkey</v>
      </c>
      <c r="R489" t="str">
        <f t="shared" si="101"/>
        <v>FRESH BABY (NAVIGA TURKEY)</v>
      </c>
      <c r="T489" t="s">
        <v>413</v>
      </c>
      <c r="U489" t="str">
        <f t="shared" si="103"/>
        <v>BAGS</v>
      </c>
      <c r="V489" t="str">
        <f t="shared" si="104"/>
        <v>WITHOUT EXTRA PROTECTCARE INDICATION</v>
      </c>
      <c r="W489" t="str">
        <f t="shared" si="105"/>
        <v>60</v>
      </c>
      <c r="X489" s="27">
        <f t="shared" si="106"/>
        <v>1.8445</v>
      </c>
      <c r="Y489" s="27">
        <f t="shared" si="107"/>
        <v>0</v>
      </c>
      <c r="Z489" s="27">
        <f t="shared" si="108"/>
        <v>0</v>
      </c>
      <c r="AA489" s="27">
        <f t="shared" si="109"/>
        <v>41.871899999999997</v>
      </c>
      <c r="AB489" s="27">
        <f t="shared" si="110"/>
        <v>0</v>
      </c>
      <c r="AC489" s="27">
        <f t="shared" si="111"/>
        <v>0</v>
      </c>
    </row>
    <row r="490" spans="1:29" ht="15" customHeight="1" x14ac:dyDescent="0.3">
      <c r="A490" s="22" t="s">
        <v>415</v>
      </c>
      <c r="B490" s="23" t="s">
        <v>8</v>
      </c>
      <c r="C490" s="23" t="s">
        <v>9</v>
      </c>
      <c r="D490" s="24" t="s">
        <v>20</v>
      </c>
      <c r="E490" s="24" t="s">
        <v>42</v>
      </c>
      <c r="F490" s="18">
        <v>10.123900000000001</v>
      </c>
      <c r="G490" s="19">
        <v>4.3895</v>
      </c>
      <c r="H490" s="20"/>
      <c r="I490" s="21">
        <v>617.78060000000005</v>
      </c>
      <c r="J490" s="20">
        <v>241.07740000000001</v>
      </c>
      <c r="K490" s="20"/>
      <c r="M490" t="str">
        <f t="shared" si="98"/>
        <v>FRESH BABY P H5.5 W 72 BAG</v>
      </c>
      <c r="N490" s="29" t="str">
        <f t="shared" si="99"/>
        <v xml:space="preserve"> Voyage Turkey</v>
      </c>
      <c r="O490" t="str">
        <f t="shared" si="100"/>
        <v>FRESH BABY (NAVIGA TURKEY)</v>
      </c>
      <c r="P490" t="str">
        <f t="shared" si="102"/>
        <v xml:space="preserve"> Voyage Turkey</v>
      </c>
      <c r="R490" t="str">
        <f t="shared" si="101"/>
        <v>FRESH BABY (NAVIGA TURKEY)</v>
      </c>
      <c r="T490" t="s">
        <v>414</v>
      </c>
      <c r="U490" t="str">
        <f t="shared" si="103"/>
        <v>BAGS</v>
      </c>
      <c r="V490" t="str">
        <f t="shared" si="104"/>
        <v>PH BALANCED</v>
      </c>
      <c r="W490" t="str">
        <f t="shared" si="105"/>
        <v>72</v>
      </c>
      <c r="X490" s="27">
        <f t="shared" si="106"/>
        <v>0.57199999999999995</v>
      </c>
      <c r="Y490" s="27">
        <f t="shared" si="107"/>
        <v>0</v>
      </c>
      <c r="Z490" s="27">
        <f t="shared" si="108"/>
        <v>0</v>
      </c>
      <c r="AA490" s="27">
        <f t="shared" si="109"/>
        <v>34.318100000000001</v>
      </c>
      <c r="AB490" s="27">
        <f t="shared" si="110"/>
        <v>0</v>
      </c>
      <c r="AC490" s="27">
        <f t="shared" si="111"/>
        <v>0</v>
      </c>
    </row>
    <row r="491" spans="1:29" ht="15" customHeight="1" x14ac:dyDescent="0.3">
      <c r="A491" s="14" t="s">
        <v>416</v>
      </c>
      <c r="B491" s="15" t="s">
        <v>6</v>
      </c>
      <c r="C491" s="16"/>
      <c r="D491" s="17"/>
      <c r="E491" s="17"/>
      <c r="F491" s="18"/>
      <c r="G491" s="19">
        <v>71.560299999999998</v>
      </c>
      <c r="H491" s="20">
        <v>32.9009</v>
      </c>
      <c r="I491" s="21"/>
      <c r="J491" s="20">
        <v>4107.0888999999997</v>
      </c>
      <c r="K491" s="20">
        <v>1795.3303000000001</v>
      </c>
      <c r="M491" t="str">
        <f t="shared" si="98"/>
        <v>FRESH BABY PH5.5 W 72 BAG KAPAK</v>
      </c>
      <c r="N491" s="29" t="str">
        <f t="shared" si="99"/>
        <v xml:space="preserve"> Voyage Turkey</v>
      </c>
      <c r="O491" t="str">
        <f t="shared" si="100"/>
        <v>FRESH BABY (NAVIGA TURKEY)</v>
      </c>
      <c r="P491" t="str">
        <f t="shared" si="102"/>
        <v xml:space="preserve"> Voyage Turkey</v>
      </c>
      <c r="R491" t="str">
        <f t="shared" si="101"/>
        <v>FRESH BABY (NAVIGA TURKEY)</v>
      </c>
      <c r="T491" t="s">
        <v>415</v>
      </c>
      <c r="U491" t="str">
        <f t="shared" si="103"/>
        <v>BAGS</v>
      </c>
      <c r="V491" t="str">
        <f t="shared" si="104"/>
        <v>PH BALANCED</v>
      </c>
      <c r="W491" t="str">
        <f t="shared" si="105"/>
        <v>72</v>
      </c>
      <c r="X491" s="27">
        <f t="shared" si="106"/>
        <v>10.123900000000001</v>
      </c>
      <c r="Y491" s="27">
        <f t="shared" si="107"/>
        <v>4.3895</v>
      </c>
      <c r="Z491" s="27">
        <f t="shared" si="108"/>
        <v>0</v>
      </c>
      <c r="AA491" s="27">
        <f t="shared" si="109"/>
        <v>617.78060000000005</v>
      </c>
      <c r="AB491" s="27">
        <f t="shared" si="110"/>
        <v>241.07740000000001</v>
      </c>
      <c r="AC491" s="27">
        <f t="shared" si="111"/>
        <v>0</v>
      </c>
    </row>
    <row r="492" spans="1:29" ht="15" customHeight="1" x14ac:dyDescent="0.3">
      <c r="A492" s="22" t="s">
        <v>417</v>
      </c>
      <c r="B492" s="23" t="s">
        <v>8</v>
      </c>
      <c r="C492" s="23" t="s">
        <v>9</v>
      </c>
      <c r="D492" s="24" t="s">
        <v>64</v>
      </c>
      <c r="E492" s="24" t="s">
        <v>24</v>
      </c>
      <c r="F492" s="18"/>
      <c r="G492" s="19">
        <v>56.203800000000001</v>
      </c>
      <c r="H492" s="20">
        <v>22.180299999999999</v>
      </c>
      <c r="I492" s="21"/>
      <c r="J492" s="20">
        <v>3259.8697999999999</v>
      </c>
      <c r="K492" s="20">
        <v>1260.6195</v>
      </c>
      <c r="M492" t="str">
        <f t="shared" si="98"/>
        <v/>
      </c>
      <c r="N492" s="29" t="str">
        <f t="shared" si="99"/>
        <v xml:space="preserve"> Voyage Turkey</v>
      </c>
      <c r="O492" t="str">
        <f t="shared" si="100"/>
        <v>FRESH BABY (NAVIGA TURKEY)</v>
      </c>
      <c r="P492" t="str">
        <f t="shared" si="102"/>
        <v/>
      </c>
      <c r="R492" t="str">
        <f t="shared" si="101"/>
        <v/>
      </c>
      <c r="T492" t="s">
        <v>871</v>
      </c>
      <c r="U492" t="str">
        <f t="shared" si="103"/>
        <v/>
      </c>
      <c r="V492" t="str">
        <f t="shared" si="104"/>
        <v/>
      </c>
      <c r="W492" t="str">
        <f t="shared" si="105"/>
        <v/>
      </c>
      <c r="X492" s="27" t="str">
        <f t="shared" si="106"/>
        <v/>
      </c>
      <c r="Y492" s="27" t="str">
        <f t="shared" si="107"/>
        <v/>
      </c>
      <c r="Z492" s="27" t="str">
        <f t="shared" si="108"/>
        <v/>
      </c>
      <c r="AA492" s="27" t="str">
        <f t="shared" si="109"/>
        <v/>
      </c>
      <c r="AB492" s="27" t="str">
        <f t="shared" si="110"/>
        <v/>
      </c>
      <c r="AC492" s="27" t="str">
        <f t="shared" si="111"/>
        <v/>
      </c>
    </row>
    <row r="493" spans="1:29" ht="15" customHeight="1" x14ac:dyDescent="0.3">
      <c r="A493" s="22" t="s">
        <v>418</v>
      </c>
      <c r="B493" s="23" t="s">
        <v>8</v>
      </c>
      <c r="C493" s="23" t="s">
        <v>9</v>
      </c>
      <c r="D493" s="24" t="s">
        <v>64</v>
      </c>
      <c r="E493" s="24" t="s">
        <v>42</v>
      </c>
      <c r="F493" s="18"/>
      <c r="G493" s="19">
        <v>15.356400000000001</v>
      </c>
      <c r="H493" s="20">
        <v>10.720599999999999</v>
      </c>
      <c r="I493" s="21"/>
      <c r="J493" s="20">
        <v>847.21910000000003</v>
      </c>
      <c r="K493" s="20">
        <v>534.71069999999997</v>
      </c>
      <c r="M493" t="str">
        <f t="shared" si="98"/>
        <v>GOLDEN SENSITIVE W 120 BAG</v>
      </c>
      <c r="N493" s="29" t="str">
        <f t="shared" si="99"/>
        <v xml:space="preserve"> Voyage Turkey</v>
      </c>
      <c r="O493" t="str">
        <f t="shared" si="100"/>
        <v>GOLDEN (NAVIGA TURKEY)</v>
      </c>
      <c r="P493" t="str">
        <f t="shared" si="102"/>
        <v xml:space="preserve"> Voyage Turkey</v>
      </c>
      <c r="R493" t="str">
        <f t="shared" si="101"/>
        <v>GOLDEN (NAVIGA TURKEY)</v>
      </c>
      <c r="T493" t="s">
        <v>417</v>
      </c>
      <c r="U493" t="str">
        <f t="shared" si="103"/>
        <v>BAGS</v>
      </c>
      <c r="V493" t="str">
        <f t="shared" si="104"/>
        <v>SENSITIVE</v>
      </c>
      <c r="W493" t="str">
        <f t="shared" si="105"/>
        <v>120</v>
      </c>
      <c r="X493" s="27">
        <f t="shared" si="106"/>
        <v>0</v>
      </c>
      <c r="Y493" s="27">
        <f t="shared" si="107"/>
        <v>56.203800000000001</v>
      </c>
      <c r="Z493" s="27">
        <f t="shared" si="108"/>
        <v>22.180299999999999</v>
      </c>
      <c r="AA493" s="27">
        <f t="shared" si="109"/>
        <v>0</v>
      </c>
      <c r="AB493" s="27">
        <f t="shared" si="110"/>
        <v>3259.8697999999999</v>
      </c>
      <c r="AC493" s="27">
        <f t="shared" si="111"/>
        <v>1260.6195</v>
      </c>
    </row>
    <row r="494" spans="1:29" ht="15" customHeight="1" x14ac:dyDescent="0.3">
      <c r="A494" s="14" t="s">
        <v>419</v>
      </c>
      <c r="B494" s="15" t="s">
        <v>6</v>
      </c>
      <c r="C494" s="16"/>
      <c r="D494" s="17"/>
      <c r="E494" s="17"/>
      <c r="F494" s="18">
        <v>1.0731999999999999</v>
      </c>
      <c r="G494" s="19"/>
      <c r="H494" s="20"/>
      <c r="I494" s="21">
        <v>47.075600000000001</v>
      </c>
      <c r="J494" s="20"/>
      <c r="K494" s="20"/>
      <c r="M494" t="str">
        <f t="shared" si="98"/>
        <v>GOLDEN SENSITIVE W 72 BAG</v>
      </c>
      <c r="N494" s="29" t="str">
        <f t="shared" si="99"/>
        <v xml:space="preserve"> Voyage Turkey</v>
      </c>
      <c r="O494" t="str">
        <f t="shared" si="100"/>
        <v>GOLDEN (NAVIGA TURKEY)</v>
      </c>
      <c r="P494" t="str">
        <f t="shared" si="102"/>
        <v xml:space="preserve"> Voyage Turkey</v>
      </c>
      <c r="R494" t="str">
        <f t="shared" si="101"/>
        <v>GOLDEN (NAVIGA TURKEY)</v>
      </c>
      <c r="T494" t="s">
        <v>418</v>
      </c>
      <c r="U494" t="str">
        <f t="shared" si="103"/>
        <v>BAGS</v>
      </c>
      <c r="V494" t="str">
        <f t="shared" si="104"/>
        <v>SENSITIVE</v>
      </c>
      <c r="W494" t="str">
        <f t="shared" si="105"/>
        <v>72</v>
      </c>
      <c r="X494" s="27">
        <f t="shared" si="106"/>
        <v>0</v>
      </c>
      <c r="Y494" s="27">
        <f t="shared" si="107"/>
        <v>15.356400000000001</v>
      </c>
      <c r="Z494" s="27">
        <f t="shared" si="108"/>
        <v>10.720599999999999</v>
      </c>
      <c r="AA494" s="27">
        <f t="shared" si="109"/>
        <v>0</v>
      </c>
      <c r="AB494" s="27">
        <f t="shared" si="110"/>
        <v>847.21910000000003</v>
      </c>
      <c r="AC494" s="27">
        <f t="shared" si="111"/>
        <v>534.71069999999997</v>
      </c>
    </row>
    <row r="495" spans="1:29" ht="15" customHeight="1" x14ac:dyDescent="0.3">
      <c r="A495" s="22" t="s">
        <v>420</v>
      </c>
      <c r="B495" s="23" t="s">
        <v>8</v>
      </c>
      <c r="C495" s="23" t="s">
        <v>9</v>
      </c>
      <c r="D495" s="24" t="s">
        <v>10</v>
      </c>
      <c r="E495" s="24" t="s">
        <v>17</v>
      </c>
      <c r="F495" s="18">
        <v>1.0731999999999999</v>
      </c>
      <c r="G495" s="19"/>
      <c r="H495" s="20"/>
      <c r="I495" s="21">
        <v>47.075600000000001</v>
      </c>
      <c r="J495" s="20"/>
      <c r="K495" s="20"/>
      <c r="M495" t="str">
        <f t="shared" si="98"/>
        <v/>
      </c>
      <c r="N495" s="29" t="str">
        <f t="shared" si="99"/>
        <v xml:space="preserve"> Voyage Turkey</v>
      </c>
      <c r="O495" t="str">
        <f t="shared" si="100"/>
        <v>GOLDEN (NAVIGA TURKEY)</v>
      </c>
      <c r="P495" t="str">
        <f t="shared" si="102"/>
        <v/>
      </c>
      <c r="R495" t="str">
        <f t="shared" si="101"/>
        <v/>
      </c>
      <c r="T495" t="s">
        <v>871</v>
      </c>
      <c r="U495" t="str">
        <f t="shared" si="103"/>
        <v/>
      </c>
      <c r="V495" t="str">
        <f t="shared" si="104"/>
        <v/>
      </c>
      <c r="W495" t="str">
        <f t="shared" si="105"/>
        <v/>
      </c>
      <c r="X495" s="27" t="str">
        <f t="shared" si="106"/>
        <v/>
      </c>
      <c r="Y495" s="27" t="str">
        <f t="shared" si="107"/>
        <v/>
      </c>
      <c r="Z495" s="27" t="str">
        <f t="shared" si="108"/>
        <v/>
      </c>
      <c r="AA495" s="27" t="str">
        <f t="shared" si="109"/>
        <v/>
      </c>
      <c r="AB495" s="27" t="str">
        <f t="shared" si="110"/>
        <v/>
      </c>
      <c r="AC495" s="27" t="str">
        <f t="shared" si="111"/>
        <v/>
      </c>
    </row>
    <row r="496" spans="1:29" ht="15" customHeight="1" x14ac:dyDescent="0.3">
      <c r="A496" s="14" t="s">
        <v>421</v>
      </c>
      <c r="B496" s="15" t="s">
        <v>6</v>
      </c>
      <c r="C496" s="16"/>
      <c r="D496" s="17"/>
      <c r="E496" s="17"/>
      <c r="F496" s="18">
        <v>2.6486999999999998</v>
      </c>
      <c r="G496" s="19"/>
      <c r="H496" s="20"/>
      <c r="I496" s="21">
        <v>124.62050000000001</v>
      </c>
      <c r="J496" s="20"/>
      <c r="K496" s="20"/>
      <c r="M496" t="str">
        <f t="shared" si="98"/>
        <v>MY FIX BABY ROSE FRESH W 80 BAG KAPAK</v>
      </c>
      <c r="N496" s="29" t="str">
        <f t="shared" si="99"/>
        <v xml:space="preserve"> Voyage Turkey</v>
      </c>
      <c r="O496" t="str">
        <f t="shared" si="100"/>
        <v>MY FIX (NAVIGA TURKEY)</v>
      </c>
      <c r="P496" t="str">
        <f t="shared" si="102"/>
        <v xml:space="preserve"> Voyage Turkey</v>
      </c>
      <c r="R496" t="str">
        <f t="shared" si="101"/>
        <v>MY FIX (NAVIGA TURKEY)</v>
      </c>
      <c r="T496" t="s">
        <v>420</v>
      </c>
      <c r="U496" t="str">
        <f t="shared" si="103"/>
        <v>BAGS</v>
      </c>
      <c r="V496" t="str">
        <f t="shared" si="104"/>
        <v>WITHOUT EXTRA PROTECTCARE INDICATION</v>
      </c>
      <c r="W496" t="str">
        <f t="shared" si="105"/>
        <v>80</v>
      </c>
      <c r="X496" s="27">
        <f t="shared" si="106"/>
        <v>1.0731999999999999</v>
      </c>
      <c r="Y496" s="27">
        <f t="shared" si="107"/>
        <v>0</v>
      </c>
      <c r="Z496" s="27">
        <f t="shared" si="108"/>
        <v>0</v>
      </c>
      <c r="AA496" s="27">
        <f t="shared" si="109"/>
        <v>47.075600000000001</v>
      </c>
      <c r="AB496" s="27">
        <f t="shared" si="110"/>
        <v>0</v>
      </c>
      <c r="AC496" s="27">
        <f t="shared" si="111"/>
        <v>0</v>
      </c>
    </row>
    <row r="497" spans="1:29" ht="15" customHeight="1" x14ac:dyDescent="0.3">
      <c r="A497" s="22" t="s">
        <v>422</v>
      </c>
      <c r="B497" s="23" t="s">
        <v>8</v>
      </c>
      <c r="C497" s="23" t="s">
        <v>9</v>
      </c>
      <c r="D497" s="24" t="s">
        <v>64</v>
      </c>
      <c r="E497" s="24" t="s">
        <v>423</v>
      </c>
      <c r="F497" s="18">
        <v>2.6486999999999998</v>
      </c>
      <c r="G497" s="19"/>
      <c r="H497" s="20"/>
      <c r="I497" s="21">
        <v>124.62050000000001</v>
      </c>
      <c r="J497" s="20"/>
      <c r="K497" s="20"/>
      <c r="M497" t="str">
        <f t="shared" si="98"/>
        <v/>
      </c>
      <c r="N497" s="29" t="str">
        <f t="shared" si="99"/>
        <v xml:space="preserve"> Voyage Turkey</v>
      </c>
      <c r="O497" t="str">
        <f t="shared" si="100"/>
        <v>MY FIX (NAVIGA TURKEY)</v>
      </c>
      <c r="P497" t="str">
        <f t="shared" si="102"/>
        <v/>
      </c>
      <c r="R497" t="str">
        <f t="shared" si="101"/>
        <v/>
      </c>
      <c r="T497" t="s">
        <v>871</v>
      </c>
      <c r="U497" t="str">
        <f t="shared" si="103"/>
        <v/>
      </c>
      <c r="V497" t="str">
        <f t="shared" si="104"/>
        <v/>
      </c>
      <c r="W497" t="str">
        <f t="shared" si="105"/>
        <v/>
      </c>
      <c r="X497" s="27" t="str">
        <f t="shared" si="106"/>
        <v/>
      </c>
      <c r="Y497" s="27" t="str">
        <f t="shared" si="107"/>
        <v/>
      </c>
      <c r="Z497" s="27" t="str">
        <f t="shared" si="108"/>
        <v/>
      </c>
      <c r="AA497" s="27" t="str">
        <f t="shared" si="109"/>
        <v/>
      </c>
      <c r="AB497" s="27" t="str">
        <f t="shared" si="110"/>
        <v/>
      </c>
      <c r="AC497" s="27" t="str">
        <f t="shared" si="111"/>
        <v/>
      </c>
    </row>
    <row r="498" spans="1:29" ht="15" customHeight="1" x14ac:dyDescent="0.3">
      <c r="A498" s="14" t="s">
        <v>424</v>
      </c>
      <c r="B498" s="15" t="s">
        <v>6</v>
      </c>
      <c r="C498" s="16"/>
      <c r="D498" s="17"/>
      <c r="E498" s="17"/>
      <c r="F498" s="18">
        <v>110.6263</v>
      </c>
      <c r="G498" s="19">
        <v>168.029</v>
      </c>
      <c r="H498" s="20">
        <v>45.025399999999998</v>
      </c>
      <c r="I498" s="21">
        <v>6418.4327000000003</v>
      </c>
      <c r="J498" s="20">
        <v>9586.4138000000003</v>
      </c>
      <c r="K498" s="20">
        <v>2536.5643</v>
      </c>
      <c r="M498" t="str">
        <f t="shared" si="98"/>
        <v>PUFFY BABY SENSITIVE PURE W 88 BAG KAPAK</v>
      </c>
      <c r="N498" s="29" t="str">
        <f t="shared" si="99"/>
        <v xml:space="preserve"> Voyage Turkey</v>
      </c>
      <c r="O498" t="str">
        <f t="shared" si="100"/>
        <v>PUFFY (NAVIGA TURKEY)</v>
      </c>
      <c r="P498" t="str">
        <f t="shared" si="102"/>
        <v xml:space="preserve"> Voyage Turkey</v>
      </c>
      <c r="R498" t="str">
        <f t="shared" si="101"/>
        <v>PUFFY (NAVIGA TURKEY)</v>
      </c>
      <c r="T498" t="s">
        <v>422</v>
      </c>
      <c r="U498" t="str">
        <f t="shared" si="103"/>
        <v>BAGS</v>
      </c>
      <c r="V498" t="str">
        <f t="shared" si="104"/>
        <v>SENSITIVE</v>
      </c>
      <c r="W498" t="str">
        <f t="shared" si="105"/>
        <v>88</v>
      </c>
      <c r="X498" s="27">
        <f t="shared" si="106"/>
        <v>2.6486999999999998</v>
      </c>
      <c r="Y498" s="27">
        <f t="shared" si="107"/>
        <v>0</v>
      </c>
      <c r="Z498" s="27">
        <f t="shared" si="108"/>
        <v>0</v>
      </c>
      <c r="AA498" s="27">
        <f t="shared" si="109"/>
        <v>124.62050000000001</v>
      </c>
      <c r="AB498" s="27">
        <f t="shared" si="110"/>
        <v>0</v>
      </c>
      <c r="AC498" s="27">
        <f t="shared" si="111"/>
        <v>0</v>
      </c>
    </row>
    <row r="499" spans="1:29" ht="15" customHeight="1" x14ac:dyDescent="0.3">
      <c r="A499" s="22" t="s">
        <v>425</v>
      </c>
      <c r="B499" s="23" t="s">
        <v>8</v>
      </c>
      <c r="C499" s="23" t="s">
        <v>9</v>
      </c>
      <c r="D499" s="24" t="s">
        <v>20</v>
      </c>
      <c r="E499" s="24" t="s">
        <v>24</v>
      </c>
      <c r="F499" s="18">
        <v>84.095799999999997</v>
      </c>
      <c r="G499" s="19">
        <v>151.49979999999999</v>
      </c>
      <c r="H499" s="20">
        <v>39.488900000000001</v>
      </c>
      <c r="I499" s="21">
        <v>4863.5491000000002</v>
      </c>
      <c r="J499" s="20">
        <v>8687.4974999999995</v>
      </c>
      <c r="K499" s="20">
        <v>2240.9688000000001</v>
      </c>
      <c r="M499" t="str">
        <f t="shared" si="98"/>
        <v/>
      </c>
      <c r="N499" s="29" t="str">
        <f t="shared" si="99"/>
        <v xml:space="preserve"> Voyage Turkey</v>
      </c>
      <c r="O499" t="str">
        <f t="shared" si="100"/>
        <v>PUFFY (NAVIGA TURKEY)</v>
      </c>
      <c r="P499" t="str">
        <f t="shared" si="102"/>
        <v/>
      </c>
      <c r="R499" t="str">
        <f t="shared" si="101"/>
        <v/>
      </c>
      <c r="T499" t="s">
        <v>871</v>
      </c>
      <c r="U499" t="str">
        <f t="shared" si="103"/>
        <v/>
      </c>
      <c r="V499" t="str">
        <f t="shared" si="104"/>
        <v/>
      </c>
      <c r="W499" t="str">
        <f t="shared" si="105"/>
        <v/>
      </c>
      <c r="X499" s="27" t="str">
        <f t="shared" si="106"/>
        <v/>
      </c>
      <c r="Y499" s="27" t="str">
        <f t="shared" si="107"/>
        <v/>
      </c>
      <c r="Z499" s="27" t="str">
        <f t="shared" si="108"/>
        <v/>
      </c>
      <c r="AA499" s="27" t="str">
        <f t="shared" si="109"/>
        <v/>
      </c>
      <c r="AB499" s="27" t="str">
        <f t="shared" si="110"/>
        <v/>
      </c>
      <c r="AC499" s="27" t="str">
        <f t="shared" si="111"/>
        <v/>
      </c>
    </row>
    <row r="500" spans="1:29" ht="15" customHeight="1" x14ac:dyDescent="0.3">
      <c r="A500" s="22" t="s">
        <v>426</v>
      </c>
      <c r="B500" s="23" t="s">
        <v>8</v>
      </c>
      <c r="C500" s="23" t="s">
        <v>9</v>
      </c>
      <c r="D500" s="24" t="s">
        <v>20</v>
      </c>
      <c r="E500" s="24" t="s">
        <v>42</v>
      </c>
      <c r="F500" s="18">
        <v>24.440899999999999</v>
      </c>
      <c r="G500" s="19">
        <v>13.931900000000001</v>
      </c>
      <c r="H500" s="20">
        <v>5.4257</v>
      </c>
      <c r="I500" s="21">
        <v>1419.3269</v>
      </c>
      <c r="J500" s="20">
        <v>757.8877</v>
      </c>
      <c r="K500" s="20">
        <v>289.12630000000001</v>
      </c>
      <c r="M500" t="str">
        <f t="shared" si="98"/>
        <v>TITO BABY SOFT COMFORT PH5.5 W 120 BAG</v>
      </c>
      <c r="N500" s="29" t="str">
        <f t="shared" si="99"/>
        <v xml:space="preserve"> Voyage Turkey</v>
      </c>
      <c r="O500" t="str">
        <f t="shared" si="100"/>
        <v>TITO (NAVIGA TURKEY)</v>
      </c>
      <c r="P500" t="str">
        <f t="shared" si="102"/>
        <v xml:space="preserve"> Voyage Turkey</v>
      </c>
      <c r="R500" t="str">
        <f t="shared" si="101"/>
        <v>TITO (NAVIGA TURKEY)</v>
      </c>
      <c r="T500" t="s">
        <v>425</v>
      </c>
      <c r="U500" t="str">
        <f t="shared" si="103"/>
        <v>BAGS</v>
      </c>
      <c r="V500" t="str">
        <f t="shared" si="104"/>
        <v>PH BALANCED</v>
      </c>
      <c r="W500" t="str">
        <f t="shared" si="105"/>
        <v>120</v>
      </c>
      <c r="X500" s="27">
        <f t="shared" si="106"/>
        <v>84.095799999999997</v>
      </c>
      <c r="Y500" s="27">
        <f t="shared" si="107"/>
        <v>151.49979999999999</v>
      </c>
      <c r="Z500" s="27">
        <f t="shared" si="108"/>
        <v>39.488900000000001</v>
      </c>
      <c r="AA500" s="27">
        <f t="shared" si="109"/>
        <v>4863.5491000000002</v>
      </c>
      <c r="AB500" s="27">
        <f t="shared" si="110"/>
        <v>8687.4974999999995</v>
      </c>
      <c r="AC500" s="27">
        <f t="shared" si="111"/>
        <v>2240.9688000000001</v>
      </c>
    </row>
    <row r="501" spans="1:29" ht="15" customHeight="1" x14ac:dyDescent="0.3">
      <c r="A501" s="22" t="s">
        <v>427</v>
      </c>
      <c r="B501" s="23" t="s">
        <v>8</v>
      </c>
      <c r="C501" s="23" t="s">
        <v>9</v>
      </c>
      <c r="D501" s="24" t="s">
        <v>20</v>
      </c>
      <c r="E501" s="24" t="s">
        <v>42</v>
      </c>
      <c r="F501" s="18">
        <v>2.0893000000000002</v>
      </c>
      <c r="G501" s="19">
        <v>2.5973000000000002</v>
      </c>
      <c r="H501" s="20">
        <v>0.1109</v>
      </c>
      <c r="I501" s="21">
        <v>135.5565</v>
      </c>
      <c r="J501" s="20">
        <v>141.02850000000001</v>
      </c>
      <c r="K501" s="20">
        <v>6.4691999999999998</v>
      </c>
      <c r="M501" t="str">
        <f t="shared" si="98"/>
        <v>TITO BABY PH5.5 ALC.FREE W 72 BAG KAPAK</v>
      </c>
      <c r="N501" s="29" t="str">
        <f t="shared" si="99"/>
        <v xml:space="preserve"> Voyage Turkey</v>
      </c>
      <c r="O501" t="str">
        <f t="shared" si="100"/>
        <v>TITO (NAVIGA TURKEY)</v>
      </c>
      <c r="P501" t="str">
        <f t="shared" si="102"/>
        <v xml:space="preserve"> Voyage Turkey</v>
      </c>
      <c r="R501" t="str">
        <f t="shared" si="101"/>
        <v>TITO (NAVIGA TURKEY)</v>
      </c>
      <c r="T501" t="s">
        <v>426</v>
      </c>
      <c r="U501" t="str">
        <f t="shared" si="103"/>
        <v>BAGS</v>
      </c>
      <c r="V501" t="str">
        <f t="shared" si="104"/>
        <v>PH BALANCED</v>
      </c>
      <c r="W501" t="str">
        <f t="shared" si="105"/>
        <v>72</v>
      </c>
      <c r="X501" s="27">
        <f t="shared" si="106"/>
        <v>24.440899999999999</v>
      </c>
      <c r="Y501" s="27">
        <f t="shared" si="107"/>
        <v>13.931900000000001</v>
      </c>
      <c r="Z501" s="27">
        <f t="shared" si="108"/>
        <v>5.4257</v>
      </c>
      <c r="AA501" s="27">
        <f t="shared" si="109"/>
        <v>1419.3269</v>
      </c>
      <c r="AB501" s="27">
        <f t="shared" si="110"/>
        <v>757.8877</v>
      </c>
      <c r="AC501" s="27">
        <f t="shared" si="111"/>
        <v>289.12630000000001</v>
      </c>
    </row>
    <row r="502" spans="1:29" ht="14.25" customHeight="1" x14ac:dyDescent="0.3">
      <c r="A502" s="25" t="s">
        <v>778</v>
      </c>
      <c r="B502" s="4" t="s">
        <v>5</v>
      </c>
      <c r="C502" s="4"/>
      <c r="D502" s="5"/>
      <c r="E502" s="5"/>
      <c r="F502" s="10">
        <v>8.7314000000000007</v>
      </c>
      <c r="G502" s="11">
        <v>3.2120000000000002</v>
      </c>
      <c r="H502" s="12"/>
      <c r="I502" s="13">
        <v>524.32740000000001</v>
      </c>
      <c r="J502" s="12">
        <v>172.9468</v>
      </c>
      <c r="K502" s="12"/>
      <c r="M502" t="str">
        <f t="shared" si="98"/>
        <v>TITO BABY SOFT COMFORT PH5.5 W 72 BAG</v>
      </c>
      <c r="N502" s="29" t="str">
        <f t="shared" si="99"/>
        <v xml:space="preserve"> Voyage Turkey</v>
      </c>
      <c r="O502" t="str">
        <f t="shared" si="100"/>
        <v>TITO (NAVIGA TURKEY)</v>
      </c>
      <c r="P502" t="str">
        <f t="shared" si="102"/>
        <v xml:space="preserve"> Voyage Turkey</v>
      </c>
      <c r="R502" t="str">
        <f t="shared" si="101"/>
        <v>TITO (NAVIGA TURKEY)</v>
      </c>
      <c r="T502" t="s">
        <v>427</v>
      </c>
      <c r="U502" t="str">
        <f t="shared" si="103"/>
        <v>BAGS</v>
      </c>
      <c r="V502" t="str">
        <f t="shared" si="104"/>
        <v>PH BALANCED</v>
      </c>
      <c r="W502" t="str">
        <f t="shared" si="105"/>
        <v>72</v>
      </c>
      <c r="X502" s="27">
        <f t="shared" si="106"/>
        <v>2.0893000000000002</v>
      </c>
      <c r="Y502" s="27">
        <f t="shared" si="107"/>
        <v>2.5973000000000002</v>
      </c>
      <c r="Z502" s="27">
        <f t="shared" si="108"/>
        <v>0.1109</v>
      </c>
      <c r="AA502" s="27">
        <f t="shared" si="109"/>
        <v>135.5565</v>
      </c>
      <c r="AB502" s="27">
        <f t="shared" si="110"/>
        <v>141.02850000000001</v>
      </c>
      <c r="AC502" s="27">
        <f t="shared" si="111"/>
        <v>6.4691999999999998</v>
      </c>
    </row>
    <row r="503" spans="1:29" ht="15" customHeight="1" x14ac:dyDescent="0.3">
      <c r="A503" s="14" t="s">
        <v>428</v>
      </c>
      <c r="B503" s="15" t="s">
        <v>6</v>
      </c>
      <c r="C503" s="16"/>
      <c r="D503" s="17"/>
      <c r="E503" s="17"/>
      <c r="F503" s="18">
        <v>6.1833</v>
      </c>
      <c r="G503" s="19">
        <v>0.61119999999999997</v>
      </c>
      <c r="H503" s="20"/>
      <c r="I503" s="21">
        <v>392.1592</v>
      </c>
      <c r="J503" s="20">
        <v>31.181999999999999</v>
      </c>
      <c r="K503" s="20"/>
      <c r="M503" t="str">
        <f t="shared" si="98"/>
        <v/>
      </c>
      <c r="N503" s="29" t="str">
        <f t="shared" si="99"/>
        <v xml:space="preserve"> Voyage Turkey</v>
      </c>
      <c r="O503" t="str">
        <f t="shared" si="100"/>
        <v>TITO (NAVIGA TURKEY)</v>
      </c>
      <c r="P503" t="str">
        <f t="shared" si="102"/>
        <v/>
      </c>
      <c r="R503" t="str">
        <f t="shared" si="101"/>
        <v/>
      </c>
      <c r="T503" t="s">
        <v>871</v>
      </c>
      <c r="U503" t="str">
        <f t="shared" si="103"/>
        <v/>
      </c>
      <c r="V503" t="str">
        <f t="shared" si="104"/>
        <v/>
      </c>
      <c r="W503" t="str">
        <f t="shared" si="105"/>
        <v/>
      </c>
      <c r="X503" s="27" t="str">
        <f t="shared" si="106"/>
        <v/>
      </c>
      <c r="Y503" s="27" t="str">
        <f t="shared" si="107"/>
        <v/>
      </c>
      <c r="Z503" s="27" t="str">
        <f t="shared" si="108"/>
        <v/>
      </c>
      <c r="AA503" s="27" t="str">
        <f t="shared" si="109"/>
        <v/>
      </c>
      <c r="AB503" s="27" t="str">
        <f t="shared" si="110"/>
        <v/>
      </c>
      <c r="AC503" s="27" t="str">
        <f t="shared" si="111"/>
        <v/>
      </c>
    </row>
    <row r="504" spans="1:29" ht="15" customHeight="1" x14ac:dyDescent="0.3">
      <c r="A504" s="22" t="s">
        <v>429</v>
      </c>
      <c r="B504" s="23" t="s">
        <v>8</v>
      </c>
      <c r="C504" s="23" t="s">
        <v>9</v>
      </c>
      <c r="D504" s="24" t="s">
        <v>20</v>
      </c>
      <c r="E504" s="24" t="s">
        <v>24</v>
      </c>
      <c r="F504" s="18">
        <v>6.1833</v>
      </c>
      <c r="G504" s="19">
        <v>0.61119999999999997</v>
      </c>
      <c r="H504" s="20"/>
      <c r="I504" s="21">
        <v>392.1592</v>
      </c>
      <c r="J504" s="20">
        <v>31.181999999999999</v>
      </c>
      <c r="K504" s="20"/>
      <c r="M504" t="str">
        <f t="shared" si="98"/>
        <v/>
      </c>
      <c r="N504" s="29" t="str">
        <f t="shared" si="99"/>
        <v xml:space="preserve"> Voyage Turkey</v>
      </c>
      <c r="O504" t="str">
        <f t="shared" si="100"/>
        <v>TITO (NAVIGA TURKEY)</v>
      </c>
      <c r="P504" t="str">
        <f t="shared" si="102"/>
        <v/>
      </c>
      <c r="R504" t="str">
        <f t="shared" si="101"/>
        <v/>
      </c>
      <c r="T504" t="s">
        <v>871</v>
      </c>
      <c r="U504" t="str">
        <f t="shared" si="103"/>
        <v/>
      </c>
      <c r="V504" t="str">
        <f t="shared" si="104"/>
        <v/>
      </c>
      <c r="W504" t="str">
        <f t="shared" si="105"/>
        <v/>
      </c>
      <c r="X504" s="27" t="str">
        <f t="shared" si="106"/>
        <v/>
      </c>
      <c r="Y504" s="27" t="str">
        <f t="shared" si="107"/>
        <v/>
      </c>
      <c r="Z504" s="27" t="str">
        <f t="shared" si="108"/>
        <v/>
      </c>
      <c r="AA504" s="27" t="str">
        <f t="shared" si="109"/>
        <v/>
      </c>
      <c r="AB504" s="27" t="str">
        <f t="shared" si="110"/>
        <v/>
      </c>
      <c r="AC504" s="27" t="str">
        <f t="shared" si="111"/>
        <v/>
      </c>
    </row>
    <row r="505" spans="1:29" ht="15" customHeight="1" x14ac:dyDescent="0.3">
      <c r="A505" s="14" t="s">
        <v>430</v>
      </c>
      <c r="B505" s="15" t="s">
        <v>6</v>
      </c>
      <c r="C505" s="16"/>
      <c r="D505" s="17"/>
      <c r="E505" s="17"/>
      <c r="F505" s="18"/>
      <c r="G505" s="19"/>
      <c r="H505" s="20"/>
      <c r="I505" s="21"/>
      <c r="J505" s="20"/>
      <c r="K505" s="20"/>
      <c r="M505" t="str">
        <f t="shared" si="98"/>
        <v>FRESH BABY PREM.QUALITY PH5.5 W 120 BAG</v>
      </c>
      <c r="N505" s="29" t="str">
        <f t="shared" si="99"/>
        <v xml:space="preserve"> Nur Food Industry</v>
      </c>
      <c r="O505" t="str">
        <f t="shared" si="100"/>
        <v>FRESH (NUR GIDA SAN)</v>
      </c>
      <c r="P505" t="str">
        <f t="shared" si="102"/>
        <v xml:space="preserve"> Nur Food Industry</v>
      </c>
      <c r="R505" t="str">
        <f t="shared" si="101"/>
        <v>FRESH (NUR GIDA SAN)</v>
      </c>
      <c r="T505" t="s">
        <v>429</v>
      </c>
      <c r="U505" t="str">
        <f t="shared" si="103"/>
        <v>BAGS</v>
      </c>
      <c r="V505" t="str">
        <f t="shared" si="104"/>
        <v>PH BALANCED</v>
      </c>
      <c r="W505" t="str">
        <f t="shared" si="105"/>
        <v>120</v>
      </c>
      <c r="X505" s="27">
        <f t="shared" si="106"/>
        <v>6.1833</v>
      </c>
      <c r="Y505" s="27">
        <f t="shared" si="107"/>
        <v>0.61119999999999997</v>
      </c>
      <c r="Z505" s="27">
        <f t="shared" si="108"/>
        <v>0</v>
      </c>
      <c r="AA505" s="27">
        <f t="shared" si="109"/>
        <v>392.1592</v>
      </c>
      <c r="AB505" s="27">
        <f t="shared" si="110"/>
        <v>31.181999999999999</v>
      </c>
      <c r="AC505" s="27">
        <f t="shared" si="111"/>
        <v>0</v>
      </c>
    </row>
    <row r="506" spans="1:29" ht="15" customHeight="1" x14ac:dyDescent="0.3">
      <c r="A506" s="22" t="s">
        <v>431</v>
      </c>
      <c r="B506" s="23" t="s">
        <v>8</v>
      </c>
      <c r="C506" s="23" t="s">
        <v>9</v>
      </c>
      <c r="D506" s="24" t="s">
        <v>20</v>
      </c>
      <c r="E506" s="24" t="s">
        <v>42</v>
      </c>
      <c r="F506" s="18"/>
      <c r="G506" s="19"/>
      <c r="H506" s="20"/>
      <c r="I506" s="21"/>
      <c r="J506" s="20"/>
      <c r="K506" s="20"/>
      <c r="M506" t="str">
        <f t="shared" si="98"/>
        <v/>
      </c>
      <c r="N506" s="29" t="str">
        <f t="shared" si="99"/>
        <v xml:space="preserve"> Nur Food Industry</v>
      </c>
      <c r="O506" t="str">
        <f t="shared" si="100"/>
        <v>FRESH (NUR GIDA SAN)</v>
      </c>
      <c r="P506" t="str">
        <f t="shared" si="102"/>
        <v/>
      </c>
      <c r="R506" t="str">
        <f t="shared" si="101"/>
        <v/>
      </c>
      <c r="T506" t="s">
        <v>871</v>
      </c>
      <c r="U506" t="str">
        <f t="shared" si="103"/>
        <v/>
      </c>
      <c r="V506" t="str">
        <f t="shared" si="104"/>
        <v/>
      </c>
      <c r="W506" t="str">
        <f t="shared" si="105"/>
        <v/>
      </c>
      <c r="X506" s="27" t="str">
        <f t="shared" si="106"/>
        <v/>
      </c>
      <c r="Y506" s="27" t="str">
        <f t="shared" si="107"/>
        <v/>
      </c>
      <c r="Z506" s="27" t="str">
        <f t="shared" si="108"/>
        <v/>
      </c>
      <c r="AA506" s="27" t="str">
        <f t="shared" si="109"/>
        <v/>
      </c>
      <c r="AB506" s="27" t="str">
        <f t="shared" si="110"/>
        <v/>
      </c>
      <c r="AC506" s="27" t="str">
        <f t="shared" si="111"/>
        <v/>
      </c>
    </row>
    <row r="507" spans="1:29" ht="15" customHeight="1" x14ac:dyDescent="0.3">
      <c r="A507" s="14" t="s">
        <v>432</v>
      </c>
      <c r="B507" s="15" t="s">
        <v>6</v>
      </c>
      <c r="C507" s="16"/>
      <c r="D507" s="17"/>
      <c r="E507" s="17"/>
      <c r="F507" s="18">
        <v>2.5480999999999998</v>
      </c>
      <c r="G507" s="19">
        <v>2.6009000000000002</v>
      </c>
      <c r="H507" s="20"/>
      <c r="I507" s="21">
        <v>132.16820000000001</v>
      </c>
      <c r="J507" s="20">
        <v>141.76490000000001</v>
      </c>
      <c r="K507" s="20"/>
      <c r="M507" t="str">
        <f t="shared" si="98"/>
        <v>FRESH SENSE CHAMOM.LOTION PH5.5 72 BAG</v>
      </c>
      <c r="N507" s="29" t="str">
        <f t="shared" si="99"/>
        <v xml:space="preserve"> Nur Food Industry</v>
      </c>
      <c r="O507" t="str">
        <f t="shared" si="100"/>
        <v>FRESH SENSE (NUR GIDA SAN)</v>
      </c>
      <c r="P507" t="str">
        <f t="shared" si="102"/>
        <v xml:space="preserve"> Nur Food Industry</v>
      </c>
      <c r="R507" t="str">
        <f t="shared" si="101"/>
        <v>FRESH SENSE (NUR GIDA SAN)</v>
      </c>
      <c r="T507" t="s">
        <v>431</v>
      </c>
      <c r="U507" t="str">
        <f t="shared" si="103"/>
        <v>BAGS</v>
      </c>
      <c r="V507" t="str">
        <f t="shared" si="104"/>
        <v>PH BALANCED</v>
      </c>
      <c r="W507" t="str">
        <f t="shared" si="105"/>
        <v>72</v>
      </c>
      <c r="X507" s="27">
        <f t="shared" si="106"/>
        <v>0</v>
      </c>
      <c r="Y507" s="27">
        <f t="shared" si="107"/>
        <v>0</v>
      </c>
      <c r="Z507" s="27">
        <f t="shared" si="108"/>
        <v>0</v>
      </c>
      <c r="AA507" s="27">
        <f t="shared" si="109"/>
        <v>0</v>
      </c>
      <c r="AB507" s="27">
        <f t="shared" si="110"/>
        <v>0</v>
      </c>
      <c r="AC507" s="27">
        <f t="shared" si="111"/>
        <v>0</v>
      </c>
    </row>
    <row r="508" spans="1:29" ht="15" customHeight="1" x14ac:dyDescent="0.3">
      <c r="A508" s="22" t="s">
        <v>433</v>
      </c>
      <c r="B508" s="23" t="s">
        <v>8</v>
      </c>
      <c r="C508" s="23" t="s">
        <v>9</v>
      </c>
      <c r="D508" s="24" t="s">
        <v>20</v>
      </c>
      <c r="E508" s="24" t="s">
        <v>24</v>
      </c>
      <c r="F508" s="18">
        <v>2.5480999999999998</v>
      </c>
      <c r="G508" s="19">
        <v>2.6009000000000002</v>
      </c>
      <c r="H508" s="20"/>
      <c r="I508" s="21">
        <v>132.16820000000001</v>
      </c>
      <c r="J508" s="20">
        <v>141.76490000000001</v>
      </c>
      <c r="K508" s="20"/>
      <c r="M508" t="str">
        <f t="shared" si="98"/>
        <v/>
      </c>
      <c r="N508" s="29" t="str">
        <f t="shared" si="99"/>
        <v xml:space="preserve"> Nur Food Industry</v>
      </c>
      <c r="O508" t="str">
        <f t="shared" si="100"/>
        <v>FRESH SENSE (NUR GIDA SAN)</v>
      </c>
      <c r="P508" t="str">
        <f t="shared" si="102"/>
        <v/>
      </c>
      <c r="R508" t="str">
        <f t="shared" si="101"/>
        <v/>
      </c>
      <c r="T508" t="s">
        <v>871</v>
      </c>
      <c r="U508" t="str">
        <f t="shared" si="103"/>
        <v/>
      </c>
      <c r="V508" t="str">
        <f t="shared" si="104"/>
        <v/>
      </c>
      <c r="W508" t="str">
        <f t="shared" si="105"/>
        <v/>
      </c>
      <c r="X508" s="27" t="str">
        <f t="shared" si="106"/>
        <v/>
      </c>
      <c r="Y508" s="27" t="str">
        <f t="shared" si="107"/>
        <v/>
      </c>
      <c r="Z508" s="27" t="str">
        <f t="shared" si="108"/>
        <v/>
      </c>
      <c r="AA508" s="27" t="str">
        <f t="shared" si="109"/>
        <v/>
      </c>
      <c r="AB508" s="27" t="str">
        <f t="shared" si="110"/>
        <v/>
      </c>
      <c r="AC508" s="27" t="str">
        <f t="shared" si="111"/>
        <v/>
      </c>
    </row>
    <row r="509" spans="1:29" ht="14.25" customHeight="1" x14ac:dyDescent="0.3">
      <c r="A509" s="25" t="s">
        <v>779</v>
      </c>
      <c r="B509" s="4" t="s">
        <v>5</v>
      </c>
      <c r="C509" s="4"/>
      <c r="D509" s="5"/>
      <c r="E509" s="5"/>
      <c r="F509" s="10">
        <v>0.15809999999999999</v>
      </c>
      <c r="G509" s="11">
        <v>2E-3</v>
      </c>
      <c r="H509" s="12">
        <v>1E-3</v>
      </c>
      <c r="I509" s="13">
        <v>2.1</v>
      </c>
      <c r="J509" s="12">
        <v>0.02</v>
      </c>
      <c r="K509" s="12">
        <v>0.02</v>
      </c>
      <c r="M509" t="str">
        <f t="shared" si="98"/>
        <v>PUFY BABY CHAMOMILE PH5.5 W 120 BAG</v>
      </c>
      <c r="N509" s="29" t="str">
        <f t="shared" si="99"/>
        <v xml:space="preserve"> Nur Food Industry</v>
      </c>
      <c r="O509" t="str">
        <f t="shared" si="100"/>
        <v>PUFY (NUR GIDA SANAYI)</v>
      </c>
      <c r="P509" t="str">
        <f t="shared" si="102"/>
        <v xml:space="preserve"> Nur Food Industry</v>
      </c>
      <c r="R509" t="str">
        <f t="shared" si="101"/>
        <v>PUFY (NUR GIDA SANAYI)</v>
      </c>
      <c r="T509" t="s">
        <v>433</v>
      </c>
      <c r="U509" t="str">
        <f t="shared" si="103"/>
        <v>BAGS</v>
      </c>
      <c r="V509" t="str">
        <f t="shared" si="104"/>
        <v>PH BALANCED</v>
      </c>
      <c r="W509" t="str">
        <f t="shared" si="105"/>
        <v>120</v>
      </c>
      <c r="X509" s="27">
        <f t="shared" si="106"/>
        <v>2.5480999999999998</v>
      </c>
      <c r="Y509" s="27">
        <f t="shared" si="107"/>
        <v>2.6009000000000002</v>
      </c>
      <c r="Z509" s="27">
        <f t="shared" si="108"/>
        <v>0</v>
      </c>
      <c r="AA509" s="27">
        <f t="shared" si="109"/>
        <v>132.16820000000001</v>
      </c>
      <c r="AB509" s="27">
        <f t="shared" si="110"/>
        <v>141.76490000000001</v>
      </c>
      <c r="AC509" s="27">
        <f t="shared" si="111"/>
        <v>0</v>
      </c>
    </row>
    <row r="510" spans="1:29" ht="15" customHeight="1" x14ac:dyDescent="0.3">
      <c r="A510" s="14" t="s">
        <v>434</v>
      </c>
      <c r="B510" s="15" t="s">
        <v>6</v>
      </c>
      <c r="C510" s="16"/>
      <c r="D510" s="17"/>
      <c r="E510" s="17"/>
      <c r="F510" s="18">
        <v>0.15809999999999999</v>
      </c>
      <c r="G510" s="19">
        <v>2E-3</v>
      </c>
      <c r="H510" s="20">
        <v>1E-3</v>
      </c>
      <c r="I510" s="21">
        <v>2.1</v>
      </c>
      <c r="J510" s="20">
        <v>0.02</v>
      </c>
      <c r="K510" s="20">
        <v>0.02</v>
      </c>
      <c r="M510" t="str">
        <f t="shared" si="98"/>
        <v/>
      </c>
      <c r="N510" s="29" t="str">
        <f t="shared" si="99"/>
        <v xml:space="preserve"> Nur Food Industry</v>
      </c>
      <c r="O510" t="str">
        <f t="shared" si="100"/>
        <v>PUFY (NUR GIDA SANAYI)</v>
      </c>
      <c r="P510" t="str">
        <f t="shared" si="102"/>
        <v/>
      </c>
      <c r="R510" t="str">
        <f t="shared" si="101"/>
        <v/>
      </c>
      <c r="T510" t="s">
        <v>871</v>
      </c>
      <c r="U510" t="str">
        <f t="shared" si="103"/>
        <v/>
      </c>
      <c r="V510" t="str">
        <f t="shared" si="104"/>
        <v/>
      </c>
      <c r="W510" t="str">
        <f t="shared" si="105"/>
        <v/>
      </c>
      <c r="X510" s="27" t="str">
        <f t="shared" si="106"/>
        <v/>
      </c>
      <c r="Y510" s="27" t="str">
        <f t="shared" si="107"/>
        <v/>
      </c>
      <c r="Z510" s="27" t="str">
        <f t="shared" si="108"/>
        <v/>
      </c>
      <c r="AA510" s="27" t="str">
        <f t="shared" si="109"/>
        <v/>
      </c>
      <c r="AB510" s="27" t="str">
        <f t="shared" si="110"/>
        <v/>
      </c>
      <c r="AC510" s="27" t="str">
        <f t="shared" si="111"/>
        <v/>
      </c>
    </row>
    <row r="511" spans="1:29" ht="15" customHeight="1" x14ac:dyDescent="0.3">
      <c r="A511" s="22" t="s">
        <v>435</v>
      </c>
      <c r="B511" s="23" t="s">
        <v>8</v>
      </c>
      <c r="C511" s="23" t="s">
        <v>9</v>
      </c>
      <c r="D511" s="24" t="s">
        <v>69</v>
      </c>
      <c r="E511" s="24" t="s">
        <v>11</v>
      </c>
      <c r="F511" s="18">
        <v>0.15809999999999999</v>
      </c>
      <c r="G511" s="19">
        <v>2E-3</v>
      </c>
      <c r="H511" s="20">
        <v>1E-3</v>
      </c>
      <c r="I511" s="21">
        <v>2.1</v>
      </c>
      <c r="J511" s="20">
        <v>0.02</v>
      </c>
      <c r="K511" s="20">
        <v>0.02</v>
      </c>
      <c r="M511" t="str">
        <f t="shared" si="98"/>
        <v/>
      </c>
      <c r="N511" s="29" t="str">
        <f t="shared" si="99"/>
        <v xml:space="preserve"> Nur Food Industry</v>
      </c>
      <c r="O511" t="str">
        <f t="shared" si="100"/>
        <v>PUFY (NUR GIDA SANAYI)</v>
      </c>
      <c r="P511" t="str">
        <f t="shared" si="102"/>
        <v/>
      </c>
      <c r="R511" t="str">
        <f t="shared" si="101"/>
        <v/>
      </c>
      <c r="T511" t="s">
        <v>871</v>
      </c>
      <c r="U511" t="str">
        <f t="shared" si="103"/>
        <v/>
      </c>
      <c r="V511" t="str">
        <f t="shared" si="104"/>
        <v/>
      </c>
      <c r="W511" t="str">
        <f t="shared" si="105"/>
        <v/>
      </c>
      <c r="X511" s="27" t="str">
        <f t="shared" si="106"/>
        <v/>
      </c>
      <c r="Y511" s="27" t="str">
        <f t="shared" si="107"/>
        <v/>
      </c>
      <c r="Z511" s="27" t="str">
        <f t="shared" si="108"/>
        <v/>
      </c>
      <c r="AA511" s="27" t="str">
        <f t="shared" si="109"/>
        <v/>
      </c>
      <c r="AB511" s="27" t="str">
        <f t="shared" si="110"/>
        <v/>
      </c>
      <c r="AC511" s="27" t="str">
        <f t="shared" si="111"/>
        <v/>
      </c>
    </row>
    <row r="512" spans="1:29" ht="14.25" customHeight="1" x14ac:dyDescent="0.3">
      <c r="A512" s="25" t="s">
        <v>780</v>
      </c>
      <c r="B512" s="4" t="s">
        <v>5</v>
      </c>
      <c r="C512" s="4"/>
      <c r="D512" s="5"/>
      <c r="E512" s="5"/>
      <c r="F512" s="10">
        <v>6.0000000000000001E-3</v>
      </c>
      <c r="G512" s="11">
        <v>0.35439999999999999</v>
      </c>
      <c r="H512" s="12"/>
      <c r="I512" s="13">
        <v>0.33839999999999998</v>
      </c>
      <c r="J512" s="12">
        <v>16.541699999999999</v>
      </c>
      <c r="K512" s="12"/>
      <c r="M512" t="str">
        <f t="shared" si="98"/>
        <v>SPEEDYCARE BABYLINECONCREMAMAXI 20 BAG</v>
      </c>
      <c r="N512" s="29" t="str">
        <f t="shared" si="99"/>
        <v xml:space="preserve"> O-Package S.R.L.</v>
      </c>
      <c r="O512" t="str">
        <f t="shared" si="100"/>
        <v>SPEEDY CARE (O-PAC S.R.L.)</v>
      </c>
      <c r="P512" t="str">
        <f t="shared" si="102"/>
        <v xml:space="preserve"> O-Package S.R.L.</v>
      </c>
      <c r="R512" t="str">
        <f t="shared" si="101"/>
        <v>SPEEDY CARE (O-PAC S.R.L.)</v>
      </c>
      <c r="T512" t="s">
        <v>435</v>
      </c>
      <c r="U512" t="str">
        <f t="shared" si="103"/>
        <v>BAGS</v>
      </c>
      <c r="V512" t="str">
        <f t="shared" si="104"/>
        <v>HYPOALLERGENIC</v>
      </c>
      <c r="W512" t="str">
        <f t="shared" si="105"/>
        <v>20</v>
      </c>
      <c r="X512" s="27">
        <f t="shared" si="106"/>
        <v>0.15809999999999999</v>
      </c>
      <c r="Y512" s="27">
        <f t="shared" si="107"/>
        <v>2E-3</v>
      </c>
      <c r="Z512" s="27">
        <f t="shared" si="108"/>
        <v>1E-3</v>
      </c>
      <c r="AA512" s="27">
        <f t="shared" si="109"/>
        <v>2.1</v>
      </c>
      <c r="AB512" s="27">
        <f t="shared" si="110"/>
        <v>0.02</v>
      </c>
      <c r="AC512" s="27">
        <f t="shared" si="111"/>
        <v>0.02</v>
      </c>
    </row>
    <row r="513" spans="1:29" ht="15" customHeight="1" x14ac:dyDescent="0.3">
      <c r="A513" s="14" t="s">
        <v>436</v>
      </c>
      <c r="B513" s="15" t="s">
        <v>6</v>
      </c>
      <c r="C513" s="16"/>
      <c r="D513" s="17"/>
      <c r="E513" s="17"/>
      <c r="F513" s="18">
        <v>6.0000000000000001E-3</v>
      </c>
      <c r="G513" s="19">
        <v>0.35439999999999999</v>
      </c>
      <c r="H513" s="20"/>
      <c r="I513" s="21">
        <v>0.33839999999999998</v>
      </c>
      <c r="J513" s="20">
        <v>16.541699999999999</v>
      </c>
      <c r="K513" s="20"/>
      <c r="M513" t="str">
        <f t="shared" si="98"/>
        <v/>
      </c>
      <c r="N513" s="29" t="str">
        <f t="shared" si="99"/>
        <v xml:space="preserve"> O-Package S.R.L.</v>
      </c>
      <c r="O513" t="str">
        <f t="shared" si="100"/>
        <v>SPEEDY CARE (O-PAC S.R.L.)</v>
      </c>
      <c r="P513" t="str">
        <f t="shared" si="102"/>
        <v/>
      </c>
      <c r="R513" t="str">
        <f t="shared" si="101"/>
        <v/>
      </c>
      <c r="T513" t="s">
        <v>871</v>
      </c>
      <c r="U513" t="str">
        <f t="shared" si="103"/>
        <v/>
      </c>
      <c r="V513" t="str">
        <f t="shared" si="104"/>
        <v/>
      </c>
      <c r="W513" t="str">
        <f t="shared" si="105"/>
        <v/>
      </c>
      <c r="X513" s="27" t="str">
        <f t="shared" si="106"/>
        <v/>
      </c>
      <c r="Y513" s="27" t="str">
        <f t="shared" si="107"/>
        <v/>
      </c>
      <c r="Z513" s="27" t="str">
        <f t="shared" si="108"/>
        <v/>
      </c>
      <c r="AA513" s="27" t="str">
        <f t="shared" si="109"/>
        <v/>
      </c>
      <c r="AB513" s="27" t="str">
        <f t="shared" si="110"/>
        <v/>
      </c>
      <c r="AC513" s="27" t="str">
        <f t="shared" si="111"/>
        <v/>
      </c>
    </row>
    <row r="514" spans="1:29" ht="15" customHeight="1" x14ac:dyDescent="0.3">
      <c r="A514" s="22" t="s">
        <v>437</v>
      </c>
      <c r="B514" s="23" t="s">
        <v>8</v>
      </c>
      <c r="C514" s="23" t="s">
        <v>9</v>
      </c>
      <c r="D514" s="24" t="s">
        <v>30</v>
      </c>
      <c r="E514" s="24" t="s">
        <v>34</v>
      </c>
      <c r="F514" s="18">
        <v>6.0000000000000001E-3</v>
      </c>
      <c r="G514" s="19">
        <v>0.35439999999999999</v>
      </c>
      <c r="H514" s="20"/>
      <c r="I514" s="21">
        <v>0.33839999999999998</v>
      </c>
      <c r="J514" s="20">
        <v>16.541699999999999</v>
      </c>
      <c r="K514" s="20"/>
      <c r="M514" t="str">
        <f t="shared" si="98"/>
        <v/>
      </c>
      <c r="N514" s="29" t="str">
        <f t="shared" si="99"/>
        <v xml:space="preserve"> O-Package S.R.L.</v>
      </c>
      <c r="O514" t="str">
        <f t="shared" si="100"/>
        <v>SPEEDY CARE (O-PAC S.R.L.)</v>
      </c>
      <c r="P514" t="str">
        <f t="shared" si="102"/>
        <v/>
      </c>
      <c r="R514" t="str">
        <f t="shared" si="101"/>
        <v/>
      </c>
      <c r="T514" t="s">
        <v>871</v>
      </c>
      <c r="U514" t="str">
        <f t="shared" si="103"/>
        <v/>
      </c>
      <c r="V514" t="str">
        <f t="shared" si="104"/>
        <v/>
      </c>
      <c r="W514" t="str">
        <f t="shared" si="105"/>
        <v/>
      </c>
      <c r="X514" s="27" t="str">
        <f t="shared" si="106"/>
        <v/>
      </c>
      <c r="Y514" s="27" t="str">
        <f t="shared" si="107"/>
        <v/>
      </c>
      <c r="Z514" s="27" t="str">
        <f t="shared" si="108"/>
        <v/>
      </c>
      <c r="AA514" s="27" t="str">
        <f t="shared" si="109"/>
        <v/>
      </c>
      <c r="AB514" s="27" t="str">
        <f t="shared" si="110"/>
        <v/>
      </c>
      <c r="AC514" s="27" t="str">
        <f t="shared" si="111"/>
        <v/>
      </c>
    </row>
    <row r="515" spans="1:29" ht="14.25" customHeight="1" x14ac:dyDescent="0.3">
      <c r="A515" s="25" t="s">
        <v>781</v>
      </c>
      <c r="B515" s="4" t="s">
        <v>5</v>
      </c>
      <c r="C515" s="4"/>
      <c r="D515" s="5"/>
      <c r="E515" s="5"/>
      <c r="F515" s="10"/>
      <c r="G515" s="11"/>
      <c r="H515" s="12"/>
      <c r="I515" s="13"/>
      <c r="J515" s="12"/>
      <c r="K515" s="12"/>
      <c r="M515" t="str">
        <f t="shared" si="98"/>
        <v>CAN BEBE BASIC CARE ALK.FREE W 56 BAG</v>
      </c>
      <c r="N515" s="29" t="str">
        <f t="shared" si="99"/>
        <v xml:space="preserve"> OnTop</v>
      </c>
      <c r="O515" t="str">
        <f t="shared" si="100"/>
        <v>CAN BEBE (ONTEX)</v>
      </c>
      <c r="P515" t="str">
        <f t="shared" si="102"/>
        <v xml:space="preserve"> OnTop</v>
      </c>
      <c r="R515" t="str">
        <f t="shared" si="101"/>
        <v>CAN BEBE (ONTEX)</v>
      </c>
      <c r="T515" t="s">
        <v>437</v>
      </c>
      <c r="U515" t="str">
        <f t="shared" si="103"/>
        <v>BAGS</v>
      </c>
      <c r="V515" t="str">
        <f t="shared" si="104"/>
        <v>ALCOHOL FREE</v>
      </c>
      <c r="W515" t="str">
        <f t="shared" si="105"/>
        <v>56</v>
      </c>
      <c r="X515" s="27">
        <f t="shared" si="106"/>
        <v>6.0000000000000001E-3</v>
      </c>
      <c r="Y515" s="27">
        <f t="shared" si="107"/>
        <v>0.35439999999999999</v>
      </c>
      <c r="Z515" s="27">
        <f t="shared" si="108"/>
        <v>0</v>
      </c>
      <c r="AA515" s="27">
        <f t="shared" si="109"/>
        <v>0.33839999999999998</v>
      </c>
      <c r="AB515" s="27">
        <f t="shared" si="110"/>
        <v>16.541699999999999</v>
      </c>
      <c r="AC515" s="27">
        <f t="shared" si="111"/>
        <v>0</v>
      </c>
    </row>
    <row r="516" spans="1:29" ht="15" customHeight="1" x14ac:dyDescent="0.3">
      <c r="A516" s="14" t="s">
        <v>438</v>
      </c>
      <c r="B516" s="15" t="s">
        <v>6</v>
      </c>
      <c r="C516" s="16"/>
      <c r="D516" s="17"/>
      <c r="E516" s="17"/>
      <c r="F516" s="18"/>
      <c r="G516" s="19"/>
      <c r="H516" s="20"/>
      <c r="I516" s="21"/>
      <c r="J516" s="20"/>
      <c r="K516" s="20"/>
      <c r="M516" t="str">
        <f t="shared" si="98"/>
        <v/>
      </c>
      <c r="N516" s="29" t="str">
        <f t="shared" si="99"/>
        <v xml:space="preserve"> OnTop</v>
      </c>
      <c r="O516" t="str">
        <f t="shared" si="100"/>
        <v>CAN BEBE (ONTEX)</v>
      </c>
      <c r="P516" t="str">
        <f t="shared" si="102"/>
        <v/>
      </c>
      <c r="R516" t="str">
        <f t="shared" si="101"/>
        <v/>
      </c>
      <c r="T516" t="s">
        <v>871</v>
      </c>
      <c r="U516" t="str">
        <f t="shared" si="103"/>
        <v/>
      </c>
      <c r="V516" t="str">
        <f t="shared" si="104"/>
        <v/>
      </c>
      <c r="W516" t="str">
        <f t="shared" si="105"/>
        <v/>
      </c>
      <c r="X516" s="27" t="str">
        <f t="shared" si="106"/>
        <v/>
      </c>
      <c r="Y516" s="27" t="str">
        <f t="shared" si="107"/>
        <v/>
      </c>
      <c r="Z516" s="27" t="str">
        <f t="shared" si="108"/>
        <v/>
      </c>
      <c r="AA516" s="27" t="str">
        <f t="shared" si="109"/>
        <v/>
      </c>
      <c r="AB516" s="27" t="str">
        <f t="shared" si="110"/>
        <v/>
      </c>
      <c r="AC516" s="27" t="str">
        <f t="shared" si="111"/>
        <v/>
      </c>
    </row>
    <row r="517" spans="1:29" ht="15" customHeight="1" x14ac:dyDescent="0.3">
      <c r="A517" s="22" t="s">
        <v>439</v>
      </c>
      <c r="B517" s="23" t="s">
        <v>8</v>
      </c>
      <c r="C517" s="23" t="s">
        <v>9</v>
      </c>
      <c r="D517" s="24" t="s">
        <v>20</v>
      </c>
      <c r="E517" s="24" t="s">
        <v>24</v>
      </c>
      <c r="F517" s="18"/>
      <c r="G517" s="19"/>
      <c r="H517" s="20"/>
      <c r="I517" s="21"/>
      <c r="J517" s="20"/>
      <c r="K517" s="20"/>
      <c r="M517" t="str">
        <f t="shared" ref="M517:M580" si="112">IF(B516="ITEM",A516,"")</f>
        <v/>
      </c>
      <c r="N517" s="29" t="str">
        <f t="shared" si="99"/>
        <v xml:space="preserve"> OnTop</v>
      </c>
      <c r="O517" t="str">
        <f t="shared" si="100"/>
        <v>CAN BEBE (ONTEX)</v>
      </c>
      <c r="P517" t="str">
        <f t="shared" si="102"/>
        <v/>
      </c>
      <c r="R517" t="str">
        <f t="shared" si="101"/>
        <v/>
      </c>
      <c r="T517" t="s">
        <v>871</v>
      </c>
      <c r="U517" t="str">
        <f t="shared" si="103"/>
        <v/>
      </c>
      <c r="V517" t="str">
        <f t="shared" si="104"/>
        <v/>
      </c>
      <c r="W517" t="str">
        <f t="shared" si="105"/>
        <v/>
      </c>
      <c r="X517" s="27" t="str">
        <f t="shared" si="106"/>
        <v/>
      </c>
      <c r="Y517" s="27" t="str">
        <f t="shared" si="107"/>
        <v/>
      </c>
      <c r="Z517" s="27" t="str">
        <f t="shared" si="108"/>
        <v/>
      </c>
      <c r="AA517" s="27" t="str">
        <f t="shared" si="109"/>
        <v/>
      </c>
      <c r="AB517" s="27" t="str">
        <f t="shared" si="110"/>
        <v/>
      </c>
      <c r="AC517" s="27" t="str">
        <f t="shared" si="111"/>
        <v/>
      </c>
    </row>
    <row r="518" spans="1:29" ht="14.25" customHeight="1" x14ac:dyDescent="0.3">
      <c r="A518" s="25" t="s">
        <v>782</v>
      </c>
      <c r="B518" s="4" t="s">
        <v>5</v>
      </c>
      <c r="C518" s="4"/>
      <c r="D518" s="5"/>
      <c r="E518" s="5"/>
      <c r="F518" s="10"/>
      <c r="G518" s="11"/>
      <c r="H518" s="12">
        <v>9.8000000000000004E-2</v>
      </c>
      <c r="I518" s="13"/>
      <c r="J518" s="12"/>
      <c r="K518" s="12">
        <v>3.3592</v>
      </c>
      <c r="M518" t="str">
        <f t="shared" si="112"/>
        <v>BABS&amp;BABS BABY PH5.5 120 W BAG KAPAK</v>
      </c>
      <c r="N518" s="29" t="str">
        <f t="shared" si="99"/>
        <v xml:space="preserve"> OzFoodMakers A.S.</v>
      </c>
      <c r="O518" t="str">
        <f t="shared" si="100"/>
        <v>BABS &amp; BABS (OZDAMARLAR GIDA A.S.)</v>
      </c>
      <c r="P518" t="str">
        <f t="shared" si="102"/>
        <v xml:space="preserve"> OzFoodMakers A.S.</v>
      </c>
      <c r="R518" t="str">
        <f t="shared" si="101"/>
        <v>BABS &amp; BABS (OZDAMARLAR GIDA A.S.)</v>
      </c>
      <c r="T518" t="s">
        <v>439</v>
      </c>
      <c r="U518" t="str">
        <f t="shared" si="103"/>
        <v>BAGS</v>
      </c>
      <c r="V518" t="str">
        <f t="shared" si="104"/>
        <v>PH BALANCED</v>
      </c>
      <c r="W518" t="str">
        <f t="shared" si="105"/>
        <v>120</v>
      </c>
      <c r="X518" s="27">
        <f t="shared" si="106"/>
        <v>0</v>
      </c>
      <c r="Y518" s="27">
        <f t="shared" si="107"/>
        <v>0</v>
      </c>
      <c r="Z518" s="27">
        <f t="shared" si="108"/>
        <v>0</v>
      </c>
      <c r="AA518" s="27">
        <f t="shared" si="109"/>
        <v>0</v>
      </c>
      <c r="AB518" s="27">
        <f t="shared" si="110"/>
        <v>0</v>
      </c>
      <c r="AC518" s="27">
        <f t="shared" si="111"/>
        <v>0</v>
      </c>
    </row>
    <row r="519" spans="1:29" ht="15" customHeight="1" x14ac:dyDescent="0.3">
      <c r="A519" s="14" t="s">
        <v>440</v>
      </c>
      <c r="B519" s="15" t="s">
        <v>6</v>
      </c>
      <c r="C519" s="16"/>
      <c r="D519" s="17"/>
      <c r="E519" s="17"/>
      <c r="F519" s="18"/>
      <c r="G519" s="19"/>
      <c r="H519" s="20">
        <v>9.8000000000000004E-2</v>
      </c>
      <c r="I519" s="21"/>
      <c r="J519" s="20"/>
      <c r="K519" s="20">
        <v>3.3592</v>
      </c>
      <c r="M519" t="str">
        <f t="shared" si="112"/>
        <v/>
      </c>
      <c r="N519" s="29" t="str">
        <f t="shared" ref="N519:N582" si="113">IF(B516="MANUFACTURER",A516,N518)</f>
        <v xml:space="preserve"> OzFoodMakers A.S.</v>
      </c>
      <c r="O519" t="str">
        <f t="shared" ref="O519:O582" si="114">IF(B517="BRAND",A517,O518)</f>
        <v>BABS &amp; BABS (OZDAMARLAR GIDA A.S.)</v>
      </c>
      <c r="P519" t="str">
        <f t="shared" si="102"/>
        <v/>
      </c>
      <c r="R519" t="str">
        <f t="shared" ref="R519:R582" si="115">IF(B518="ITEM",O519,"")</f>
        <v/>
      </c>
      <c r="T519" t="s">
        <v>871</v>
      </c>
      <c r="U519" t="str">
        <f t="shared" si="103"/>
        <v/>
      </c>
      <c r="V519" t="str">
        <f t="shared" si="104"/>
        <v/>
      </c>
      <c r="W519" t="str">
        <f t="shared" si="105"/>
        <v/>
      </c>
      <c r="X519" s="27" t="str">
        <f t="shared" si="106"/>
        <v/>
      </c>
      <c r="Y519" s="27" t="str">
        <f t="shared" si="107"/>
        <v/>
      </c>
      <c r="Z519" s="27" t="str">
        <f t="shared" si="108"/>
        <v/>
      </c>
      <c r="AA519" s="27" t="str">
        <f t="shared" si="109"/>
        <v/>
      </c>
      <c r="AB519" s="27" t="str">
        <f t="shared" si="110"/>
        <v/>
      </c>
      <c r="AC519" s="27" t="str">
        <f t="shared" si="111"/>
        <v/>
      </c>
    </row>
    <row r="520" spans="1:29" ht="15" customHeight="1" x14ac:dyDescent="0.3">
      <c r="A520" s="22" t="s">
        <v>824</v>
      </c>
      <c r="B520" s="23" t="s">
        <v>8</v>
      </c>
      <c r="C520" s="23" t="s">
        <v>9</v>
      </c>
      <c r="D520" s="24" t="s">
        <v>20</v>
      </c>
      <c r="E520" s="24" t="s">
        <v>42</v>
      </c>
      <c r="F520" s="18"/>
      <c r="G520" s="19"/>
      <c r="H520" s="20">
        <v>9.8000000000000004E-2</v>
      </c>
      <c r="I520" s="21"/>
      <c r="J520" s="20"/>
      <c r="K520" s="20">
        <v>3.3592</v>
      </c>
      <c r="M520" t="str">
        <f t="shared" si="112"/>
        <v/>
      </c>
      <c r="N520" s="29" t="str">
        <f t="shared" si="113"/>
        <v xml:space="preserve"> OzFoodMakers A.S.</v>
      </c>
      <c r="O520" t="str">
        <f t="shared" si="114"/>
        <v>BABS &amp; BABS (OZDAMARLAR GIDA A.S.)</v>
      </c>
      <c r="P520" t="str">
        <f t="shared" ref="P520:P583" si="116">IF(B519="ITEM",N520,"")</f>
        <v/>
      </c>
      <c r="R520" t="str">
        <f t="shared" si="115"/>
        <v/>
      </c>
      <c r="T520" t="s">
        <v>871</v>
      </c>
      <c r="U520" t="str">
        <f t="shared" ref="U520:U583" si="117">IF(B519="ITEM",C519,"")</f>
        <v/>
      </c>
      <c r="V520" t="str">
        <f t="shared" ref="V520:V583" si="118">IF(B519="ITEM",D519,"")</f>
        <v/>
      </c>
      <c r="W520" t="str">
        <f t="shared" ref="W520:W583" si="119">IF(B519="ITEM",E519,"")</f>
        <v/>
      </c>
      <c r="X520" s="27" t="str">
        <f t="shared" ref="X520:X583" si="120">IF(B519 = "ITEM",F519,"")</f>
        <v/>
      </c>
      <c r="Y520" s="27" t="str">
        <f t="shared" ref="Y520:Y583" si="121">IF(B519="ITEM",G519,"")</f>
        <v/>
      </c>
      <c r="Z520" s="27" t="str">
        <f t="shared" ref="Z520:Z583" si="122">IF(B519="ITEM",H519,"")</f>
        <v/>
      </c>
      <c r="AA520" s="27" t="str">
        <f t="shared" ref="AA520:AA583" si="123">IF(B519="ITEM",I519,"")</f>
        <v/>
      </c>
      <c r="AB520" s="27" t="str">
        <f t="shared" ref="AB520:AB583" si="124">IF(B519="ITEM",J519,"")</f>
        <v/>
      </c>
      <c r="AC520" s="27" t="str">
        <f t="shared" ref="AC520:AC583" si="125">IF(B519="ITEM",K519,"")</f>
        <v/>
      </c>
    </row>
    <row r="521" spans="1:29" ht="14.25" customHeight="1" x14ac:dyDescent="0.3">
      <c r="A521" s="25" t="s">
        <v>783</v>
      </c>
      <c r="B521" s="4" t="s">
        <v>5</v>
      </c>
      <c r="C521" s="4"/>
      <c r="D521" s="5"/>
      <c r="E521" s="5"/>
      <c r="F521" s="10"/>
      <c r="G521" s="11">
        <v>0.79349999999999998</v>
      </c>
      <c r="H521" s="12">
        <v>0.7298</v>
      </c>
      <c r="I521" s="13"/>
      <c r="J521" s="12">
        <v>47.268799999999999</v>
      </c>
      <c r="K521" s="12">
        <v>43.602699999999999</v>
      </c>
      <c r="M521" t="str">
        <f t="shared" si="112"/>
        <v>KOPRINA  FreshClean 72 W BAG KAPAK</v>
      </c>
      <c r="N521" s="29" t="str">
        <f t="shared" si="113"/>
        <v xml:space="preserve"> CrescentTextile SAN</v>
      </c>
      <c r="O521" t="str">
        <f t="shared" si="114"/>
        <v>KOPRINA (OZYURT TEKSTIL SAN)</v>
      </c>
      <c r="P521" t="str">
        <f t="shared" si="116"/>
        <v xml:space="preserve"> CrescentTextile SAN</v>
      </c>
      <c r="R521" t="str">
        <f t="shared" si="115"/>
        <v>KOPRINA (OZYURT TEKSTIL SAN)</v>
      </c>
      <c r="T521" t="s">
        <v>824</v>
      </c>
      <c r="U521" t="str">
        <f t="shared" si="117"/>
        <v>BAGS</v>
      </c>
      <c r="V521" t="str">
        <f t="shared" si="118"/>
        <v>PH BALANCED</v>
      </c>
      <c r="W521" t="str">
        <f t="shared" si="119"/>
        <v>72</v>
      </c>
      <c r="X521" s="27">
        <f t="shared" si="120"/>
        <v>0</v>
      </c>
      <c r="Y521" s="27">
        <f t="shared" si="121"/>
        <v>0</v>
      </c>
      <c r="Z521" s="27">
        <f t="shared" si="122"/>
        <v>9.8000000000000004E-2</v>
      </c>
      <c r="AA521" s="27">
        <f t="shared" si="123"/>
        <v>0</v>
      </c>
      <c r="AB521" s="27">
        <f t="shared" si="124"/>
        <v>0</v>
      </c>
      <c r="AC521" s="27">
        <f t="shared" si="125"/>
        <v>3.3592</v>
      </c>
    </row>
    <row r="522" spans="1:29" ht="15" customHeight="1" x14ac:dyDescent="0.3">
      <c r="A522" s="14" t="s">
        <v>441</v>
      </c>
      <c r="B522" s="15" t="s">
        <v>6</v>
      </c>
      <c r="C522" s="16"/>
      <c r="D522" s="17"/>
      <c r="E522" s="17"/>
      <c r="F522" s="18"/>
      <c r="G522" s="19">
        <v>0.79349999999999998</v>
      </c>
      <c r="H522" s="20">
        <v>0.7298</v>
      </c>
      <c r="I522" s="21"/>
      <c r="J522" s="20">
        <v>47.268799999999999</v>
      </c>
      <c r="K522" s="20">
        <v>43.602699999999999</v>
      </c>
      <c r="M522" t="str">
        <f t="shared" si="112"/>
        <v/>
      </c>
      <c r="N522" s="29" t="str">
        <f t="shared" si="113"/>
        <v xml:space="preserve"> CrescentTextile SAN</v>
      </c>
      <c r="O522" t="str">
        <f t="shared" si="114"/>
        <v>KOPRINA (OZYURT TEKSTIL SAN)</v>
      </c>
      <c r="P522" t="str">
        <f t="shared" si="116"/>
        <v/>
      </c>
      <c r="R522" t="str">
        <f t="shared" si="115"/>
        <v/>
      </c>
      <c r="T522" t="s">
        <v>871</v>
      </c>
      <c r="U522" t="str">
        <f t="shared" si="117"/>
        <v/>
      </c>
      <c r="V522" t="str">
        <f t="shared" si="118"/>
        <v/>
      </c>
      <c r="W522" t="str">
        <f t="shared" si="119"/>
        <v/>
      </c>
      <c r="X522" s="27" t="str">
        <f t="shared" si="120"/>
        <v/>
      </c>
      <c r="Y522" s="27" t="str">
        <f t="shared" si="121"/>
        <v/>
      </c>
      <c r="Z522" s="27" t="str">
        <f t="shared" si="122"/>
        <v/>
      </c>
      <c r="AA522" s="27" t="str">
        <f t="shared" si="123"/>
        <v/>
      </c>
      <c r="AB522" s="27" t="str">
        <f t="shared" si="124"/>
        <v/>
      </c>
      <c r="AC522" s="27" t="str">
        <f t="shared" si="125"/>
        <v/>
      </c>
    </row>
    <row r="523" spans="1:29" ht="15" customHeight="1" x14ac:dyDescent="0.3">
      <c r="A523" s="22" t="s">
        <v>442</v>
      </c>
      <c r="B523" s="23" t="s">
        <v>8</v>
      </c>
      <c r="C523" s="23" t="s">
        <v>9</v>
      </c>
      <c r="D523" s="24" t="s">
        <v>20</v>
      </c>
      <c r="E523" s="24" t="s">
        <v>21</v>
      </c>
      <c r="F523" s="18"/>
      <c r="G523" s="19"/>
      <c r="H523" s="20"/>
      <c r="I523" s="21"/>
      <c r="J523" s="20"/>
      <c r="K523" s="20"/>
      <c r="M523" t="str">
        <f t="shared" si="112"/>
        <v/>
      </c>
      <c r="N523" s="29" t="str">
        <f t="shared" si="113"/>
        <v xml:space="preserve"> CrescentTextile SAN</v>
      </c>
      <c r="O523" t="str">
        <f t="shared" si="114"/>
        <v>KOPRINA (OZYURT TEKSTIL SAN)</v>
      </c>
      <c r="P523" t="str">
        <f t="shared" si="116"/>
        <v/>
      </c>
      <c r="R523" t="str">
        <f t="shared" si="115"/>
        <v/>
      </c>
      <c r="T523" t="s">
        <v>871</v>
      </c>
      <c r="U523" t="str">
        <f t="shared" si="117"/>
        <v/>
      </c>
      <c r="V523" t="str">
        <f t="shared" si="118"/>
        <v/>
      </c>
      <c r="W523" t="str">
        <f t="shared" si="119"/>
        <v/>
      </c>
      <c r="X523" s="27" t="str">
        <f t="shared" si="120"/>
        <v/>
      </c>
      <c r="Y523" s="27" t="str">
        <f t="shared" si="121"/>
        <v/>
      </c>
      <c r="Z523" s="27" t="str">
        <f t="shared" si="122"/>
        <v/>
      </c>
      <c r="AA523" s="27" t="str">
        <f t="shared" si="123"/>
        <v/>
      </c>
      <c r="AB523" s="27" t="str">
        <f t="shared" si="124"/>
        <v/>
      </c>
      <c r="AC523" s="27" t="str">
        <f t="shared" si="125"/>
        <v/>
      </c>
    </row>
    <row r="524" spans="1:29" ht="15" customHeight="1" x14ac:dyDescent="0.3">
      <c r="A524" s="22" t="s">
        <v>443</v>
      </c>
      <c r="B524" s="23" t="s">
        <v>8</v>
      </c>
      <c r="C524" s="23" t="s">
        <v>9</v>
      </c>
      <c r="D524" s="24" t="s">
        <v>10</v>
      </c>
      <c r="E524" s="24" t="s">
        <v>42</v>
      </c>
      <c r="F524" s="18"/>
      <c r="G524" s="19">
        <v>0.79349999999999998</v>
      </c>
      <c r="H524" s="20">
        <v>0.7298</v>
      </c>
      <c r="I524" s="21"/>
      <c r="J524" s="20">
        <v>47.268799999999999</v>
      </c>
      <c r="K524" s="20">
        <v>43.602699999999999</v>
      </c>
      <c r="M524" t="str">
        <f t="shared" si="112"/>
        <v>BEBIKO VIPBABY ACTIVE&amp;SOFT PH5.5 100 BAG</v>
      </c>
      <c r="N524" s="29" t="str">
        <f t="shared" si="113"/>
        <v xml:space="preserve"> PakChem</v>
      </c>
      <c r="O524" t="str">
        <f t="shared" si="114"/>
        <v>BEBIKO (PAKSEL KIMYA)</v>
      </c>
      <c r="P524" t="str">
        <f t="shared" si="116"/>
        <v xml:space="preserve"> PakChem</v>
      </c>
      <c r="R524" t="str">
        <f t="shared" si="115"/>
        <v>BEBIKO (PAKSEL KIMYA)</v>
      </c>
      <c r="T524" t="s">
        <v>442</v>
      </c>
      <c r="U524" t="str">
        <f t="shared" si="117"/>
        <v>BAGS</v>
      </c>
      <c r="V524" t="str">
        <f t="shared" si="118"/>
        <v>PH BALANCED</v>
      </c>
      <c r="W524" t="str">
        <f t="shared" si="119"/>
        <v>100</v>
      </c>
      <c r="X524" s="27">
        <f t="shared" si="120"/>
        <v>0</v>
      </c>
      <c r="Y524" s="27">
        <f t="shared" si="121"/>
        <v>0</v>
      </c>
      <c r="Z524" s="27">
        <f t="shared" si="122"/>
        <v>0</v>
      </c>
      <c r="AA524" s="27">
        <f t="shared" si="123"/>
        <v>0</v>
      </c>
      <c r="AB524" s="27">
        <f t="shared" si="124"/>
        <v>0</v>
      </c>
      <c r="AC524" s="27">
        <f t="shared" si="125"/>
        <v>0</v>
      </c>
    </row>
    <row r="525" spans="1:29" ht="14.25" customHeight="1" x14ac:dyDescent="0.3">
      <c r="A525" s="25" t="s">
        <v>784</v>
      </c>
      <c r="B525" s="4" t="s">
        <v>5</v>
      </c>
      <c r="C525" s="4"/>
      <c r="D525" s="5"/>
      <c r="E525" s="5"/>
      <c r="F525" s="10">
        <v>0.36020000000000002</v>
      </c>
      <c r="G525" s="11">
        <v>5.21E-2</v>
      </c>
      <c r="H525" s="12">
        <v>9.4000000000000004E-3</v>
      </c>
      <c r="I525" s="13">
        <v>19.065100000000001</v>
      </c>
      <c r="J525" s="12">
        <v>2.6206</v>
      </c>
      <c r="K525" s="12">
        <v>0.48</v>
      </c>
      <c r="M525" t="str">
        <f t="shared" si="112"/>
        <v>BEBIKO VIP BABY ALOE VERA W 72 BAG KAPAK</v>
      </c>
      <c r="N525" s="29" t="str">
        <f t="shared" si="113"/>
        <v xml:space="preserve"> PakChem</v>
      </c>
      <c r="O525" t="str">
        <f t="shared" si="114"/>
        <v>BEBIKO (PAKSEL KIMYA)</v>
      </c>
      <c r="P525" t="str">
        <f t="shared" si="116"/>
        <v xml:space="preserve"> PakChem</v>
      </c>
      <c r="R525" t="str">
        <f t="shared" si="115"/>
        <v>BEBIKO (PAKSEL KIMYA)</v>
      </c>
      <c r="T525" t="s">
        <v>443</v>
      </c>
      <c r="U525" t="str">
        <f t="shared" si="117"/>
        <v>BAGS</v>
      </c>
      <c r="V525" t="str">
        <f t="shared" si="118"/>
        <v>WITHOUT EXTRA PROTECTCARE INDICATION</v>
      </c>
      <c r="W525" t="str">
        <f t="shared" si="119"/>
        <v>72</v>
      </c>
      <c r="X525" s="27">
        <f t="shared" si="120"/>
        <v>0</v>
      </c>
      <c r="Y525" s="27">
        <f t="shared" si="121"/>
        <v>0.79349999999999998</v>
      </c>
      <c r="Z525" s="27">
        <f t="shared" si="122"/>
        <v>0.7298</v>
      </c>
      <c r="AA525" s="27">
        <f t="shared" si="123"/>
        <v>0</v>
      </c>
      <c r="AB525" s="27">
        <f t="shared" si="124"/>
        <v>47.268799999999999</v>
      </c>
      <c r="AC525" s="27">
        <f t="shared" si="125"/>
        <v>43.602699999999999</v>
      </c>
    </row>
    <row r="526" spans="1:29" ht="15" customHeight="1" x14ac:dyDescent="0.3">
      <c r="A526" s="14" t="s">
        <v>444</v>
      </c>
      <c r="B526" s="15" t="s">
        <v>6</v>
      </c>
      <c r="C526" s="16"/>
      <c r="D526" s="17"/>
      <c r="E526" s="17"/>
      <c r="F526" s="18">
        <v>0.36020000000000002</v>
      </c>
      <c r="G526" s="19">
        <v>5.21E-2</v>
      </c>
      <c r="H526" s="20">
        <v>9.4000000000000004E-3</v>
      </c>
      <c r="I526" s="21">
        <v>19.065100000000001</v>
      </c>
      <c r="J526" s="20">
        <v>2.6206</v>
      </c>
      <c r="K526" s="20">
        <v>0.48</v>
      </c>
      <c r="M526" t="str">
        <f t="shared" si="112"/>
        <v/>
      </c>
      <c r="N526" s="29" t="str">
        <f t="shared" si="113"/>
        <v xml:space="preserve"> PakChem</v>
      </c>
      <c r="O526" t="str">
        <f t="shared" si="114"/>
        <v>BEBIKO (PAKSEL KIMYA)</v>
      </c>
      <c r="P526" t="str">
        <f t="shared" si="116"/>
        <v/>
      </c>
      <c r="R526" t="str">
        <f t="shared" si="115"/>
        <v/>
      </c>
      <c r="T526" t="s">
        <v>871</v>
      </c>
      <c r="U526" t="str">
        <f t="shared" si="117"/>
        <v/>
      </c>
      <c r="V526" t="str">
        <f t="shared" si="118"/>
        <v/>
      </c>
      <c r="W526" t="str">
        <f t="shared" si="119"/>
        <v/>
      </c>
      <c r="X526" s="27" t="str">
        <f t="shared" si="120"/>
        <v/>
      </c>
      <c r="Y526" s="27" t="str">
        <f t="shared" si="121"/>
        <v/>
      </c>
      <c r="Z526" s="27" t="str">
        <f t="shared" si="122"/>
        <v/>
      </c>
      <c r="AA526" s="27" t="str">
        <f t="shared" si="123"/>
        <v/>
      </c>
      <c r="AB526" s="27" t="str">
        <f t="shared" si="124"/>
        <v/>
      </c>
      <c r="AC526" s="27" t="str">
        <f t="shared" si="125"/>
        <v/>
      </c>
    </row>
    <row r="527" spans="1:29" ht="15" customHeight="1" x14ac:dyDescent="0.3">
      <c r="A527" s="22" t="s">
        <v>445</v>
      </c>
      <c r="B527" s="23" t="s">
        <v>8</v>
      </c>
      <c r="C527" s="23" t="s">
        <v>9</v>
      </c>
      <c r="D527" s="24" t="s">
        <v>20</v>
      </c>
      <c r="E527" s="24" t="s">
        <v>68</v>
      </c>
      <c r="F527" s="18">
        <v>0.36020000000000002</v>
      </c>
      <c r="G527" s="19">
        <v>5.21E-2</v>
      </c>
      <c r="H527" s="20">
        <v>9.4000000000000004E-3</v>
      </c>
      <c r="I527" s="21">
        <v>19.065100000000001</v>
      </c>
      <c r="J527" s="20">
        <v>2.6206</v>
      </c>
      <c r="K527" s="20">
        <v>0.48</v>
      </c>
      <c r="M527" t="str">
        <f t="shared" si="112"/>
        <v/>
      </c>
      <c r="N527" s="29" t="str">
        <f t="shared" si="113"/>
        <v xml:space="preserve"> PakChem</v>
      </c>
      <c r="O527" t="str">
        <f t="shared" si="114"/>
        <v>BEBIKO (PAKSEL KIMYA)</v>
      </c>
      <c r="P527" t="str">
        <f t="shared" si="116"/>
        <v/>
      </c>
      <c r="R527" t="str">
        <f t="shared" si="115"/>
        <v/>
      </c>
      <c r="T527" t="s">
        <v>871</v>
      </c>
      <c r="U527" t="str">
        <f t="shared" si="117"/>
        <v/>
      </c>
      <c r="V527" t="str">
        <f t="shared" si="118"/>
        <v/>
      </c>
      <c r="W527" t="str">
        <f t="shared" si="119"/>
        <v/>
      </c>
      <c r="X527" s="27" t="str">
        <f t="shared" si="120"/>
        <v/>
      </c>
      <c r="Y527" s="27" t="str">
        <f t="shared" si="121"/>
        <v/>
      </c>
      <c r="Z527" s="27" t="str">
        <f t="shared" si="122"/>
        <v/>
      </c>
      <c r="AA527" s="27" t="str">
        <f t="shared" si="123"/>
        <v/>
      </c>
      <c r="AB527" s="27" t="str">
        <f t="shared" si="124"/>
        <v/>
      </c>
      <c r="AC527" s="27" t="str">
        <f t="shared" si="125"/>
        <v/>
      </c>
    </row>
    <row r="528" spans="1:29" ht="14.25" customHeight="1" x14ac:dyDescent="0.3">
      <c r="A528" s="25" t="s">
        <v>785</v>
      </c>
      <c r="B528" s="4" t="s">
        <v>5</v>
      </c>
      <c r="C528" s="4"/>
      <c r="D528" s="5"/>
      <c r="E528" s="5"/>
      <c r="F528" s="10"/>
      <c r="G528" s="11"/>
      <c r="H528" s="12">
        <v>2.0999999999999999E-3</v>
      </c>
      <c r="I528" s="13"/>
      <c r="J528" s="12"/>
      <c r="K528" s="12">
        <v>0.17710000000000001</v>
      </c>
      <c r="M528" t="str">
        <f t="shared" si="112"/>
        <v>PAPATYA BABY B5&amp;VIT E PH5.5 90 W BAG</v>
      </c>
      <c r="N528" s="29" t="str">
        <f t="shared" si="113"/>
        <v xml:space="preserve"> Daisy Cotton Cosmetics</v>
      </c>
      <c r="O528" t="str">
        <f t="shared" si="114"/>
        <v>PAPATYA (PAPATYA PAMUK KOSMETIK)</v>
      </c>
      <c r="P528" t="str">
        <f t="shared" si="116"/>
        <v xml:space="preserve"> Daisy Cotton Cosmetics</v>
      </c>
      <c r="R528" t="str">
        <f t="shared" si="115"/>
        <v>PAPATYA (PAPATYA PAMUK KOSMETIK)</v>
      </c>
      <c r="T528" t="s">
        <v>445</v>
      </c>
      <c r="U528" t="str">
        <f t="shared" si="117"/>
        <v>BAGS</v>
      </c>
      <c r="V528" t="str">
        <f t="shared" si="118"/>
        <v>PH BALANCED</v>
      </c>
      <c r="W528" t="str">
        <f t="shared" si="119"/>
        <v>90</v>
      </c>
      <c r="X528" s="27">
        <f t="shared" si="120"/>
        <v>0.36020000000000002</v>
      </c>
      <c r="Y528" s="27">
        <f t="shared" si="121"/>
        <v>5.21E-2</v>
      </c>
      <c r="Z528" s="27">
        <f t="shared" si="122"/>
        <v>9.4000000000000004E-3</v>
      </c>
      <c r="AA528" s="27">
        <f t="shared" si="123"/>
        <v>19.065100000000001</v>
      </c>
      <c r="AB528" s="27">
        <f t="shared" si="124"/>
        <v>2.6206</v>
      </c>
      <c r="AC528" s="27">
        <f t="shared" si="125"/>
        <v>0.48</v>
      </c>
    </row>
    <row r="529" spans="1:29" ht="15" customHeight="1" x14ac:dyDescent="0.3">
      <c r="A529" s="14" t="s">
        <v>446</v>
      </c>
      <c r="B529" s="15" t="s">
        <v>6</v>
      </c>
      <c r="C529" s="16"/>
      <c r="D529" s="17"/>
      <c r="E529" s="17"/>
      <c r="F529" s="18"/>
      <c r="G529" s="19"/>
      <c r="H529" s="20">
        <v>2.0999999999999999E-3</v>
      </c>
      <c r="I529" s="21"/>
      <c r="J529" s="20"/>
      <c r="K529" s="20">
        <v>0.17710000000000001</v>
      </c>
      <c r="M529" t="str">
        <f t="shared" si="112"/>
        <v/>
      </c>
      <c r="N529" s="29" t="str">
        <f t="shared" si="113"/>
        <v xml:space="preserve"> Daisy Cotton Cosmetics</v>
      </c>
      <c r="O529" t="str">
        <f t="shared" si="114"/>
        <v>PAPATYA (PAPATYA PAMUK KOSMETIK)</v>
      </c>
      <c r="P529" t="str">
        <f t="shared" si="116"/>
        <v/>
      </c>
      <c r="R529" t="str">
        <f t="shared" si="115"/>
        <v/>
      </c>
      <c r="T529" t="s">
        <v>871</v>
      </c>
      <c r="U529" t="str">
        <f t="shared" si="117"/>
        <v/>
      </c>
      <c r="V529" t="str">
        <f t="shared" si="118"/>
        <v/>
      </c>
      <c r="W529" t="str">
        <f t="shared" si="119"/>
        <v/>
      </c>
      <c r="X529" s="27" t="str">
        <f t="shared" si="120"/>
        <v/>
      </c>
      <c r="Y529" s="27" t="str">
        <f t="shared" si="121"/>
        <v/>
      </c>
      <c r="Z529" s="27" t="str">
        <f t="shared" si="122"/>
        <v/>
      </c>
      <c r="AA529" s="27" t="str">
        <f t="shared" si="123"/>
        <v/>
      </c>
      <c r="AB529" s="27" t="str">
        <f t="shared" si="124"/>
        <v/>
      </c>
      <c r="AC529" s="27" t="str">
        <f t="shared" si="125"/>
        <v/>
      </c>
    </row>
    <row r="530" spans="1:29" ht="15" customHeight="1" x14ac:dyDescent="0.3">
      <c r="A530" s="22" t="s">
        <v>447</v>
      </c>
      <c r="B530" s="23" t="s">
        <v>8</v>
      </c>
      <c r="C530" s="23" t="s">
        <v>9</v>
      </c>
      <c r="D530" s="24" t="s">
        <v>20</v>
      </c>
      <c r="E530" s="24" t="s">
        <v>17</v>
      </c>
      <c r="F530" s="18"/>
      <c r="G530" s="19"/>
      <c r="H530" s="20">
        <v>2.0999999999999999E-3</v>
      </c>
      <c r="I530" s="21"/>
      <c r="J530" s="20"/>
      <c r="K530" s="20">
        <v>0.17710000000000001</v>
      </c>
      <c r="M530" t="str">
        <f t="shared" si="112"/>
        <v/>
      </c>
      <c r="N530" s="29" t="str">
        <f t="shared" si="113"/>
        <v xml:space="preserve"> Daisy Cotton Cosmetics</v>
      </c>
      <c r="O530" t="str">
        <f t="shared" si="114"/>
        <v>PAPATYA (PAPATYA PAMUK KOSMETIK)</v>
      </c>
      <c r="P530" t="str">
        <f t="shared" si="116"/>
        <v/>
      </c>
      <c r="R530" t="str">
        <f t="shared" si="115"/>
        <v/>
      </c>
      <c r="T530" t="s">
        <v>871</v>
      </c>
      <c r="U530" t="str">
        <f t="shared" si="117"/>
        <v/>
      </c>
      <c r="V530" t="str">
        <f t="shared" si="118"/>
        <v/>
      </c>
      <c r="W530" t="str">
        <f t="shared" si="119"/>
        <v/>
      </c>
      <c r="X530" s="27" t="str">
        <f t="shared" si="120"/>
        <v/>
      </c>
      <c r="Y530" s="27" t="str">
        <f t="shared" si="121"/>
        <v/>
      </c>
      <c r="Z530" s="27" t="str">
        <f t="shared" si="122"/>
        <v/>
      </c>
      <c r="AA530" s="27" t="str">
        <f t="shared" si="123"/>
        <v/>
      </c>
      <c r="AB530" s="27" t="str">
        <f t="shared" si="124"/>
        <v/>
      </c>
      <c r="AC530" s="27" t="str">
        <f t="shared" si="125"/>
        <v/>
      </c>
    </row>
    <row r="531" spans="1:29" ht="14.25" customHeight="1" x14ac:dyDescent="0.3">
      <c r="A531" s="25" t="s">
        <v>786</v>
      </c>
      <c r="B531" s="4" t="s">
        <v>5</v>
      </c>
      <c r="C531" s="4"/>
      <c r="D531" s="5"/>
      <c r="E531" s="5"/>
      <c r="F531" s="10">
        <v>2.1507000000000001</v>
      </c>
      <c r="G531" s="11">
        <v>0.15629999999999999</v>
      </c>
      <c r="H531" s="12">
        <v>5.8099999999999999E-2</v>
      </c>
      <c r="I531" s="13">
        <v>55.849800000000002</v>
      </c>
      <c r="J531" s="12">
        <v>3.1030000000000002</v>
      </c>
      <c r="K531" s="12">
        <v>1.1613</v>
      </c>
      <c r="M531" t="str">
        <f t="shared" si="112"/>
        <v>PERFETTO PH5.5 ALC.FREE W 80 BAG</v>
      </c>
      <c r="N531" s="29" t="str">
        <f t="shared" si="113"/>
        <v xml:space="preserve"> IdealGroup</v>
      </c>
      <c r="O531" t="str">
        <f t="shared" si="114"/>
        <v>PERFETTO (PERFETTO GROUP)</v>
      </c>
      <c r="P531" t="str">
        <f t="shared" si="116"/>
        <v xml:space="preserve"> IdealGroup</v>
      </c>
      <c r="R531" t="str">
        <f t="shared" si="115"/>
        <v>PERFETTO (PERFETTO GROUP)</v>
      </c>
      <c r="T531" t="s">
        <v>447</v>
      </c>
      <c r="U531" t="str">
        <f t="shared" si="117"/>
        <v>BAGS</v>
      </c>
      <c r="V531" t="str">
        <f t="shared" si="118"/>
        <v>PH BALANCED</v>
      </c>
      <c r="W531" t="str">
        <f t="shared" si="119"/>
        <v>80</v>
      </c>
      <c r="X531" s="27">
        <f t="shared" si="120"/>
        <v>0</v>
      </c>
      <c r="Y531" s="27">
        <f t="shared" si="121"/>
        <v>0</v>
      </c>
      <c r="Z531" s="27">
        <f t="shared" si="122"/>
        <v>2.0999999999999999E-3</v>
      </c>
      <c r="AA531" s="27">
        <f t="shared" si="123"/>
        <v>0</v>
      </c>
      <c r="AB531" s="27">
        <f t="shared" si="124"/>
        <v>0</v>
      </c>
      <c r="AC531" s="27">
        <f t="shared" si="125"/>
        <v>0.17710000000000001</v>
      </c>
    </row>
    <row r="532" spans="1:29" ht="15" customHeight="1" x14ac:dyDescent="0.3">
      <c r="A532" s="14" t="s">
        <v>448</v>
      </c>
      <c r="B532" s="15" t="s">
        <v>6</v>
      </c>
      <c r="C532" s="16"/>
      <c r="D532" s="17"/>
      <c r="E532" s="17"/>
      <c r="F532" s="18">
        <v>2.1507000000000001</v>
      </c>
      <c r="G532" s="19">
        <v>0.15629999999999999</v>
      </c>
      <c r="H532" s="20">
        <v>5.8099999999999999E-2</v>
      </c>
      <c r="I532" s="21">
        <v>55.849800000000002</v>
      </c>
      <c r="J532" s="20">
        <v>3.1030000000000002</v>
      </c>
      <c r="K532" s="20">
        <v>1.1613</v>
      </c>
      <c r="M532" t="str">
        <f t="shared" si="112"/>
        <v/>
      </c>
      <c r="N532" s="29" t="str">
        <f t="shared" si="113"/>
        <v xml:space="preserve"> IdealGroup</v>
      </c>
      <c r="O532" t="str">
        <f t="shared" si="114"/>
        <v>PERFETTO (PERFETTO GROUP)</v>
      </c>
      <c r="P532" t="str">
        <f t="shared" si="116"/>
        <v/>
      </c>
      <c r="R532" t="str">
        <f t="shared" si="115"/>
        <v/>
      </c>
      <c r="T532" t="s">
        <v>871</v>
      </c>
      <c r="U532" t="str">
        <f t="shared" si="117"/>
        <v/>
      </c>
      <c r="V532" t="str">
        <f t="shared" si="118"/>
        <v/>
      </c>
      <c r="W532" t="str">
        <f t="shared" si="119"/>
        <v/>
      </c>
      <c r="X532" s="27" t="str">
        <f t="shared" si="120"/>
        <v/>
      </c>
      <c r="Y532" s="27" t="str">
        <f t="shared" si="121"/>
        <v/>
      </c>
      <c r="Z532" s="27" t="str">
        <f t="shared" si="122"/>
        <v/>
      </c>
      <c r="AA532" s="27" t="str">
        <f t="shared" si="123"/>
        <v/>
      </c>
      <c r="AB532" s="27" t="str">
        <f t="shared" si="124"/>
        <v/>
      </c>
      <c r="AC532" s="27" t="str">
        <f t="shared" si="125"/>
        <v/>
      </c>
    </row>
    <row r="533" spans="1:29" ht="15" customHeight="1" x14ac:dyDescent="0.3">
      <c r="A533" s="22" t="s">
        <v>449</v>
      </c>
      <c r="B533" s="23" t="s">
        <v>8</v>
      </c>
      <c r="C533" s="23" t="s">
        <v>9</v>
      </c>
      <c r="D533" s="24" t="s">
        <v>30</v>
      </c>
      <c r="E533" s="24" t="s">
        <v>118</v>
      </c>
      <c r="F533" s="18">
        <v>1.4545999999999999</v>
      </c>
      <c r="G533" s="19">
        <v>0.15629999999999999</v>
      </c>
      <c r="H533" s="20">
        <v>5.8099999999999999E-2</v>
      </c>
      <c r="I533" s="21">
        <v>31.957999999999998</v>
      </c>
      <c r="J533" s="20">
        <v>3.1030000000000002</v>
      </c>
      <c r="K533" s="20">
        <v>1.1613</v>
      </c>
      <c r="M533" t="str">
        <f t="shared" si="112"/>
        <v/>
      </c>
      <c r="N533" s="29" t="str">
        <f t="shared" si="113"/>
        <v xml:space="preserve"> IdealGroup</v>
      </c>
      <c r="O533" t="str">
        <f t="shared" si="114"/>
        <v>PERFETTO (PERFETTO GROUP)</v>
      </c>
      <c r="P533" t="str">
        <f t="shared" si="116"/>
        <v/>
      </c>
      <c r="R533" t="str">
        <f t="shared" si="115"/>
        <v/>
      </c>
      <c r="T533" t="s">
        <v>871</v>
      </c>
      <c r="U533" t="str">
        <f t="shared" si="117"/>
        <v/>
      </c>
      <c r="V533" t="str">
        <f t="shared" si="118"/>
        <v/>
      </c>
      <c r="W533" t="str">
        <f t="shared" si="119"/>
        <v/>
      </c>
      <c r="X533" s="27" t="str">
        <f t="shared" si="120"/>
        <v/>
      </c>
      <c r="Y533" s="27" t="str">
        <f t="shared" si="121"/>
        <v/>
      </c>
      <c r="Z533" s="27" t="str">
        <f t="shared" si="122"/>
        <v/>
      </c>
      <c r="AA533" s="27" t="str">
        <f t="shared" si="123"/>
        <v/>
      </c>
      <c r="AB533" s="27" t="str">
        <f t="shared" si="124"/>
        <v/>
      </c>
      <c r="AC533" s="27" t="str">
        <f t="shared" si="125"/>
        <v/>
      </c>
    </row>
    <row r="534" spans="1:29" ht="15" customHeight="1" x14ac:dyDescent="0.3">
      <c r="A534" s="22" t="s">
        <v>450</v>
      </c>
      <c r="B534" s="23" t="s">
        <v>8</v>
      </c>
      <c r="C534" s="23" t="s">
        <v>9</v>
      </c>
      <c r="D534" s="24" t="s">
        <v>30</v>
      </c>
      <c r="E534" s="24" t="s">
        <v>42</v>
      </c>
      <c r="F534" s="18">
        <v>0.69610000000000005</v>
      </c>
      <c r="G534" s="19"/>
      <c r="H534" s="20"/>
      <c r="I534" s="21">
        <v>23.8918</v>
      </c>
      <c r="J534" s="20"/>
      <c r="K534" s="20"/>
      <c r="M534" t="str">
        <f t="shared" si="112"/>
        <v>BETTY BABY ALC.FREE W 24 BAG</v>
      </c>
      <c r="N534" s="29" t="str">
        <f t="shared" si="113"/>
        <v xml:space="preserve"> PhoenixMedicine DOO</v>
      </c>
      <c r="O534" t="str">
        <f t="shared" si="114"/>
        <v>BETTY (PHOENIX PHARMA DOO)</v>
      </c>
      <c r="P534" t="str">
        <f t="shared" si="116"/>
        <v xml:space="preserve"> PhoenixMedicine DOO</v>
      </c>
      <c r="R534" t="str">
        <f t="shared" si="115"/>
        <v>BETTY (PHOENIX PHARMA DOO)</v>
      </c>
      <c r="T534" t="s">
        <v>449</v>
      </c>
      <c r="U534" t="str">
        <f t="shared" si="117"/>
        <v>BAGS</v>
      </c>
      <c r="V534" t="str">
        <f t="shared" si="118"/>
        <v>ALCOHOL FREE</v>
      </c>
      <c r="W534" t="str">
        <f t="shared" si="119"/>
        <v>24</v>
      </c>
      <c r="X534" s="27">
        <f t="shared" si="120"/>
        <v>1.4545999999999999</v>
      </c>
      <c r="Y534" s="27">
        <f t="shared" si="121"/>
        <v>0.15629999999999999</v>
      </c>
      <c r="Z534" s="27">
        <f t="shared" si="122"/>
        <v>5.8099999999999999E-2</v>
      </c>
      <c r="AA534" s="27">
        <f t="shared" si="123"/>
        <v>31.957999999999998</v>
      </c>
      <c r="AB534" s="27">
        <f t="shared" si="124"/>
        <v>3.1030000000000002</v>
      </c>
      <c r="AC534" s="27">
        <f t="shared" si="125"/>
        <v>1.1613</v>
      </c>
    </row>
    <row r="535" spans="1:29" ht="14.25" customHeight="1" x14ac:dyDescent="0.3">
      <c r="A535" s="25" t="s">
        <v>787</v>
      </c>
      <c r="B535" s="4" t="s">
        <v>5</v>
      </c>
      <c r="C535" s="4"/>
      <c r="D535" s="5"/>
      <c r="E535" s="5"/>
      <c r="F535" s="10">
        <v>1.4567000000000001</v>
      </c>
      <c r="G535" s="11">
        <v>0.9708</v>
      </c>
      <c r="H535" s="12">
        <v>0.44130000000000003</v>
      </c>
      <c r="I535" s="13">
        <v>8.1128999999999998</v>
      </c>
      <c r="J535" s="12">
        <v>4.8048999999999999</v>
      </c>
      <c r="K535" s="12">
        <v>2.4375</v>
      </c>
      <c r="M535" t="str">
        <f t="shared" si="112"/>
        <v>BETTY BABY ALC.FREE W 72 BAG</v>
      </c>
      <c r="N535" s="29" t="str">
        <f t="shared" si="113"/>
        <v xml:space="preserve"> PhoenixMedicine DOO</v>
      </c>
      <c r="O535" t="str">
        <f t="shared" si="114"/>
        <v>BETTY (PHOENIX PHARMA DOO)</v>
      </c>
      <c r="P535" t="str">
        <f t="shared" si="116"/>
        <v xml:space="preserve"> PhoenixMedicine DOO</v>
      </c>
      <c r="R535" t="str">
        <f t="shared" si="115"/>
        <v>BETTY (PHOENIX PHARMA DOO)</v>
      </c>
      <c r="T535" t="s">
        <v>450</v>
      </c>
      <c r="U535" t="str">
        <f t="shared" si="117"/>
        <v>BAGS</v>
      </c>
      <c r="V535" t="str">
        <f t="shared" si="118"/>
        <v>ALCOHOL FREE</v>
      </c>
      <c r="W535" t="str">
        <f t="shared" si="119"/>
        <v>72</v>
      </c>
      <c r="X535" s="27">
        <f t="shared" si="120"/>
        <v>0.69610000000000005</v>
      </c>
      <c r="Y535" s="27">
        <f t="shared" si="121"/>
        <v>0</v>
      </c>
      <c r="Z535" s="27">
        <f t="shared" si="122"/>
        <v>0</v>
      </c>
      <c r="AA535" s="27">
        <f t="shared" si="123"/>
        <v>23.8918</v>
      </c>
      <c r="AB535" s="27">
        <f t="shared" si="124"/>
        <v>0</v>
      </c>
      <c r="AC535" s="27">
        <f t="shared" si="125"/>
        <v>0</v>
      </c>
    </row>
    <row r="536" spans="1:29" ht="15" customHeight="1" x14ac:dyDescent="0.3">
      <c r="A536" s="14" t="s">
        <v>451</v>
      </c>
      <c r="B536" s="15" t="s">
        <v>6</v>
      </c>
      <c r="C536" s="16"/>
      <c r="D536" s="17"/>
      <c r="E536" s="17"/>
      <c r="F536" s="18">
        <v>1.4567000000000001</v>
      </c>
      <c r="G536" s="19">
        <v>0.9708</v>
      </c>
      <c r="H536" s="20">
        <v>0.44130000000000003</v>
      </c>
      <c r="I536" s="21">
        <v>8.1128999999999998</v>
      </c>
      <c r="J536" s="20">
        <v>4.8048999999999999</v>
      </c>
      <c r="K536" s="20">
        <v>2.4375</v>
      </c>
      <c r="M536" t="str">
        <f t="shared" si="112"/>
        <v/>
      </c>
      <c r="N536" s="29" t="str">
        <f t="shared" si="113"/>
        <v xml:space="preserve"> PhoenixMedicine DOO</v>
      </c>
      <c r="O536" t="str">
        <f t="shared" si="114"/>
        <v>BETTY (PHOENIX PHARMA DOO)</v>
      </c>
      <c r="P536" t="str">
        <f t="shared" si="116"/>
        <v/>
      </c>
      <c r="R536" t="str">
        <f t="shared" si="115"/>
        <v/>
      </c>
      <c r="T536" t="s">
        <v>871</v>
      </c>
      <c r="U536" t="str">
        <f t="shared" si="117"/>
        <v/>
      </c>
      <c r="V536" t="str">
        <f t="shared" si="118"/>
        <v/>
      </c>
      <c r="W536" t="str">
        <f t="shared" si="119"/>
        <v/>
      </c>
      <c r="X536" s="27" t="str">
        <f t="shared" si="120"/>
        <v/>
      </c>
      <c r="Y536" s="27" t="str">
        <f t="shared" si="121"/>
        <v/>
      </c>
      <c r="Z536" s="27" t="str">
        <f t="shared" si="122"/>
        <v/>
      </c>
      <c r="AA536" s="27" t="str">
        <f t="shared" si="123"/>
        <v/>
      </c>
      <c r="AB536" s="27" t="str">
        <f t="shared" si="124"/>
        <v/>
      </c>
      <c r="AC536" s="27" t="str">
        <f t="shared" si="125"/>
        <v/>
      </c>
    </row>
    <row r="537" spans="1:29" ht="15" customHeight="1" x14ac:dyDescent="0.3">
      <c r="A537" s="22" t="s">
        <v>452</v>
      </c>
      <c r="B537" s="23" t="s">
        <v>8</v>
      </c>
      <c r="C537" s="23" t="s">
        <v>9</v>
      </c>
      <c r="D537" s="24" t="s">
        <v>30</v>
      </c>
      <c r="E537" s="24" t="s">
        <v>88</v>
      </c>
      <c r="F537" s="18">
        <v>0.83640000000000003</v>
      </c>
      <c r="G537" s="19">
        <v>0.55679999999999996</v>
      </c>
      <c r="H537" s="20">
        <v>0.16950000000000001</v>
      </c>
      <c r="I537" s="21">
        <v>3.2871000000000001</v>
      </c>
      <c r="J537" s="20">
        <v>1.9970000000000001</v>
      </c>
      <c r="K537" s="20">
        <v>0.75749999999999995</v>
      </c>
      <c r="M537" t="str">
        <f t="shared" si="112"/>
        <v/>
      </c>
      <c r="N537" s="29" t="str">
        <f t="shared" si="113"/>
        <v xml:space="preserve"> PhoenixMedicine DOO</v>
      </c>
      <c r="O537" t="str">
        <f t="shared" si="114"/>
        <v>BETTY (PHOENIX PHARMA DOO)</v>
      </c>
      <c r="P537" t="str">
        <f t="shared" si="116"/>
        <v/>
      </c>
      <c r="R537" t="str">
        <f t="shared" si="115"/>
        <v/>
      </c>
      <c r="T537" t="s">
        <v>871</v>
      </c>
      <c r="U537" t="str">
        <f t="shared" si="117"/>
        <v/>
      </c>
      <c r="V537" t="str">
        <f t="shared" si="118"/>
        <v/>
      </c>
      <c r="W537" t="str">
        <f t="shared" si="119"/>
        <v/>
      </c>
      <c r="X537" s="27" t="str">
        <f t="shared" si="120"/>
        <v/>
      </c>
      <c r="Y537" s="27" t="str">
        <f t="shared" si="121"/>
        <v/>
      </c>
      <c r="Z537" s="27" t="str">
        <f t="shared" si="122"/>
        <v/>
      </c>
      <c r="AA537" s="27" t="str">
        <f t="shared" si="123"/>
        <v/>
      </c>
      <c r="AB537" s="27" t="str">
        <f t="shared" si="124"/>
        <v/>
      </c>
      <c r="AC537" s="27" t="str">
        <f t="shared" si="125"/>
        <v/>
      </c>
    </row>
    <row r="538" spans="1:29" ht="15" customHeight="1" x14ac:dyDescent="0.3">
      <c r="A538" s="22" t="s">
        <v>453</v>
      </c>
      <c r="B538" s="23" t="s">
        <v>8</v>
      </c>
      <c r="C538" s="23" t="s">
        <v>9</v>
      </c>
      <c r="D538" s="24" t="s">
        <v>30</v>
      </c>
      <c r="E538" s="24" t="s">
        <v>103</v>
      </c>
      <c r="F538" s="18">
        <v>1.8599999999999998E-2</v>
      </c>
      <c r="G538" s="19"/>
      <c r="H538" s="20"/>
      <c r="I538" s="21">
        <v>0.14000000000000001</v>
      </c>
      <c r="J538" s="20"/>
      <c r="K538" s="20"/>
      <c r="M538" t="str">
        <f t="shared" si="112"/>
        <v>KLORANE BEBE CALENDULA ALC.FREE W 25 BAG</v>
      </c>
      <c r="N538" s="29" t="str">
        <f t="shared" si="113"/>
        <v xml:space="preserve"> FabreStone</v>
      </c>
      <c r="O538" t="str">
        <f t="shared" si="114"/>
        <v>KLORANE (PIERRE FABRE)</v>
      </c>
      <c r="P538" t="str">
        <f t="shared" si="116"/>
        <v xml:space="preserve"> FabreStone</v>
      </c>
      <c r="R538" t="str">
        <f t="shared" si="115"/>
        <v>KLORANE (PIERRE FABRE)</v>
      </c>
      <c r="T538" t="s">
        <v>452</v>
      </c>
      <c r="U538" t="str">
        <f t="shared" si="117"/>
        <v>BAGS</v>
      </c>
      <c r="V538" t="str">
        <f t="shared" si="118"/>
        <v>ALCOHOL FREE</v>
      </c>
      <c r="W538" t="str">
        <f t="shared" si="119"/>
        <v>25</v>
      </c>
      <c r="X538" s="27">
        <f t="shared" si="120"/>
        <v>0.83640000000000003</v>
      </c>
      <c r="Y538" s="27">
        <f t="shared" si="121"/>
        <v>0.55679999999999996</v>
      </c>
      <c r="Z538" s="27">
        <f t="shared" si="122"/>
        <v>0.16950000000000001</v>
      </c>
      <c r="AA538" s="27">
        <f t="shared" si="123"/>
        <v>3.2871000000000001</v>
      </c>
      <c r="AB538" s="27">
        <f t="shared" si="124"/>
        <v>1.9970000000000001</v>
      </c>
      <c r="AC538" s="27">
        <f t="shared" si="125"/>
        <v>0.75749999999999995</v>
      </c>
    </row>
    <row r="539" spans="1:29" ht="15" customHeight="1" x14ac:dyDescent="0.3">
      <c r="A539" s="22" t="s">
        <v>454</v>
      </c>
      <c r="B539" s="23" t="s">
        <v>8</v>
      </c>
      <c r="C539" s="23" t="s">
        <v>9</v>
      </c>
      <c r="D539" s="24" t="s">
        <v>30</v>
      </c>
      <c r="E539" s="24" t="s">
        <v>103</v>
      </c>
      <c r="F539" s="18">
        <v>0.34599999999999997</v>
      </c>
      <c r="G539" s="19">
        <v>0.3881</v>
      </c>
      <c r="H539" s="20">
        <v>0.2717</v>
      </c>
      <c r="I539" s="21">
        <v>2.4157999999999999</v>
      </c>
      <c r="J539" s="20">
        <v>2.4979</v>
      </c>
      <c r="K539" s="20">
        <v>1.68</v>
      </c>
      <c r="M539" t="str">
        <f t="shared" si="112"/>
        <v>KLORANE BEBE CALENDULA CLEAN.LOTION W 70</v>
      </c>
      <c r="N539" s="29" t="str">
        <f t="shared" si="113"/>
        <v xml:space="preserve"> FabreStone</v>
      </c>
      <c r="O539" t="str">
        <f t="shared" si="114"/>
        <v>KLORANE (PIERRE FABRE)</v>
      </c>
      <c r="P539" t="str">
        <f t="shared" si="116"/>
        <v xml:space="preserve"> FabreStone</v>
      </c>
      <c r="R539" t="str">
        <f t="shared" si="115"/>
        <v>KLORANE (PIERRE FABRE)</v>
      </c>
      <c r="T539" t="s">
        <v>453</v>
      </c>
      <c r="U539" t="str">
        <f t="shared" si="117"/>
        <v>BAGS</v>
      </c>
      <c r="V539" t="str">
        <f t="shared" si="118"/>
        <v>ALCOHOL FREE</v>
      </c>
      <c r="W539" t="str">
        <f t="shared" si="119"/>
        <v>70</v>
      </c>
      <c r="X539" s="27">
        <f t="shared" si="120"/>
        <v>1.8599999999999998E-2</v>
      </c>
      <c r="Y539" s="27">
        <f t="shared" si="121"/>
        <v>0</v>
      </c>
      <c r="Z539" s="27">
        <f t="shared" si="122"/>
        <v>0</v>
      </c>
      <c r="AA539" s="27">
        <f t="shared" si="123"/>
        <v>0.14000000000000001</v>
      </c>
      <c r="AB539" s="27">
        <f t="shared" si="124"/>
        <v>0</v>
      </c>
      <c r="AC539" s="27">
        <f t="shared" si="125"/>
        <v>0</v>
      </c>
    </row>
    <row r="540" spans="1:29" ht="15" customHeight="1" x14ac:dyDescent="0.3">
      <c r="A540" s="22" t="s">
        <v>455</v>
      </c>
      <c r="B540" s="23" t="s">
        <v>8</v>
      </c>
      <c r="C540" s="23" t="s">
        <v>9</v>
      </c>
      <c r="D540" s="24" t="s">
        <v>30</v>
      </c>
      <c r="E540" s="24" t="s">
        <v>103</v>
      </c>
      <c r="F540" s="18">
        <v>0.25569999999999998</v>
      </c>
      <c r="G540" s="19">
        <v>2.6200000000000001E-2</v>
      </c>
      <c r="H540" s="20"/>
      <c r="I540" s="21">
        <v>2.27</v>
      </c>
      <c r="J540" s="20">
        <v>0.31</v>
      </c>
      <c r="K540" s="20"/>
      <c r="M540" t="str">
        <f t="shared" si="112"/>
        <v>KLORANE BEBE CALENDULA THICKCL. W 70 BAG</v>
      </c>
      <c r="N540" s="29" t="str">
        <f t="shared" si="113"/>
        <v xml:space="preserve"> FabreStone</v>
      </c>
      <c r="O540" t="str">
        <f t="shared" si="114"/>
        <v>KLORANE (PIERRE FABRE)</v>
      </c>
      <c r="P540" t="str">
        <f t="shared" si="116"/>
        <v xml:space="preserve"> FabreStone</v>
      </c>
      <c r="R540" t="str">
        <f t="shared" si="115"/>
        <v>KLORANE (PIERRE FABRE)</v>
      </c>
      <c r="T540" t="s">
        <v>454</v>
      </c>
      <c r="U540" t="str">
        <f t="shared" si="117"/>
        <v>BAGS</v>
      </c>
      <c r="V540" t="str">
        <f t="shared" si="118"/>
        <v>ALCOHOL FREE</v>
      </c>
      <c r="W540" t="str">
        <f t="shared" si="119"/>
        <v>70</v>
      </c>
      <c r="X540" s="27">
        <f t="shared" si="120"/>
        <v>0.34599999999999997</v>
      </c>
      <c r="Y540" s="27">
        <f t="shared" si="121"/>
        <v>0.3881</v>
      </c>
      <c r="Z540" s="27">
        <f t="shared" si="122"/>
        <v>0.2717</v>
      </c>
      <c r="AA540" s="27">
        <f t="shared" si="123"/>
        <v>2.4157999999999999</v>
      </c>
      <c r="AB540" s="27">
        <f t="shared" si="124"/>
        <v>2.4979</v>
      </c>
      <c r="AC540" s="27">
        <f t="shared" si="125"/>
        <v>1.68</v>
      </c>
    </row>
    <row r="541" spans="1:29" ht="14.25" customHeight="1" x14ac:dyDescent="0.3">
      <c r="A541" s="25" t="s">
        <v>788</v>
      </c>
      <c r="B541" s="4" t="s">
        <v>5</v>
      </c>
      <c r="C541" s="4"/>
      <c r="D541" s="5"/>
      <c r="E541" s="5"/>
      <c r="F541" s="10">
        <v>26.606400000000001</v>
      </c>
      <c r="G541" s="11">
        <v>12.7163</v>
      </c>
      <c r="H541" s="12">
        <v>6.1870000000000003</v>
      </c>
      <c r="I541" s="13">
        <v>773.97839999999997</v>
      </c>
      <c r="J541" s="12">
        <v>348.9753</v>
      </c>
      <c r="K541" s="12">
        <v>165.18170000000001</v>
      </c>
      <c r="M541" t="str">
        <f t="shared" si="112"/>
        <v>KLORANE BEBE CALENDULA W 70 SP.TS. BAG</v>
      </c>
      <c r="N541" s="29" t="str">
        <f t="shared" si="113"/>
        <v xml:space="preserve"> FabreStone</v>
      </c>
      <c r="O541" t="str">
        <f t="shared" si="114"/>
        <v>KLORANE (PIERRE FABRE)</v>
      </c>
      <c r="P541" t="str">
        <f t="shared" si="116"/>
        <v xml:space="preserve"> FabreStone</v>
      </c>
      <c r="R541" t="str">
        <f t="shared" si="115"/>
        <v>KLORANE (PIERRE FABRE)</v>
      </c>
      <c r="T541" t="s">
        <v>455</v>
      </c>
      <c r="U541" t="str">
        <f t="shared" si="117"/>
        <v>BAGS</v>
      </c>
      <c r="V541" t="str">
        <f t="shared" si="118"/>
        <v>ALCOHOL FREE</v>
      </c>
      <c r="W541" t="str">
        <f t="shared" si="119"/>
        <v>70</v>
      </c>
      <c r="X541" s="27">
        <f t="shared" si="120"/>
        <v>0.25569999999999998</v>
      </c>
      <c r="Y541" s="27">
        <f t="shared" si="121"/>
        <v>2.6200000000000001E-2</v>
      </c>
      <c r="Z541" s="27">
        <f t="shared" si="122"/>
        <v>0</v>
      </c>
      <c r="AA541" s="27">
        <f t="shared" si="123"/>
        <v>2.27</v>
      </c>
      <c r="AB541" s="27">
        <f t="shared" si="124"/>
        <v>0.31</v>
      </c>
      <c r="AC541" s="27">
        <f t="shared" si="125"/>
        <v>0</v>
      </c>
    </row>
    <row r="542" spans="1:29" ht="15" customHeight="1" x14ac:dyDescent="0.3">
      <c r="A542" s="14" t="s">
        <v>456</v>
      </c>
      <c r="B542" s="15" t="s">
        <v>6</v>
      </c>
      <c r="C542" s="16"/>
      <c r="D542" s="17"/>
      <c r="E542" s="17"/>
      <c r="F542" s="18">
        <v>26.606400000000001</v>
      </c>
      <c r="G542" s="19">
        <v>12.7163</v>
      </c>
      <c r="H542" s="20">
        <v>6.1870000000000003</v>
      </c>
      <c r="I542" s="21">
        <v>773.97839999999997</v>
      </c>
      <c r="J542" s="20">
        <v>348.9753</v>
      </c>
      <c r="K542" s="20">
        <v>165.18170000000001</v>
      </c>
      <c r="M542" t="str">
        <f t="shared" si="112"/>
        <v/>
      </c>
      <c r="N542" s="29" t="str">
        <f t="shared" si="113"/>
        <v xml:space="preserve"> FabreStone</v>
      </c>
      <c r="O542" t="str">
        <f t="shared" si="114"/>
        <v>KLORANE (PIERRE FABRE)</v>
      </c>
      <c r="P542" t="str">
        <f t="shared" si="116"/>
        <v/>
      </c>
      <c r="R542" t="str">
        <f t="shared" si="115"/>
        <v/>
      </c>
      <c r="T542" t="s">
        <v>871</v>
      </c>
      <c r="U542" t="str">
        <f t="shared" si="117"/>
        <v/>
      </c>
      <c r="V542" t="str">
        <f t="shared" si="118"/>
        <v/>
      </c>
      <c r="W542" t="str">
        <f t="shared" si="119"/>
        <v/>
      </c>
      <c r="X542" s="27" t="str">
        <f t="shared" si="120"/>
        <v/>
      </c>
      <c r="Y542" s="27" t="str">
        <f t="shared" si="121"/>
        <v/>
      </c>
      <c r="Z542" s="27" t="str">
        <f t="shared" si="122"/>
        <v/>
      </c>
      <c r="AA542" s="27" t="str">
        <f t="shared" si="123"/>
        <v/>
      </c>
      <c r="AB542" s="27" t="str">
        <f t="shared" si="124"/>
        <v/>
      </c>
      <c r="AC542" s="27" t="str">
        <f t="shared" si="125"/>
        <v/>
      </c>
    </row>
    <row r="543" spans="1:29" ht="15" customHeight="1" x14ac:dyDescent="0.3">
      <c r="A543" s="22" t="s">
        <v>457</v>
      </c>
      <c r="B543" s="23" t="s">
        <v>8</v>
      </c>
      <c r="C543" s="23" t="s">
        <v>9</v>
      </c>
      <c r="D543" s="24" t="s">
        <v>20</v>
      </c>
      <c r="E543" s="24" t="s">
        <v>99</v>
      </c>
      <c r="F543" s="18">
        <v>4.2514000000000003</v>
      </c>
      <c r="G543" s="19">
        <v>9.5349000000000004</v>
      </c>
      <c r="H543" s="20">
        <v>4.3247999999999998</v>
      </c>
      <c r="I543" s="21">
        <v>118.9742</v>
      </c>
      <c r="J543" s="20">
        <v>264.43900000000002</v>
      </c>
      <c r="K543" s="20">
        <v>116.2043</v>
      </c>
      <c r="M543" t="str">
        <f t="shared" si="112"/>
        <v/>
      </c>
      <c r="N543" s="29" t="str">
        <f t="shared" si="113"/>
        <v xml:space="preserve"> FabreStone</v>
      </c>
      <c r="O543" t="str">
        <f t="shared" si="114"/>
        <v>KLORANE (PIERRE FABRE)</v>
      </c>
      <c r="P543" t="str">
        <f t="shared" si="116"/>
        <v/>
      </c>
      <c r="R543" t="str">
        <f t="shared" si="115"/>
        <v/>
      </c>
      <c r="T543" t="s">
        <v>871</v>
      </c>
      <c r="U543" t="str">
        <f t="shared" si="117"/>
        <v/>
      </c>
      <c r="V543" t="str">
        <f t="shared" si="118"/>
        <v/>
      </c>
      <c r="W543" t="str">
        <f t="shared" si="119"/>
        <v/>
      </c>
      <c r="X543" s="27" t="str">
        <f t="shared" si="120"/>
        <v/>
      </c>
      <c r="Y543" s="27" t="str">
        <f t="shared" si="121"/>
        <v/>
      </c>
      <c r="Z543" s="27" t="str">
        <f t="shared" si="122"/>
        <v/>
      </c>
      <c r="AA543" s="27" t="str">
        <f t="shared" si="123"/>
        <v/>
      </c>
      <c r="AB543" s="27" t="str">
        <f t="shared" si="124"/>
        <v/>
      </c>
      <c r="AC543" s="27" t="str">
        <f t="shared" si="125"/>
        <v/>
      </c>
    </row>
    <row r="544" spans="1:29" ht="15" customHeight="1" x14ac:dyDescent="0.3">
      <c r="A544" s="22" t="s">
        <v>458</v>
      </c>
      <c r="B544" s="23" t="s">
        <v>8</v>
      </c>
      <c r="C544" s="23" t="s">
        <v>9</v>
      </c>
      <c r="D544" s="24" t="s">
        <v>20</v>
      </c>
      <c r="E544" s="24" t="s">
        <v>99</v>
      </c>
      <c r="F544" s="18"/>
      <c r="G544" s="19">
        <v>3.1814</v>
      </c>
      <c r="H544" s="20">
        <v>1.8621000000000001</v>
      </c>
      <c r="I544" s="21"/>
      <c r="J544" s="20">
        <v>84.536500000000004</v>
      </c>
      <c r="K544" s="20">
        <v>48.9773</v>
      </c>
      <c r="M544" t="str">
        <f t="shared" si="112"/>
        <v>FRESH BABY ALOE&amp;CALEN. PH5.5 W 60 BAG</v>
      </c>
      <c r="N544" s="29" t="str">
        <f t="shared" si="113"/>
        <v xml:space="preserve"> Pyramid72 DOO</v>
      </c>
      <c r="O544" t="str">
        <f t="shared" si="114"/>
        <v>FRESH (PIRAMIDA 72 DOO)</v>
      </c>
      <c r="P544" t="str">
        <f t="shared" si="116"/>
        <v xml:space="preserve"> Pyramid72 DOO</v>
      </c>
      <c r="R544" t="str">
        <f t="shared" si="115"/>
        <v>FRESH (PIRAMIDA 72 DOO)</v>
      </c>
      <c r="T544" t="s">
        <v>457</v>
      </c>
      <c r="U544" t="str">
        <f t="shared" si="117"/>
        <v>BAGS</v>
      </c>
      <c r="V544" t="str">
        <f t="shared" si="118"/>
        <v>PH BALANCED</v>
      </c>
      <c r="W544" t="str">
        <f t="shared" si="119"/>
        <v>60</v>
      </c>
      <c r="X544" s="27">
        <f t="shared" si="120"/>
        <v>4.2514000000000003</v>
      </c>
      <c r="Y544" s="27">
        <f t="shared" si="121"/>
        <v>9.5349000000000004</v>
      </c>
      <c r="Z544" s="27">
        <f t="shared" si="122"/>
        <v>4.3247999999999998</v>
      </c>
      <c r="AA544" s="27">
        <f t="shared" si="123"/>
        <v>118.9742</v>
      </c>
      <c r="AB544" s="27">
        <f t="shared" si="124"/>
        <v>264.43900000000002</v>
      </c>
      <c r="AC544" s="27">
        <f t="shared" si="125"/>
        <v>116.2043</v>
      </c>
    </row>
    <row r="545" spans="1:29" ht="15" customHeight="1" x14ac:dyDescent="0.3">
      <c r="A545" s="22" t="s">
        <v>459</v>
      </c>
      <c r="B545" s="23" t="s">
        <v>8</v>
      </c>
      <c r="C545" s="23" t="s">
        <v>9</v>
      </c>
      <c r="D545" s="24" t="s">
        <v>10</v>
      </c>
      <c r="E545" s="24" t="s">
        <v>99</v>
      </c>
      <c r="F545" s="18">
        <v>9.6434999999999995</v>
      </c>
      <c r="G545" s="19"/>
      <c r="H545" s="20"/>
      <c r="I545" s="21">
        <v>280.5643</v>
      </c>
      <c r="J545" s="20"/>
      <c r="K545" s="20"/>
      <c r="M545" t="str">
        <f t="shared" si="112"/>
        <v>FRESH BABY AQUA PURE PH5.5 W 60 BAG</v>
      </c>
      <c r="N545" s="29" t="str">
        <f t="shared" si="113"/>
        <v xml:space="preserve"> Pyramid72 DOO</v>
      </c>
      <c r="O545" t="str">
        <f t="shared" si="114"/>
        <v>FRESH (PIRAMIDA 72 DOO)</v>
      </c>
      <c r="P545" t="str">
        <f t="shared" si="116"/>
        <v xml:space="preserve"> Pyramid72 DOO</v>
      </c>
      <c r="R545" t="str">
        <f t="shared" si="115"/>
        <v>FRESH (PIRAMIDA 72 DOO)</v>
      </c>
      <c r="T545" t="s">
        <v>458</v>
      </c>
      <c r="U545" t="str">
        <f t="shared" si="117"/>
        <v>BAGS</v>
      </c>
      <c r="V545" t="str">
        <f t="shared" si="118"/>
        <v>PH BALANCED</v>
      </c>
      <c r="W545" t="str">
        <f t="shared" si="119"/>
        <v>60</v>
      </c>
      <c r="X545" s="27">
        <f t="shared" si="120"/>
        <v>0</v>
      </c>
      <c r="Y545" s="27">
        <f t="shared" si="121"/>
        <v>3.1814</v>
      </c>
      <c r="Z545" s="27">
        <f t="shared" si="122"/>
        <v>1.8621000000000001</v>
      </c>
      <c r="AA545" s="27">
        <f t="shared" si="123"/>
        <v>0</v>
      </c>
      <c r="AB545" s="27">
        <f t="shared" si="124"/>
        <v>84.536500000000004</v>
      </c>
      <c r="AC545" s="27">
        <f t="shared" si="125"/>
        <v>48.9773</v>
      </c>
    </row>
    <row r="546" spans="1:29" ht="15" customHeight="1" x14ac:dyDescent="0.3">
      <c r="A546" s="22" t="s">
        <v>460</v>
      </c>
      <c r="B546" s="23" t="s">
        <v>8</v>
      </c>
      <c r="C546" s="23" t="s">
        <v>9</v>
      </c>
      <c r="D546" s="24" t="s">
        <v>10</v>
      </c>
      <c r="E546" s="24" t="s">
        <v>99</v>
      </c>
      <c r="F546" s="18">
        <v>12.711499999999999</v>
      </c>
      <c r="G546" s="19"/>
      <c r="H546" s="20"/>
      <c r="I546" s="21">
        <v>374.43990000000002</v>
      </c>
      <c r="J546" s="20"/>
      <c r="K546" s="20"/>
      <c r="M546" t="str">
        <f t="shared" si="112"/>
        <v>FRESH BABY CARE ALOE VERA W 60 BAG</v>
      </c>
      <c r="N546" s="29" t="str">
        <f t="shared" si="113"/>
        <v xml:space="preserve"> Pyramid72 DOO</v>
      </c>
      <c r="O546" t="str">
        <f t="shared" si="114"/>
        <v>FRESH (PIRAMIDA 72 DOO)</v>
      </c>
      <c r="P546" t="str">
        <f t="shared" si="116"/>
        <v xml:space="preserve"> Pyramid72 DOO</v>
      </c>
      <c r="R546" t="str">
        <f t="shared" si="115"/>
        <v>FRESH (PIRAMIDA 72 DOO)</v>
      </c>
      <c r="T546" t="s">
        <v>459</v>
      </c>
      <c r="U546" t="str">
        <f t="shared" si="117"/>
        <v>BAGS</v>
      </c>
      <c r="V546" t="str">
        <f t="shared" si="118"/>
        <v>WITHOUT EXTRA PROTECTCARE INDICATION</v>
      </c>
      <c r="W546" t="str">
        <f t="shared" si="119"/>
        <v>60</v>
      </c>
      <c r="X546" s="27">
        <f t="shared" si="120"/>
        <v>9.6434999999999995</v>
      </c>
      <c r="Y546" s="27">
        <f t="shared" si="121"/>
        <v>0</v>
      </c>
      <c r="Z546" s="27">
        <f t="shared" si="122"/>
        <v>0</v>
      </c>
      <c r="AA546" s="27">
        <f t="shared" si="123"/>
        <v>280.5643</v>
      </c>
      <c r="AB546" s="27">
        <f t="shared" si="124"/>
        <v>0</v>
      </c>
      <c r="AC546" s="27">
        <f t="shared" si="125"/>
        <v>0</v>
      </c>
    </row>
    <row r="547" spans="1:29" ht="14.25" customHeight="1" x14ac:dyDescent="0.3">
      <c r="A547" s="25" t="s">
        <v>789</v>
      </c>
      <c r="B547" s="4" t="s">
        <v>5</v>
      </c>
      <c r="C547" s="4"/>
      <c r="D547" s="5"/>
      <c r="E547" s="5"/>
      <c r="F547" s="10"/>
      <c r="G547" s="11"/>
      <c r="H547" s="12">
        <v>0.624</v>
      </c>
      <c r="I547" s="13"/>
      <c r="J547" s="12"/>
      <c r="K547" s="12">
        <v>34.035699999999999</v>
      </c>
      <c r="M547" t="str">
        <f t="shared" si="112"/>
        <v>FRESH BABY SOFT CREAM W 60 BAG</v>
      </c>
      <c r="N547" s="29" t="str">
        <f t="shared" si="113"/>
        <v xml:space="preserve"> Pyramid72 DOO</v>
      </c>
      <c r="O547" t="str">
        <f t="shared" si="114"/>
        <v>FRESH (PIRAMIDA 72 DOO)</v>
      </c>
      <c r="P547" t="str">
        <f t="shared" si="116"/>
        <v xml:space="preserve"> Pyramid72 DOO</v>
      </c>
      <c r="R547" t="str">
        <f t="shared" si="115"/>
        <v>FRESH (PIRAMIDA 72 DOO)</v>
      </c>
      <c r="T547" t="s">
        <v>460</v>
      </c>
      <c r="U547" t="str">
        <f t="shared" si="117"/>
        <v>BAGS</v>
      </c>
      <c r="V547" t="str">
        <f t="shared" si="118"/>
        <v>WITHOUT EXTRA PROTECTCARE INDICATION</v>
      </c>
      <c r="W547" t="str">
        <f t="shared" si="119"/>
        <v>60</v>
      </c>
      <c r="X547" s="27">
        <f t="shared" si="120"/>
        <v>12.711499999999999</v>
      </c>
      <c r="Y547" s="27">
        <f t="shared" si="121"/>
        <v>0</v>
      </c>
      <c r="Z547" s="27">
        <f t="shared" si="122"/>
        <v>0</v>
      </c>
      <c r="AA547" s="27">
        <f t="shared" si="123"/>
        <v>374.43990000000002</v>
      </c>
      <c r="AB547" s="27">
        <f t="shared" si="124"/>
        <v>0</v>
      </c>
      <c r="AC547" s="27">
        <f t="shared" si="125"/>
        <v>0</v>
      </c>
    </row>
    <row r="548" spans="1:29" ht="15" customHeight="1" x14ac:dyDescent="0.3">
      <c r="A548" s="14" t="s">
        <v>461</v>
      </c>
      <c r="B548" s="15" t="s">
        <v>6</v>
      </c>
      <c r="C548" s="16"/>
      <c r="D548" s="17"/>
      <c r="E548" s="17"/>
      <c r="F548" s="18"/>
      <c r="G548" s="19"/>
      <c r="H548" s="20">
        <v>0.624</v>
      </c>
      <c r="I548" s="21"/>
      <c r="J548" s="20"/>
      <c r="K548" s="20">
        <v>34.035699999999999</v>
      </c>
      <c r="M548" t="str">
        <f t="shared" si="112"/>
        <v/>
      </c>
      <c r="N548" s="29" t="str">
        <f t="shared" si="113"/>
        <v xml:space="preserve"> Pyramid72 DOO</v>
      </c>
      <c r="O548" t="str">
        <f t="shared" si="114"/>
        <v>FRESH (PIRAMIDA 72 DOO)</v>
      </c>
      <c r="P548" t="str">
        <f t="shared" si="116"/>
        <v/>
      </c>
      <c r="R548" t="str">
        <f t="shared" si="115"/>
        <v/>
      </c>
      <c r="T548" t="s">
        <v>871</v>
      </c>
      <c r="U548" t="str">
        <f t="shared" si="117"/>
        <v/>
      </c>
      <c r="V548" t="str">
        <f t="shared" si="118"/>
        <v/>
      </c>
      <c r="W548" t="str">
        <f t="shared" si="119"/>
        <v/>
      </c>
      <c r="X548" s="27" t="str">
        <f t="shared" si="120"/>
        <v/>
      </c>
      <c r="Y548" s="27" t="str">
        <f t="shared" si="121"/>
        <v/>
      </c>
      <c r="Z548" s="27" t="str">
        <f t="shared" si="122"/>
        <v/>
      </c>
      <c r="AA548" s="27" t="str">
        <f t="shared" si="123"/>
        <v/>
      </c>
      <c r="AB548" s="27" t="str">
        <f t="shared" si="124"/>
        <v/>
      </c>
      <c r="AC548" s="27" t="str">
        <f t="shared" si="125"/>
        <v/>
      </c>
    </row>
    <row r="549" spans="1:29" ht="15" customHeight="1" x14ac:dyDescent="0.3">
      <c r="A549" s="22" t="s">
        <v>462</v>
      </c>
      <c r="B549" s="23" t="s">
        <v>8</v>
      </c>
      <c r="C549" s="23" t="s">
        <v>9</v>
      </c>
      <c r="D549" s="24" t="s">
        <v>64</v>
      </c>
      <c r="E549" s="24" t="s">
        <v>24</v>
      </c>
      <c r="F549" s="18"/>
      <c r="G549" s="19"/>
      <c r="H549" s="20">
        <v>0.624</v>
      </c>
      <c r="I549" s="21"/>
      <c r="J549" s="20"/>
      <c r="K549" s="20">
        <v>34.035699999999999</v>
      </c>
      <c r="M549" t="str">
        <f t="shared" si="112"/>
        <v/>
      </c>
      <c r="N549" s="29" t="str">
        <f t="shared" si="113"/>
        <v xml:space="preserve"> Pyramid72 DOO</v>
      </c>
      <c r="O549" t="str">
        <f t="shared" si="114"/>
        <v>FRESH (PIRAMIDA 72 DOO)</v>
      </c>
      <c r="P549" t="str">
        <f t="shared" si="116"/>
        <v/>
      </c>
      <c r="R549" t="str">
        <f t="shared" si="115"/>
        <v/>
      </c>
      <c r="T549" t="s">
        <v>871</v>
      </c>
      <c r="U549" t="str">
        <f t="shared" si="117"/>
        <v/>
      </c>
      <c r="V549" t="str">
        <f t="shared" si="118"/>
        <v/>
      </c>
      <c r="W549" t="str">
        <f t="shared" si="119"/>
        <v/>
      </c>
      <c r="X549" s="27" t="str">
        <f t="shared" si="120"/>
        <v/>
      </c>
      <c r="Y549" s="27" t="str">
        <f t="shared" si="121"/>
        <v/>
      </c>
      <c r="Z549" s="27" t="str">
        <f t="shared" si="122"/>
        <v/>
      </c>
      <c r="AA549" s="27" t="str">
        <f t="shared" si="123"/>
        <v/>
      </c>
      <c r="AB549" s="27" t="str">
        <f t="shared" si="124"/>
        <v/>
      </c>
      <c r="AC549" s="27" t="str">
        <f t="shared" si="125"/>
        <v/>
      </c>
    </row>
    <row r="550" spans="1:29" ht="14.25" customHeight="1" x14ac:dyDescent="0.3">
      <c r="A550" s="25" t="s">
        <v>790</v>
      </c>
      <c r="B550" s="4" t="s">
        <v>5</v>
      </c>
      <c r="C550" s="4"/>
      <c r="D550" s="5"/>
      <c r="E550" s="5"/>
      <c r="F550" s="10">
        <v>192.72300000000001</v>
      </c>
      <c r="G550" s="11">
        <v>183.24340000000001</v>
      </c>
      <c r="H550" s="12">
        <v>97.209599999999995</v>
      </c>
      <c r="I550" s="13">
        <v>7900.9691000000003</v>
      </c>
      <c r="J550" s="12">
        <v>6838.8454000000002</v>
      </c>
      <c r="K550" s="12">
        <v>3264.5805999999998</v>
      </c>
      <c r="M550" t="str">
        <f t="shared" si="112"/>
        <v>SLIPP BEBE SENS.LOTION&amp;VITE&amp;B5 W 120 BAG</v>
      </c>
      <c r="N550" s="29" t="str">
        <f t="shared" si="113"/>
        <v xml:space="preserve"> PreDone</v>
      </c>
      <c r="O550" t="str">
        <f t="shared" si="114"/>
        <v>SLIPP (PREDO)</v>
      </c>
      <c r="P550" t="str">
        <f t="shared" si="116"/>
        <v xml:space="preserve"> PreDone</v>
      </c>
      <c r="R550" t="str">
        <f t="shared" si="115"/>
        <v>SLIPP (PREDO)</v>
      </c>
      <c r="T550" t="s">
        <v>462</v>
      </c>
      <c r="U550" t="str">
        <f t="shared" si="117"/>
        <v>BAGS</v>
      </c>
      <c r="V550" t="str">
        <f t="shared" si="118"/>
        <v>SENSITIVE</v>
      </c>
      <c r="W550" t="str">
        <f t="shared" si="119"/>
        <v>120</v>
      </c>
      <c r="X550" s="27">
        <f t="shared" si="120"/>
        <v>0</v>
      </c>
      <c r="Y550" s="27">
        <f t="shared" si="121"/>
        <v>0</v>
      </c>
      <c r="Z550" s="27">
        <f t="shared" si="122"/>
        <v>0.624</v>
      </c>
      <c r="AA550" s="27">
        <f t="shared" si="123"/>
        <v>0</v>
      </c>
      <c r="AB550" s="27">
        <f t="shared" si="124"/>
        <v>0</v>
      </c>
      <c r="AC550" s="27">
        <f t="shared" si="125"/>
        <v>34.035699999999999</v>
      </c>
    </row>
    <row r="551" spans="1:29" ht="15" customHeight="1" x14ac:dyDescent="0.3">
      <c r="A551" s="14" t="s">
        <v>463</v>
      </c>
      <c r="B551" s="15" t="s">
        <v>6</v>
      </c>
      <c r="C551" s="16"/>
      <c r="D551" s="17"/>
      <c r="E551" s="17"/>
      <c r="F551" s="18">
        <v>192.72300000000001</v>
      </c>
      <c r="G551" s="19">
        <v>183.24340000000001</v>
      </c>
      <c r="H551" s="20">
        <v>97.209599999999995</v>
      </c>
      <c r="I551" s="21">
        <v>7900.9691000000003</v>
      </c>
      <c r="J551" s="20">
        <v>6838.8454000000002</v>
      </c>
      <c r="K551" s="20">
        <v>3264.5805999999998</v>
      </c>
      <c r="M551" t="str">
        <f t="shared" si="112"/>
        <v/>
      </c>
      <c r="N551" s="29" t="str">
        <f t="shared" si="113"/>
        <v xml:space="preserve"> PreDone</v>
      </c>
      <c r="O551" t="str">
        <f t="shared" si="114"/>
        <v>SLIPP (PREDO)</v>
      </c>
      <c r="P551" t="str">
        <f t="shared" si="116"/>
        <v/>
      </c>
      <c r="R551" t="str">
        <f t="shared" si="115"/>
        <v/>
      </c>
      <c r="T551" t="s">
        <v>871</v>
      </c>
      <c r="U551" t="str">
        <f t="shared" si="117"/>
        <v/>
      </c>
      <c r="V551" t="str">
        <f t="shared" si="118"/>
        <v/>
      </c>
      <c r="W551" t="str">
        <f t="shared" si="119"/>
        <v/>
      </c>
      <c r="X551" s="27" t="str">
        <f t="shared" si="120"/>
        <v/>
      </c>
      <c r="Y551" s="27" t="str">
        <f t="shared" si="121"/>
        <v/>
      </c>
      <c r="Z551" s="27" t="str">
        <f t="shared" si="122"/>
        <v/>
      </c>
      <c r="AA551" s="27" t="str">
        <f t="shared" si="123"/>
        <v/>
      </c>
      <c r="AB551" s="27" t="str">
        <f t="shared" si="124"/>
        <v/>
      </c>
      <c r="AC551" s="27" t="str">
        <f t="shared" si="125"/>
        <v/>
      </c>
    </row>
    <row r="552" spans="1:29" ht="15" customHeight="1" x14ac:dyDescent="0.3">
      <c r="A552" s="22" t="s">
        <v>464</v>
      </c>
      <c r="B552" s="23" t="s">
        <v>8</v>
      </c>
      <c r="C552" s="23" t="s">
        <v>9</v>
      </c>
      <c r="D552" s="24" t="s">
        <v>10</v>
      </c>
      <c r="E552" s="24" t="s">
        <v>37</v>
      </c>
      <c r="F552" s="18">
        <v>192.72300000000001</v>
      </c>
      <c r="G552" s="19">
        <v>183.24340000000001</v>
      </c>
      <c r="H552" s="20">
        <v>97.209599999999995</v>
      </c>
      <c r="I552" s="21">
        <v>7900.9691000000003</v>
      </c>
      <c r="J552" s="20">
        <v>6838.8454000000002</v>
      </c>
      <c r="K552" s="20">
        <v>3264.5805999999998</v>
      </c>
      <c r="M552" t="str">
        <f t="shared" si="112"/>
        <v/>
      </c>
      <c r="N552" s="29" t="str">
        <f t="shared" si="113"/>
        <v xml:space="preserve"> PreDone</v>
      </c>
      <c r="O552" t="str">
        <f t="shared" si="114"/>
        <v>SLIPP (PREDO)</v>
      </c>
      <c r="P552" t="str">
        <f t="shared" si="116"/>
        <v/>
      </c>
      <c r="R552" t="str">
        <f t="shared" si="115"/>
        <v/>
      </c>
      <c r="T552" t="s">
        <v>871</v>
      </c>
      <c r="U552" t="str">
        <f t="shared" si="117"/>
        <v/>
      </c>
      <c r="V552" t="str">
        <f t="shared" si="118"/>
        <v/>
      </c>
      <c r="W552" t="str">
        <f t="shared" si="119"/>
        <v/>
      </c>
      <c r="X552" s="27" t="str">
        <f t="shared" si="120"/>
        <v/>
      </c>
      <c r="Y552" s="27" t="str">
        <f t="shared" si="121"/>
        <v/>
      </c>
      <c r="Z552" s="27" t="str">
        <f t="shared" si="122"/>
        <v/>
      </c>
      <c r="AA552" s="27" t="str">
        <f t="shared" si="123"/>
        <v/>
      </c>
      <c r="AB552" s="27" t="str">
        <f t="shared" si="124"/>
        <v/>
      </c>
      <c r="AC552" s="27" t="str">
        <f t="shared" si="125"/>
        <v/>
      </c>
    </row>
    <row r="553" spans="1:29" ht="14.25" customHeight="1" x14ac:dyDescent="0.3">
      <c r="A553" s="25" t="s">
        <v>791</v>
      </c>
      <c r="B553" s="4" t="s">
        <v>5</v>
      </c>
      <c r="C553" s="4"/>
      <c r="D553" s="5"/>
      <c r="E553" s="5"/>
      <c r="F553" s="10">
        <v>1818.5395000000001</v>
      </c>
      <c r="G553" s="11">
        <v>2101.7049999999999</v>
      </c>
      <c r="H553" s="12">
        <v>1233.5607</v>
      </c>
      <c r="I553" s="13">
        <v>45983.127500000002</v>
      </c>
      <c r="J553" s="12">
        <v>53803.2785</v>
      </c>
      <c r="K553" s="12">
        <v>29897.358</v>
      </c>
      <c r="M553" t="str">
        <f t="shared" si="112"/>
        <v>MELANI BABY ALOEVERA&amp;VITE W 64 BAG KAPAK</v>
      </c>
      <c r="N553" s="29" t="str">
        <f t="shared" si="113"/>
        <v xml:space="preserve"> ProStart 97</v>
      </c>
      <c r="O553" t="str">
        <f t="shared" si="114"/>
        <v>MELANI (PROBEG 97)</v>
      </c>
      <c r="P553" t="str">
        <f t="shared" si="116"/>
        <v xml:space="preserve"> ProStart 97</v>
      </c>
      <c r="R553" t="str">
        <f t="shared" si="115"/>
        <v>MELANI (PROBEG 97)</v>
      </c>
      <c r="T553" t="s">
        <v>464</v>
      </c>
      <c r="U553" t="str">
        <f t="shared" si="117"/>
        <v>BAGS</v>
      </c>
      <c r="V553" t="str">
        <f t="shared" si="118"/>
        <v>WITHOUT EXTRA PROTECTCARE INDICATION</v>
      </c>
      <c r="W553" t="str">
        <f t="shared" si="119"/>
        <v>64</v>
      </c>
      <c r="X553" s="27">
        <f t="shared" si="120"/>
        <v>192.72300000000001</v>
      </c>
      <c r="Y553" s="27">
        <f t="shared" si="121"/>
        <v>183.24340000000001</v>
      </c>
      <c r="Z553" s="27">
        <f t="shared" si="122"/>
        <v>97.209599999999995</v>
      </c>
      <c r="AA553" s="27">
        <f t="shared" si="123"/>
        <v>7900.9691000000003</v>
      </c>
      <c r="AB553" s="27">
        <f t="shared" si="124"/>
        <v>6838.8454000000002</v>
      </c>
      <c r="AC553" s="27">
        <f t="shared" si="125"/>
        <v>3264.5805999999998</v>
      </c>
    </row>
    <row r="554" spans="1:29" ht="15" customHeight="1" x14ac:dyDescent="0.3">
      <c r="A554" s="14" t="s">
        <v>465</v>
      </c>
      <c r="B554" s="15" t="s">
        <v>6</v>
      </c>
      <c r="C554" s="16"/>
      <c r="D554" s="17"/>
      <c r="E554" s="17"/>
      <c r="F554" s="18">
        <v>1818.1666</v>
      </c>
      <c r="G554" s="19">
        <v>2101.6939000000002</v>
      </c>
      <c r="H554" s="20">
        <v>1233.5607</v>
      </c>
      <c r="I554" s="21">
        <v>45975.839</v>
      </c>
      <c r="J554" s="20">
        <v>53803.039499999999</v>
      </c>
      <c r="K554" s="20">
        <v>29897.358</v>
      </c>
      <c r="M554" t="str">
        <f t="shared" si="112"/>
        <v/>
      </c>
      <c r="N554" s="29" t="str">
        <f t="shared" si="113"/>
        <v xml:space="preserve"> ProStart 97</v>
      </c>
      <c r="O554" t="str">
        <f t="shared" si="114"/>
        <v>MELANI (PROBEG 97)</v>
      </c>
      <c r="P554" t="str">
        <f t="shared" si="116"/>
        <v/>
      </c>
      <c r="R554" t="str">
        <f t="shared" si="115"/>
        <v/>
      </c>
      <c r="T554" t="s">
        <v>871</v>
      </c>
      <c r="U554" t="str">
        <f t="shared" si="117"/>
        <v/>
      </c>
      <c r="V554" t="str">
        <f t="shared" si="118"/>
        <v/>
      </c>
      <c r="W554" t="str">
        <f t="shared" si="119"/>
        <v/>
      </c>
      <c r="X554" s="27" t="str">
        <f t="shared" si="120"/>
        <v/>
      </c>
      <c r="Y554" s="27" t="str">
        <f t="shared" si="121"/>
        <v/>
      </c>
      <c r="Z554" s="27" t="str">
        <f t="shared" si="122"/>
        <v/>
      </c>
      <c r="AA554" s="27" t="str">
        <f t="shared" si="123"/>
        <v/>
      </c>
      <c r="AB554" s="27" t="str">
        <f t="shared" si="124"/>
        <v/>
      </c>
      <c r="AC554" s="27" t="str">
        <f t="shared" si="125"/>
        <v/>
      </c>
    </row>
    <row r="555" spans="1:29" ht="15" customHeight="1" x14ac:dyDescent="0.3">
      <c r="A555" s="22" t="s">
        <v>466</v>
      </c>
      <c r="B555" s="23" t="s">
        <v>8</v>
      </c>
      <c r="C555" s="23" t="s">
        <v>9</v>
      </c>
      <c r="D555" s="24" t="s">
        <v>30</v>
      </c>
      <c r="E555" s="24" t="s">
        <v>376</v>
      </c>
      <c r="F555" s="18">
        <v>6.59E-2</v>
      </c>
      <c r="G555" s="19">
        <v>0.95820000000000005</v>
      </c>
      <c r="H555" s="20"/>
      <c r="I555" s="21">
        <v>0.18509999999999999</v>
      </c>
      <c r="J555" s="20">
        <v>3.0327999999999999</v>
      </c>
      <c r="K555" s="20"/>
      <c r="M555" t="str">
        <f t="shared" si="112"/>
        <v/>
      </c>
      <c r="N555" s="29" t="str">
        <f t="shared" si="113"/>
        <v xml:space="preserve"> ProStart 97</v>
      </c>
      <c r="O555" t="str">
        <f t="shared" si="114"/>
        <v>MELANI (PROBEG 97)</v>
      </c>
      <c r="P555" t="str">
        <f t="shared" si="116"/>
        <v/>
      </c>
      <c r="R555" t="str">
        <f t="shared" si="115"/>
        <v/>
      </c>
      <c r="T555" t="s">
        <v>871</v>
      </c>
      <c r="U555" t="str">
        <f t="shared" si="117"/>
        <v/>
      </c>
      <c r="V555" t="str">
        <f t="shared" si="118"/>
        <v/>
      </c>
      <c r="W555" t="str">
        <f t="shared" si="119"/>
        <v/>
      </c>
      <c r="X555" s="27" t="str">
        <f t="shared" si="120"/>
        <v/>
      </c>
      <c r="Y555" s="27" t="str">
        <f t="shared" si="121"/>
        <v/>
      </c>
      <c r="Z555" s="27" t="str">
        <f t="shared" si="122"/>
        <v/>
      </c>
      <c r="AA555" s="27" t="str">
        <f t="shared" si="123"/>
        <v/>
      </c>
      <c r="AB555" s="27" t="str">
        <f t="shared" si="124"/>
        <v/>
      </c>
      <c r="AC555" s="27" t="str">
        <f t="shared" si="125"/>
        <v/>
      </c>
    </row>
    <row r="556" spans="1:29" ht="15" customHeight="1" x14ac:dyDescent="0.3">
      <c r="A556" s="22" t="s">
        <v>467</v>
      </c>
      <c r="B556" s="23" t="s">
        <v>8</v>
      </c>
      <c r="C556" s="23" t="s">
        <v>9</v>
      </c>
      <c r="D556" s="24" t="s">
        <v>30</v>
      </c>
      <c r="E556" s="24" t="s">
        <v>376</v>
      </c>
      <c r="F556" s="18">
        <v>5.1000000000000004E-3</v>
      </c>
      <c r="G556" s="19">
        <v>0.40570000000000001</v>
      </c>
      <c r="H556" s="20"/>
      <c r="I556" s="21">
        <v>1.37E-2</v>
      </c>
      <c r="J556" s="20">
        <v>1.3527</v>
      </c>
      <c r="K556" s="20"/>
      <c r="M556" t="str">
        <f t="shared" si="112"/>
        <v>PAMPERS AQUA PURE ALC.FREE 12 BAG+DIA</v>
      </c>
      <c r="N556" s="29" t="str">
        <f t="shared" si="113"/>
        <v xml:space="preserve"> Proctor &amp; Wager</v>
      </c>
      <c r="O556" t="str">
        <f t="shared" si="114"/>
        <v>PAMPERS (PROCTER &amp; GAMBLE)</v>
      </c>
      <c r="P556" t="str">
        <f t="shared" si="116"/>
        <v xml:space="preserve"> Proctor &amp; Wager</v>
      </c>
      <c r="R556" t="str">
        <f t="shared" si="115"/>
        <v>PAMPERS (PROCTER &amp; GAMBLE)</v>
      </c>
      <c r="T556" t="s">
        <v>466</v>
      </c>
      <c r="U556" t="str">
        <f t="shared" si="117"/>
        <v>BAGS</v>
      </c>
      <c r="V556" t="str">
        <f t="shared" si="118"/>
        <v>ALCOHOL FREE</v>
      </c>
      <c r="W556" t="str">
        <f t="shared" si="119"/>
        <v>12</v>
      </c>
      <c r="X556" s="27">
        <f t="shared" si="120"/>
        <v>6.59E-2</v>
      </c>
      <c r="Y556" s="27">
        <f t="shared" si="121"/>
        <v>0.95820000000000005</v>
      </c>
      <c r="Z556" s="27">
        <f t="shared" si="122"/>
        <v>0</v>
      </c>
      <c r="AA556" s="27">
        <f t="shared" si="123"/>
        <v>0.18509999999999999</v>
      </c>
      <c r="AB556" s="27">
        <f t="shared" si="124"/>
        <v>3.0327999999999999</v>
      </c>
      <c r="AC556" s="27">
        <f t="shared" si="125"/>
        <v>0</v>
      </c>
    </row>
    <row r="557" spans="1:29" ht="15" customHeight="1" x14ac:dyDescent="0.3">
      <c r="A557" s="22" t="s">
        <v>468</v>
      </c>
      <c r="B557" s="23" t="s">
        <v>8</v>
      </c>
      <c r="C557" s="23" t="s">
        <v>9</v>
      </c>
      <c r="D557" s="24" t="s">
        <v>30</v>
      </c>
      <c r="E557" s="24" t="s">
        <v>376</v>
      </c>
      <c r="F557" s="18">
        <v>0.1182</v>
      </c>
      <c r="G557" s="19">
        <v>1.0884</v>
      </c>
      <c r="H557" s="20"/>
      <c r="I557" s="21">
        <v>0.31890000000000002</v>
      </c>
      <c r="J557" s="20">
        <v>3.3033999999999999</v>
      </c>
      <c r="K557" s="20"/>
      <c r="M557" t="str">
        <f t="shared" si="112"/>
        <v>PAMPERS AQUA PURE ALC.FREE 12 BAG+DIA28</v>
      </c>
      <c r="N557" s="29" t="str">
        <f t="shared" si="113"/>
        <v xml:space="preserve"> Proctor &amp; Wager</v>
      </c>
      <c r="O557" t="str">
        <f t="shared" si="114"/>
        <v>PAMPERS (PROCTER &amp; GAMBLE)</v>
      </c>
      <c r="P557" t="str">
        <f t="shared" si="116"/>
        <v xml:space="preserve"> Proctor &amp; Wager</v>
      </c>
      <c r="R557" t="str">
        <f t="shared" si="115"/>
        <v>PAMPERS (PROCTER &amp; GAMBLE)</v>
      </c>
      <c r="T557" t="s">
        <v>467</v>
      </c>
      <c r="U557" t="str">
        <f t="shared" si="117"/>
        <v>BAGS</v>
      </c>
      <c r="V557" t="str">
        <f t="shared" si="118"/>
        <v>ALCOHOL FREE</v>
      </c>
      <c r="W557" t="str">
        <f t="shared" si="119"/>
        <v>12</v>
      </c>
      <c r="X557" s="27">
        <f t="shared" si="120"/>
        <v>5.1000000000000004E-3</v>
      </c>
      <c r="Y557" s="27">
        <f t="shared" si="121"/>
        <v>0.40570000000000001</v>
      </c>
      <c r="Z557" s="27">
        <f t="shared" si="122"/>
        <v>0</v>
      </c>
      <c r="AA557" s="27">
        <f t="shared" si="123"/>
        <v>1.37E-2</v>
      </c>
      <c r="AB557" s="27">
        <f t="shared" si="124"/>
        <v>1.3527</v>
      </c>
      <c r="AC557" s="27">
        <f t="shared" si="125"/>
        <v>0</v>
      </c>
    </row>
    <row r="558" spans="1:29" ht="15" customHeight="1" x14ac:dyDescent="0.3">
      <c r="A558" s="22" t="s">
        <v>469</v>
      </c>
      <c r="B558" s="23" t="s">
        <v>8</v>
      </c>
      <c r="C558" s="23" t="s">
        <v>9</v>
      </c>
      <c r="D558" s="24" t="s">
        <v>64</v>
      </c>
      <c r="E558" s="24" t="s">
        <v>376</v>
      </c>
      <c r="F558" s="18">
        <v>0.87180000000000002</v>
      </c>
      <c r="G558" s="19">
        <v>4.3999999999999997E-2</v>
      </c>
      <c r="H558" s="20"/>
      <c r="I558" s="21">
        <v>8.5823999999999998</v>
      </c>
      <c r="J558" s="20">
        <v>0.58599999999999997</v>
      </c>
      <c r="K558" s="20"/>
      <c r="M558" t="str">
        <f t="shared" si="112"/>
        <v>PAMPERS AQUA PURE ALC.FREE 12 BAG+DIA50</v>
      </c>
      <c r="N558" s="29" t="str">
        <f t="shared" si="113"/>
        <v xml:space="preserve"> Proctor &amp; Wager</v>
      </c>
      <c r="O558" t="str">
        <f t="shared" si="114"/>
        <v>PAMPERS (PROCTER &amp; GAMBLE)</v>
      </c>
      <c r="P558" t="str">
        <f t="shared" si="116"/>
        <v xml:space="preserve"> Proctor &amp; Wager</v>
      </c>
      <c r="R558" t="str">
        <f t="shared" si="115"/>
        <v>PAMPERS (PROCTER &amp; GAMBLE)</v>
      </c>
      <c r="T558" t="s">
        <v>468</v>
      </c>
      <c r="U558" t="str">
        <f t="shared" si="117"/>
        <v>BAGS</v>
      </c>
      <c r="V558" t="str">
        <f t="shared" si="118"/>
        <v>ALCOHOL FREE</v>
      </c>
      <c r="W558" t="str">
        <f t="shared" si="119"/>
        <v>12</v>
      </c>
      <c r="X558" s="27">
        <f t="shared" si="120"/>
        <v>0.1182</v>
      </c>
      <c r="Y558" s="27">
        <f t="shared" si="121"/>
        <v>1.0884</v>
      </c>
      <c r="Z558" s="27">
        <f t="shared" si="122"/>
        <v>0</v>
      </c>
      <c r="AA558" s="27">
        <f t="shared" si="123"/>
        <v>0.31890000000000002</v>
      </c>
      <c r="AB558" s="27">
        <f t="shared" si="124"/>
        <v>3.3033999999999999</v>
      </c>
      <c r="AC558" s="27">
        <f t="shared" si="125"/>
        <v>0</v>
      </c>
    </row>
    <row r="559" spans="1:29" ht="15" customHeight="1" x14ac:dyDescent="0.3">
      <c r="A559" s="22" t="s">
        <v>470</v>
      </c>
      <c r="B559" s="23" t="s">
        <v>8</v>
      </c>
      <c r="C559" s="23" t="s">
        <v>9</v>
      </c>
      <c r="D559" s="24" t="s">
        <v>64</v>
      </c>
      <c r="E559" s="24" t="s">
        <v>376</v>
      </c>
      <c r="F559" s="18">
        <v>5.4508000000000001</v>
      </c>
      <c r="G559" s="19">
        <v>2.1189</v>
      </c>
      <c r="H559" s="20">
        <v>0.77749999999999997</v>
      </c>
      <c r="I559" s="21">
        <v>70.866600000000005</v>
      </c>
      <c r="J559" s="20">
        <v>26.7118</v>
      </c>
      <c r="K559" s="20">
        <v>8.9403000000000006</v>
      </c>
      <c r="M559" t="str">
        <f t="shared" si="112"/>
        <v>PAMPERS SENSITIVE ALC.FREE 12 BAG</v>
      </c>
      <c r="N559" s="29" t="str">
        <f t="shared" si="113"/>
        <v xml:space="preserve"> Proctor &amp; Wager</v>
      </c>
      <c r="O559" t="str">
        <f t="shared" si="114"/>
        <v>PAMPERS (PROCTER &amp; GAMBLE)</v>
      </c>
      <c r="P559" t="str">
        <f t="shared" si="116"/>
        <v xml:space="preserve"> Proctor &amp; Wager</v>
      </c>
      <c r="R559" t="str">
        <f t="shared" si="115"/>
        <v>PAMPERS (PROCTER &amp; GAMBLE)</v>
      </c>
      <c r="T559" t="s">
        <v>469</v>
      </c>
      <c r="U559" t="str">
        <f t="shared" si="117"/>
        <v>BAGS</v>
      </c>
      <c r="V559" t="str">
        <f t="shared" si="118"/>
        <v>SENSITIVE</v>
      </c>
      <c r="W559" t="str">
        <f t="shared" si="119"/>
        <v>12</v>
      </c>
      <c r="X559" s="27">
        <f t="shared" si="120"/>
        <v>0.87180000000000002</v>
      </c>
      <c r="Y559" s="27">
        <f t="shared" si="121"/>
        <v>4.3999999999999997E-2</v>
      </c>
      <c r="Z559" s="27">
        <f t="shared" si="122"/>
        <v>0</v>
      </c>
      <c r="AA559" s="27">
        <f t="shared" si="123"/>
        <v>8.5823999999999998</v>
      </c>
      <c r="AB559" s="27">
        <f t="shared" si="124"/>
        <v>0.58599999999999997</v>
      </c>
      <c r="AC559" s="27">
        <f t="shared" si="125"/>
        <v>0</v>
      </c>
    </row>
    <row r="560" spans="1:29" ht="15" customHeight="1" x14ac:dyDescent="0.3">
      <c r="A560" s="22" t="s">
        <v>471</v>
      </c>
      <c r="B560" s="23" t="s">
        <v>8</v>
      </c>
      <c r="C560" s="23" t="s">
        <v>9</v>
      </c>
      <c r="D560" s="24" t="s">
        <v>64</v>
      </c>
      <c r="E560" s="24" t="s">
        <v>376</v>
      </c>
      <c r="F560" s="18"/>
      <c r="G560" s="19"/>
      <c r="H560" s="20"/>
      <c r="I560" s="21"/>
      <c r="J560" s="20"/>
      <c r="K560" s="20"/>
      <c r="M560" t="str">
        <f t="shared" si="112"/>
        <v>PAMPERS SENSITIVE PH5.5 12 BAG</v>
      </c>
      <c r="N560" s="29" t="str">
        <f t="shared" si="113"/>
        <v xml:space="preserve"> Proctor &amp; Wager</v>
      </c>
      <c r="O560" t="str">
        <f t="shared" si="114"/>
        <v>PAMPERS (PROCTER &amp; GAMBLE)</v>
      </c>
      <c r="P560" t="str">
        <f t="shared" si="116"/>
        <v xml:space="preserve"> Proctor &amp; Wager</v>
      </c>
      <c r="R560" t="str">
        <f t="shared" si="115"/>
        <v>PAMPERS (PROCTER &amp; GAMBLE)</v>
      </c>
      <c r="T560" t="s">
        <v>470</v>
      </c>
      <c r="U560" t="str">
        <f t="shared" si="117"/>
        <v>BAGS</v>
      </c>
      <c r="V560" t="str">
        <f t="shared" si="118"/>
        <v>SENSITIVE</v>
      </c>
      <c r="W560" t="str">
        <f t="shared" si="119"/>
        <v>12</v>
      </c>
      <c r="X560" s="27">
        <f t="shared" si="120"/>
        <v>5.4508000000000001</v>
      </c>
      <c r="Y560" s="27">
        <f t="shared" si="121"/>
        <v>2.1189</v>
      </c>
      <c r="Z560" s="27">
        <f t="shared" si="122"/>
        <v>0.77749999999999997</v>
      </c>
      <c r="AA560" s="27">
        <f t="shared" si="123"/>
        <v>70.866600000000005</v>
      </c>
      <c r="AB560" s="27">
        <f t="shared" si="124"/>
        <v>26.7118</v>
      </c>
      <c r="AC560" s="27">
        <f t="shared" si="125"/>
        <v>8.9403000000000006</v>
      </c>
    </row>
    <row r="561" spans="1:29" ht="15" customHeight="1" x14ac:dyDescent="0.3">
      <c r="A561" s="22" t="s">
        <v>472</v>
      </c>
      <c r="B561" s="23" t="s">
        <v>8</v>
      </c>
      <c r="C561" s="23" t="s">
        <v>9</v>
      </c>
      <c r="D561" s="24" t="s">
        <v>30</v>
      </c>
      <c r="E561" s="24" t="s">
        <v>118</v>
      </c>
      <c r="F561" s="18">
        <v>9.06E-2</v>
      </c>
      <c r="G561" s="19"/>
      <c r="H561" s="20"/>
      <c r="I561" s="21">
        <v>1.3372999999999999</v>
      </c>
      <c r="J561" s="20"/>
      <c r="K561" s="20"/>
      <c r="M561" t="str">
        <f t="shared" si="112"/>
        <v>PAMPERS SENSITIVE PROTECT PH5.5 12 BAG</v>
      </c>
      <c r="N561" s="29" t="str">
        <f t="shared" si="113"/>
        <v xml:space="preserve"> Proctor &amp; Wager</v>
      </c>
      <c r="O561" t="str">
        <f t="shared" si="114"/>
        <v>PAMPERS (PROCTER &amp; GAMBLE)</v>
      </c>
      <c r="P561" t="str">
        <f t="shared" si="116"/>
        <v xml:space="preserve"> Proctor &amp; Wager</v>
      </c>
      <c r="R561" t="str">
        <f t="shared" si="115"/>
        <v>PAMPERS (PROCTER &amp; GAMBLE)</v>
      </c>
      <c r="T561" t="s">
        <v>471</v>
      </c>
      <c r="U561" t="str">
        <f t="shared" si="117"/>
        <v>BAGS</v>
      </c>
      <c r="V561" t="str">
        <f t="shared" si="118"/>
        <v>SENSITIVE</v>
      </c>
      <c r="W561" t="str">
        <f t="shared" si="119"/>
        <v>12</v>
      </c>
      <c r="X561" s="27">
        <f t="shared" si="120"/>
        <v>0</v>
      </c>
      <c r="Y561" s="27">
        <f t="shared" si="121"/>
        <v>0</v>
      </c>
      <c r="Z561" s="27">
        <f t="shared" si="122"/>
        <v>0</v>
      </c>
      <c r="AA561" s="27">
        <f t="shared" si="123"/>
        <v>0</v>
      </c>
      <c r="AB561" s="27">
        <f t="shared" si="124"/>
        <v>0</v>
      </c>
      <c r="AC561" s="27">
        <f t="shared" si="125"/>
        <v>0</v>
      </c>
    </row>
    <row r="562" spans="1:29" ht="15" customHeight="1" x14ac:dyDescent="0.3">
      <c r="A562" s="22" t="s">
        <v>473</v>
      </c>
      <c r="B562" s="23" t="s">
        <v>8</v>
      </c>
      <c r="C562" s="23" t="s">
        <v>9</v>
      </c>
      <c r="D562" s="24" t="s">
        <v>10</v>
      </c>
      <c r="E562" s="24" t="s">
        <v>474</v>
      </c>
      <c r="F562" s="18">
        <v>1.3827</v>
      </c>
      <c r="G562" s="19">
        <v>0.7681</v>
      </c>
      <c r="H562" s="20">
        <v>2.3199999999999998E-2</v>
      </c>
      <c r="I562" s="21">
        <v>23.328099999999999</v>
      </c>
      <c r="J562" s="20">
        <v>13.2523</v>
      </c>
      <c r="K562" s="20">
        <v>0.52669999999999995</v>
      </c>
      <c r="M562" t="str">
        <f t="shared" si="112"/>
        <v>PAMPERS BABY FRESH 24 BAG</v>
      </c>
      <c r="N562" s="29" t="str">
        <f t="shared" si="113"/>
        <v xml:space="preserve"> Proctor &amp; Wager</v>
      </c>
      <c r="O562" t="str">
        <f t="shared" si="114"/>
        <v>PAMPERS (PROCTER &amp; GAMBLE)</v>
      </c>
      <c r="P562" t="str">
        <f t="shared" si="116"/>
        <v xml:space="preserve"> Proctor &amp; Wager</v>
      </c>
      <c r="R562" t="str">
        <f t="shared" si="115"/>
        <v>PAMPERS (PROCTER &amp; GAMBLE)</v>
      </c>
      <c r="T562" t="s">
        <v>472</v>
      </c>
      <c r="U562" t="str">
        <f t="shared" si="117"/>
        <v>BAGS</v>
      </c>
      <c r="V562" t="str">
        <f t="shared" si="118"/>
        <v>ALCOHOL FREE</v>
      </c>
      <c r="W562" t="str">
        <f t="shared" si="119"/>
        <v>24</v>
      </c>
      <c r="X562" s="27">
        <f t="shared" si="120"/>
        <v>9.06E-2</v>
      </c>
      <c r="Y562" s="27">
        <f t="shared" si="121"/>
        <v>0</v>
      </c>
      <c r="Z562" s="27">
        <f t="shared" si="122"/>
        <v>0</v>
      </c>
      <c r="AA562" s="27">
        <f t="shared" si="123"/>
        <v>1.3372999999999999</v>
      </c>
      <c r="AB562" s="27">
        <f t="shared" si="124"/>
        <v>0</v>
      </c>
      <c r="AC562" s="27">
        <f t="shared" si="125"/>
        <v>0</v>
      </c>
    </row>
    <row r="563" spans="1:29" ht="15" customHeight="1" x14ac:dyDescent="0.3">
      <c r="A563" s="22" t="s">
        <v>475</v>
      </c>
      <c r="B563" s="23" t="s">
        <v>8</v>
      </c>
      <c r="C563" s="23" t="s">
        <v>9</v>
      </c>
      <c r="D563" s="24" t="s">
        <v>30</v>
      </c>
      <c r="E563" s="24" t="s">
        <v>476</v>
      </c>
      <c r="F563" s="18"/>
      <c r="G563" s="19"/>
      <c r="H563" s="20">
        <v>20.740400000000001</v>
      </c>
      <c r="I563" s="21"/>
      <c r="J563" s="20"/>
      <c r="K563" s="20">
        <v>310.0301</v>
      </c>
      <c r="M563" t="str">
        <f t="shared" si="112"/>
        <v>PAMPERS SOLE E LUNA CAMOMILLA 50/25%BAG</v>
      </c>
      <c r="N563" s="29" t="str">
        <f t="shared" si="113"/>
        <v xml:space="preserve"> Proctor &amp; Wager</v>
      </c>
      <c r="O563" t="str">
        <f t="shared" si="114"/>
        <v>PAMPERS (PROCTER &amp; GAMBLE)</v>
      </c>
      <c r="P563" t="str">
        <f t="shared" si="116"/>
        <v xml:space="preserve"> Proctor &amp; Wager</v>
      </c>
      <c r="R563" t="str">
        <f t="shared" si="115"/>
        <v>PAMPERS (PROCTER &amp; GAMBLE)</v>
      </c>
      <c r="T563" t="s">
        <v>473</v>
      </c>
      <c r="U563" t="str">
        <f t="shared" si="117"/>
        <v>BAGS</v>
      </c>
      <c r="V563" t="str">
        <f t="shared" si="118"/>
        <v>WITHOUT EXTRA PROTECTCARE INDICATION</v>
      </c>
      <c r="W563" t="str">
        <f t="shared" si="119"/>
        <v>37</v>
      </c>
      <c r="X563" s="27">
        <f t="shared" si="120"/>
        <v>1.3827</v>
      </c>
      <c r="Y563" s="27">
        <f t="shared" si="121"/>
        <v>0.7681</v>
      </c>
      <c r="Z563" s="27">
        <f t="shared" si="122"/>
        <v>2.3199999999999998E-2</v>
      </c>
      <c r="AA563" s="27">
        <f t="shared" si="123"/>
        <v>23.328099999999999</v>
      </c>
      <c r="AB563" s="27">
        <f t="shared" si="124"/>
        <v>13.2523</v>
      </c>
      <c r="AC563" s="27">
        <f t="shared" si="125"/>
        <v>0.52669999999999995</v>
      </c>
    </row>
    <row r="564" spans="1:29" ht="15" customHeight="1" x14ac:dyDescent="0.3">
      <c r="A564" s="22" t="s">
        <v>477</v>
      </c>
      <c r="B564" s="23" t="s">
        <v>8</v>
      </c>
      <c r="C564" s="23" t="s">
        <v>9</v>
      </c>
      <c r="D564" s="24" t="s">
        <v>30</v>
      </c>
      <c r="E564" s="24" t="s">
        <v>476</v>
      </c>
      <c r="F564" s="18"/>
      <c r="G564" s="19"/>
      <c r="H564" s="20">
        <v>1.2435</v>
      </c>
      <c r="I564" s="21"/>
      <c r="J564" s="20"/>
      <c r="K564" s="20">
        <v>17.1813</v>
      </c>
      <c r="M564" t="str">
        <f t="shared" si="112"/>
        <v>PAMPERS AQUA HARMONIE 99%WATER 3X48 BAG</v>
      </c>
      <c r="N564" s="29" t="str">
        <f t="shared" si="113"/>
        <v xml:space="preserve"> Proctor &amp; Wager</v>
      </c>
      <c r="O564" t="str">
        <f t="shared" si="114"/>
        <v>PAMPERS (PROCTER &amp; GAMBLE)</v>
      </c>
      <c r="P564" t="str">
        <f t="shared" si="116"/>
        <v xml:space="preserve"> Proctor &amp; Wager</v>
      </c>
      <c r="R564" t="str">
        <f t="shared" si="115"/>
        <v>PAMPERS (PROCTER &amp; GAMBLE)</v>
      </c>
      <c r="T564" t="s">
        <v>475</v>
      </c>
      <c r="U564" t="str">
        <f t="shared" si="117"/>
        <v>BAGS</v>
      </c>
      <c r="V564" t="str">
        <f t="shared" si="118"/>
        <v>ALCOHOL FREE</v>
      </c>
      <c r="W564" t="str">
        <f t="shared" si="119"/>
        <v>48</v>
      </c>
      <c r="X564" s="27">
        <f t="shared" si="120"/>
        <v>0</v>
      </c>
      <c r="Y564" s="27">
        <f t="shared" si="121"/>
        <v>0</v>
      </c>
      <c r="Z564" s="27">
        <f t="shared" si="122"/>
        <v>20.740400000000001</v>
      </c>
      <c r="AA564" s="27">
        <f t="shared" si="123"/>
        <v>0</v>
      </c>
      <c r="AB564" s="27">
        <f t="shared" si="124"/>
        <v>0</v>
      </c>
      <c r="AC564" s="27">
        <f t="shared" si="125"/>
        <v>310.0301</v>
      </c>
    </row>
    <row r="565" spans="1:29" ht="15" customHeight="1" x14ac:dyDescent="0.3">
      <c r="A565" s="22" t="s">
        <v>478</v>
      </c>
      <c r="B565" s="23" t="s">
        <v>8</v>
      </c>
      <c r="C565" s="23" t="s">
        <v>9</v>
      </c>
      <c r="D565" s="24" t="s">
        <v>30</v>
      </c>
      <c r="E565" s="24" t="s">
        <v>476</v>
      </c>
      <c r="F565" s="18">
        <v>4.0780000000000003</v>
      </c>
      <c r="G565" s="19">
        <v>35.126199999999997</v>
      </c>
      <c r="H565" s="20">
        <v>26.273900000000001</v>
      </c>
      <c r="I565" s="21">
        <v>71.718599999999995</v>
      </c>
      <c r="J565" s="20">
        <v>592.5693</v>
      </c>
      <c r="K565" s="20">
        <v>441.30500000000001</v>
      </c>
      <c r="M565" t="str">
        <f t="shared" si="112"/>
        <v>PAMPERS AQUA HARMONIE 99%WATER AL.FR.48</v>
      </c>
      <c r="N565" s="29" t="str">
        <f t="shared" si="113"/>
        <v xml:space="preserve"> Proctor &amp; Wager</v>
      </c>
      <c r="O565" t="str">
        <f t="shared" si="114"/>
        <v>PAMPERS (PROCTER &amp; GAMBLE)</v>
      </c>
      <c r="P565" t="str">
        <f t="shared" si="116"/>
        <v xml:space="preserve"> Proctor &amp; Wager</v>
      </c>
      <c r="R565" t="str">
        <f t="shared" si="115"/>
        <v>PAMPERS (PROCTER &amp; GAMBLE)</v>
      </c>
      <c r="T565" t="s">
        <v>477</v>
      </c>
      <c r="U565" t="str">
        <f t="shared" si="117"/>
        <v>BAGS</v>
      </c>
      <c r="V565" t="str">
        <f t="shared" si="118"/>
        <v>ALCOHOL FREE</v>
      </c>
      <c r="W565" t="str">
        <f t="shared" si="119"/>
        <v>48</v>
      </c>
      <c r="X565" s="27">
        <f t="shared" si="120"/>
        <v>0</v>
      </c>
      <c r="Y565" s="27">
        <f t="shared" si="121"/>
        <v>0</v>
      </c>
      <c r="Z565" s="27">
        <f t="shared" si="122"/>
        <v>1.2435</v>
      </c>
      <c r="AA565" s="27">
        <f t="shared" si="123"/>
        <v>0</v>
      </c>
      <c r="AB565" s="27">
        <f t="shared" si="124"/>
        <v>0</v>
      </c>
      <c r="AC565" s="27">
        <f t="shared" si="125"/>
        <v>17.1813</v>
      </c>
    </row>
    <row r="566" spans="1:29" ht="15" customHeight="1" x14ac:dyDescent="0.3">
      <c r="A566" s="22" t="s">
        <v>479</v>
      </c>
      <c r="B566" s="23" t="s">
        <v>8</v>
      </c>
      <c r="C566" s="23" t="s">
        <v>9</v>
      </c>
      <c r="D566" s="24" t="s">
        <v>30</v>
      </c>
      <c r="E566" s="24" t="s">
        <v>476</v>
      </c>
      <c r="F566" s="18">
        <v>264.06810000000002</v>
      </c>
      <c r="G566" s="19">
        <v>329.44319999999999</v>
      </c>
      <c r="H566" s="20">
        <v>205.9486</v>
      </c>
      <c r="I566" s="21">
        <v>3958.0279</v>
      </c>
      <c r="J566" s="20">
        <v>5113.9928</v>
      </c>
      <c r="K566" s="20">
        <v>2876.5592000000001</v>
      </c>
      <c r="M566" t="str">
        <f t="shared" si="112"/>
        <v>PAMPERS AQUA PURE ALC.FREE 3X48 BAG</v>
      </c>
      <c r="N566" s="29" t="str">
        <f t="shared" si="113"/>
        <v xml:space="preserve"> Proctor &amp; Wager</v>
      </c>
      <c r="O566" t="str">
        <f t="shared" si="114"/>
        <v>PAMPERS (PROCTER &amp; GAMBLE)</v>
      </c>
      <c r="P566" t="str">
        <f t="shared" si="116"/>
        <v xml:space="preserve"> Proctor &amp; Wager</v>
      </c>
      <c r="R566" t="str">
        <f t="shared" si="115"/>
        <v>PAMPERS (PROCTER &amp; GAMBLE)</v>
      </c>
      <c r="T566" t="s">
        <v>478</v>
      </c>
      <c r="U566" t="str">
        <f t="shared" si="117"/>
        <v>BAGS</v>
      </c>
      <c r="V566" t="str">
        <f t="shared" si="118"/>
        <v>ALCOHOL FREE</v>
      </c>
      <c r="W566" t="str">
        <f t="shared" si="119"/>
        <v>48</v>
      </c>
      <c r="X566" s="27">
        <f t="shared" si="120"/>
        <v>4.0780000000000003</v>
      </c>
      <c r="Y566" s="27">
        <f t="shared" si="121"/>
        <v>35.126199999999997</v>
      </c>
      <c r="Z566" s="27">
        <f t="shared" si="122"/>
        <v>26.273900000000001</v>
      </c>
      <c r="AA566" s="27">
        <f t="shared" si="123"/>
        <v>71.718599999999995</v>
      </c>
      <c r="AB566" s="27">
        <f t="shared" si="124"/>
        <v>592.5693</v>
      </c>
      <c r="AC566" s="27">
        <f t="shared" si="125"/>
        <v>441.30500000000001</v>
      </c>
    </row>
    <row r="567" spans="1:29" ht="15" customHeight="1" x14ac:dyDescent="0.3">
      <c r="A567" s="22" t="s">
        <v>480</v>
      </c>
      <c r="B567" s="23" t="s">
        <v>8</v>
      </c>
      <c r="C567" s="23" t="s">
        <v>9</v>
      </c>
      <c r="D567" s="24" t="s">
        <v>64</v>
      </c>
      <c r="E567" s="24" t="s">
        <v>15</v>
      </c>
      <c r="F567" s="18"/>
      <c r="G567" s="19"/>
      <c r="H567" s="20"/>
      <c r="I567" s="21"/>
      <c r="J567" s="20"/>
      <c r="K567" s="20"/>
      <c r="M567" t="str">
        <f t="shared" si="112"/>
        <v>PAMPERS AQUA PURE ALC.FREE 48 BAG</v>
      </c>
      <c r="N567" s="29" t="str">
        <f t="shared" si="113"/>
        <v xml:space="preserve"> Proctor &amp; Wager</v>
      </c>
      <c r="O567" t="str">
        <f t="shared" si="114"/>
        <v>PAMPERS (PROCTER &amp; GAMBLE)</v>
      </c>
      <c r="P567" t="str">
        <f t="shared" si="116"/>
        <v xml:space="preserve"> Proctor &amp; Wager</v>
      </c>
      <c r="R567" t="str">
        <f t="shared" si="115"/>
        <v>PAMPERS (PROCTER &amp; GAMBLE)</v>
      </c>
      <c r="T567" t="s">
        <v>479</v>
      </c>
      <c r="U567" t="str">
        <f t="shared" si="117"/>
        <v>BAGS</v>
      </c>
      <c r="V567" t="str">
        <f t="shared" si="118"/>
        <v>ALCOHOL FREE</v>
      </c>
      <c r="W567" t="str">
        <f t="shared" si="119"/>
        <v>48</v>
      </c>
      <c r="X567" s="27">
        <f t="shared" si="120"/>
        <v>264.06810000000002</v>
      </c>
      <c r="Y567" s="27">
        <f t="shared" si="121"/>
        <v>329.44319999999999</v>
      </c>
      <c r="Z567" s="27">
        <f t="shared" si="122"/>
        <v>205.9486</v>
      </c>
      <c r="AA567" s="27">
        <f t="shared" si="123"/>
        <v>3958.0279</v>
      </c>
      <c r="AB567" s="27">
        <f t="shared" si="124"/>
        <v>5113.9928</v>
      </c>
      <c r="AC567" s="27">
        <f t="shared" si="125"/>
        <v>2876.5592000000001</v>
      </c>
    </row>
    <row r="568" spans="1:29" ht="15" customHeight="1" x14ac:dyDescent="0.3">
      <c r="A568" s="22" t="s">
        <v>481</v>
      </c>
      <c r="B568" s="23" t="s">
        <v>8</v>
      </c>
      <c r="C568" s="23" t="s">
        <v>9</v>
      </c>
      <c r="D568" s="24" t="s">
        <v>30</v>
      </c>
      <c r="E568" s="24" t="s">
        <v>256</v>
      </c>
      <c r="F568" s="18">
        <v>8.5046999999999997</v>
      </c>
      <c r="G568" s="19">
        <v>12.872299999999999</v>
      </c>
      <c r="H568" s="20">
        <v>4.3821000000000003</v>
      </c>
      <c r="I568" s="21">
        <v>194.4057</v>
      </c>
      <c r="J568" s="20">
        <v>338.25259999999997</v>
      </c>
      <c r="K568" s="20">
        <v>110.48520000000001</v>
      </c>
      <c r="M568" t="str">
        <f t="shared" si="112"/>
        <v>PAMPERS SENSITIVE 50 BAG</v>
      </c>
      <c r="N568" s="29" t="str">
        <f t="shared" si="113"/>
        <v xml:space="preserve"> Proctor &amp; Wager</v>
      </c>
      <c r="O568" t="str">
        <f t="shared" si="114"/>
        <v>PAMPERS (PROCTER &amp; GAMBLE)</v>
      </c>
      <c r="P568" t="str">
        <f t="shared" si="116"/>
        <v xml:space="preserve"> Proctor &amp; Wager</v>
      </c>
      <c r="R568" t="str">
        <f t="shared" si="115"/>
        <v>PAMPERS (PROCTER &amp; GAMBLE)</v>
      </c>
      <c r="T568" t="s">
        <v>480</v>
      </c>
      <c r="U568" t="str">
        <f t="shared" si="117"/>
        <v>BAGS</v>
      </c>
      <c r="V568" t="str">
        <f t="shared" si="118"/>
        <v>SENSITIVE</v>
      </c>
      <c r="W568" t="str">
        <f t="shared" si="119"/>
        <v>50</v>
      </c>
      <c r="X568" s="27">
        <f t="shared" si="120"/>
        <v>0</v>
      </c>
      <c r="Y568" s="27">
        <f t="shared" si="121"/>
        <v>0</v>
      </c>
      <c r="Z568" s="27">
        <f t="shared" si="122"/>
        <v>0</v>
      </c>
      <c r="AA568" s="27">
        <f t="shared" si="123"/>
        <v>0</v>
      </c>
      <c r="AB568" s="27">
        <f t="shared" si="124"/>
        <v>0</v>
      </c>
      <c r="AC568" s="27">
        <f t="shared" si="125"/>
        <v>0</v>
      </c>
    </row>
    <row r="569" spans="1:29" ht="15" customHeight="1" x14ac:dyDescent="0.3">
      <c r="A569" s="22" t="s">
        <v>482</v>
      </c>
      <c r="B569" s="23" t="s">
        <v>8</v>
      </c>
      <c r="C569" s="23" t="s">
        <v>9</v>
      </c>
      <c r="D569" s="24" t="s">
        <v>30</v>
      </c>
      <c r="E569" s="24" t="s">
        <v>256</v>
      </c>
      <c r="F569" s="18">
        <v>171.4581</v>
      </c>
      <c r="G569" s="19">
        <v>146.56880000000001</v>
      </c>
      <c r="H569" s="20">
        <v>94.527100000000004</v>
      </c>
      <c r="I569" s="21">
        <v>5827.8176999999996</v>
      </c>
      <c r="J569" s="20">
        <v>5036.4476000000004</v>
      </c>
      <c r="K569" s="20">
        <v>3121.8564000000001</v>
      </c>
      <c r="M569" t="str">
        <f t="shared" si="112"/>
        <v>PAMPERS BABY FRESH CLEAN W 2X52 BAG</v>
      </c>
      <c r="N569" s="29" t="str">
        <f t="shared" si="113"/>
        <v xml:space="preserve"> Proctor &amp; Wager</v>
      </c>
      <c r="O569" t="str">
        <f t="shared" si="114"/>
        <v>PAMPERS (PROCTER &amp; GAMBLE)</v>
      </c>
      <c r="P569" t="str">
        <f t="shared" si="116"/>
        <v xml:space="preserve"> Proctor &amp; Wager</v>
      </c>
      <c r="R569" t="str">
        <f t="shared" si="115"/>
        <v>PAMPERS (PROCTER &amp; GAMBLE)</v>
      </c>
      <c r="T569" t="s">
        <v>481</v>
      </c>
      <c r="U569" t="str">
        <f t="shared" si="117"/>
        <v>BAGS</v>
      </c>
      <c r="V569" t="str">
        <f t="shared" si="118"/>
        <v>ALCOHOL FREE</v>
      </c>
      <c r="W569" t="str">
        <f t="shared" si="119"/>
        <v>52</v>
      </c>
      <c r="X569" s="27">
        <f t="shared" si="120"/>
        <v>8.5046999999999997</v>
      </c>
      <c r="Y569" s="27">
        <f t="shared" si="121"/>
        <v>12.872299999999999</v>
      </c>
      <c r="Z569" s="27">
        <f t="shared" si="122"/>
        <v>4.3821000000000003</v>
      </c>
      <c r="AA569" s="27">
        <f t="shared" si="123"/>
        <v>194.4057</v>
      </c>
      <c r="AB569" s="27">
        <f t="shared" si="124"/>
        <v>338.25259999999997</v>
      </c>
      <c r="AC569" s="27">
        <f t="shared" si="125"/>
        <v>110.48520000000001</v>
      </c>
    </row>
    <row r="570" spans="1:29" ht="15" customHeight="1" x14ac:dyDescent="0.3">
      <c r="A570" s="22" t="s">
        <v>483</v>
      </c>
      <c r="B570" s="23" t="s">
        <v>8</v>
      </c>
      <c r="C570" s="23" t="s">
        <v>9</v>
      </c>
      <c r="D570" s="24" t="s">
        <v>30</v>
      </c>
      <c r="E570" s="24" t="s">
        <v>256</v>
      </c>
      <c r="F570" s="18">
        <v>195.73400000000001</v>
      </c>
      <c r="G570" s="19">
        <v>242.5813</v>
      </c>
      <c r="H570" s="20">
        <v>163.20820000000001</v>
      </c>
      <c r="I570" s="21">
        <v>3936.1988000000001</v>
      </c>
      <c r="J570" s="20">
        <v>5003.2757000000001</v>
      </c>
      <c r="K570" s="20">
        <v>3062.0891000000001</v>
      </c>
      <c r="M570" t="str">
        <f t="shared" si="112"/>
        <v>PAMPERS BABY FRESH CLEAN W 4X52 BAG</v>
      </c>
      <c r="N570" s="29" t="str">
        <f t="shared" si="113"/>
        <v xml:space="preserve"> Proctor &amp; Wager</v>
      </c>
      <c r="O570" t="str">
        <f t="shared" si="114"/>
        <v>PAMPERS (PROCTER &amp; GAMBLE)</v>
      </c>
      <c r="P570" t="str">
        <f t="shared" si="116"/>
        <v xml:space="preserve"> Proctor &amp; Wager</v>
      </c>
      <c r="R570" t="str">
        <f t="shared" si="115"/>
        <v>PAMPERS (PROCTER &amp; GAMBLE)</v>
      </c>
      <c r="T570" t="s">
        <v>482</v>
      </c>
      <c r="U570" t="str">
        <f t="shared" si="117"/>
        <v>BAGS</v>
      </c>
      <c r="V570" t="str">
        <f t="shared" si="118"/>
        <v>ALCOHOL FREE</v>
      </c>
      <c r="W570" t="str">
        <f t="shared" si="119"/>
        <v>52</v>
      </c>
      <c r="X570" s="27">
        <f t="shared" si="120"/>
        <v>171.4581</v>
      </c>
      <c r="Y570" s="27">
        <f t="shared" si="121"/>
        <v>146.56880000000001</v>
      </c>
      <c r="Z570" s="27">
        <f t="shared" si="122"/>
        <v>94.527100000000004</v>
      </c>
      <c r="AA570" s="27">
        <f t="shared" si="123"/>
        <v>5827.8176999999996</v>
      </c>
      <c r="AB570" s="27">
        <f t="shared" si="124"/>
        <v>5036.4476000000004</v>
      </c>
      <c r="AC570" s="27">
        <f t="shared" si="125"/>
        <v>3121.8564000000001</v>
      </c>
    </row>
    <row r="571" spans="1:29" ht="15" customHeight="1" x14ac:dyDescent="0.3">
      <c r="A571" s="22" t="s">
        <v>484</v>
      </c>
      <c r="B571" s="23" t="s">
        <v>8</v>
      </c>
      <c r="C571" s="23" t="s">
        <v>9</v>
      </c>
      <c r="D571" s="24" t="s">
        <v>30</v>
      </c>
      <c r="E571" s="24" t="s">
        <v>256</v>
      </c>
      <c r="F571" s="18">
        <v>0.2492</v>
      </c>
      <c r="G571" s="19">
        <v>5.8500000000000003E-2</v>
      </c>
      <c r="H571" s="20"/>
      <c r="I571" s="21">
        <v>4.6970000000000001</v>
      </c>
      <c r="J571" s="20">
        <v>1.1557999999999999</v>
      </c>
      <c r="K571" s="20"/>
      <c r="M571" t="str">
        <f t="shared" si="112"/>
        <v>PAMPERS BABY FRESH CLEAN W 52 BAG</v>
      </c>
      <c r="N571" s="29" t="str">
        <f t="shared" si="113"/>
        <v xml:space="preserve"> Proctor &amp; Wager</v>
      </c>
      <c r="O571" t="str">
        <f t="shared" si="114"/>
        <v>PAMPERS (PROCTER &amp; GAMBLE)</v>
      </c>
      <c r="P571" t="str">
        <f t="shared" si="116"/>
        <v xml:space="preserve"> Proctor &amp; Wager</v>
      </c>
      <c r="R571" t="str">
        <f t="shared" si="115"/>
        <v>PAMPERS (PROCTER &amp; GAMBLE)</v>
      </c>
      <c r="T571" t="s">
        <v>483</v>
      </c>
      <c r="U571" t="str">
        <f t="shared" si="117"/>
        <v>BAGS</v>
      </c>
      <c r="V571" t="str">
        <f t="shared" si="118"/>
        <v>ALCOHOL FREE</v>
      </c>
      <c r="W571" t="str">
        <f t="shared" si="119"/>
        <v>52</v>
      </c>
      <c r="X571" s="27">
        <f t="shared" si="120"/>
        <v>195.73400000000001</v>
      </c>
      <c r="Y571" s="27">
        <f t="shared" si="121"/>
        <v>242.5813</v>
      </c>
      <c r="Z571" s="27">
        <f t="shared" si="122"/>
        <v>163.20820000000001</v>
      </c>
      <c r="AA571" s="27">
        <f t="shared" si="123"/>
        <v>3936.1988000000001</v>
      </c>
      <c r="AB571" s="27">
        <f t="shared" si="124"/>
        <v>5003.2757000000001</v>
      </c>
      <c r="AC571" s="27">
        <f t="shared" si="125"/>
        <v>3062.0891000000001</v>
      </c>
    </row>
    <row r="572" spans="1:29" ht="15" customHeight="1" x14ac:dyDescent="0.3">
      <c r="A572" s="22" t="s">
        <v>485</v>
      </c>
      <c r="B572" s="23" t="s">
        <v>8</v>
      </c>
      <c r="C572" s="23" t="s">
        <v>9</v>
      </c>
      <c r="D572" s="24" t="s">
        <v>30</v>
      </c>
      <c r="E572" s="24" t="s">
        <v>256</v>
      </c>
      <c r="F572" s="18">
        <v>0.97950000000000004</v>
      </c>
      <c r="G572" s="19"/>
      <c r="H572" s="20"/>
      <c r="I572" s="21">
        <v>23.239000000000001</v>
      </c>
      <c r="J572" s="20"/>
      <c r="K572" s="20"/>
      <c r="M572" t="str">
        <f t="shared" si="112"/>
        <v>PAMPERS BABY FRESH CLEAN W 52 BAG+DIA 38</v>
      </c>
      <c r="N572" s="29" t="str">
        <f t="shared" si="113"/>
        <v xml:space="preserve"> Proctor &amp; Wager</v>
      </c>
      <c r="O572" t="str">
        <f t="shared" si="114"/>
        <v>PAMPERS (PROCTER &amp; GAMBLE)</v>
      </c>
      <c r="P572" t="str">
        <f t="shared" si="116"/>
        <v xml:space="preserve"> Proctor &amp; Wager</v>
      </c>
      <c r="R572" t="str">
        <f t="shared" si="115"/>
        <v>PAMPERS (PROCTER &amp; GAMBLE)</v>
      </c>
      <c r="T572" t="s">
        <v>484</v>
      </c>
      <c r="U572" t="str">
        <f t="shared" si="117"/>
        <v>BAGS</v>
      </c>
      <c r="V572" t="str">
        <f t="shared" si="118"/>
        <v>ALCOHOL FREE</v>
      </c>
      <c r="W572" t="str">
        <f t="shared" si="119"/>
        <v>52</v>
      </c>
      <c r="X572" s="27">
        <f t="shared" si="120"/>
        <v>0.2492</v>
      </c>
      <c r="Y572" s="27">
        <f t="shared" si="121"/>
        <v>5.8500000000000003E-2</v>
      </c>
      <c r="Z572" s="27">
        <f t="shared" si="122"/>
        <v>0</v>
      </c>
      <c r="AA572" s="27">
        <f t="shared" si="123"/>
        <v>4.6970000000000001</v>
      </c>
      <c r="AB572" s="27">
        <f t="shared" si="124"/>
        <v>1.1557999999999999</v>
      </c>
      <c r="AC572" s="27">
        <f t="shared" si="125"/>
        <v>0</v>
      </c>
    </row>
    <row r="573" spans="1:29" ht="15" customHeight="1" x14ac:dyDescent="0.3">
      <c r="A573" s="22" t="s">
        <v>486</v>
      </c>
      <c r="B573" s="23" t="s">
        <v>8</v>
      </c>
      <c r="C573" s="23" t="s">
        <v>9</v>
      </c>
      <c r="D573" s="24" t="s">
        <v>30</v>
      </c>
      <c r="E573" s="24" t="s">
        <v>256</v>
      </c>
      <c r="F573" s="18">
        <v>1.0518000000000001</v>
      </c>
      <c r="G573" s="19"/>
      <c r="H573" s="20"/>
      <c r="I573" s="21">
        <v>15.4772</v>
      </c>
      <c r="J573" s="20"/>
      <c r="K573" s="20"/>
      <c r="M573" t="str">
        <f t="shared" si="112"/>
        <v>PAMPERS BABY FRESH CLEAN W 52 BAG+DIA 40</v>
      </c>
      <c r="N573" s="29" t="str">
        <f t="shared" si="113"/>
        <v xml:space="preserve"> Proctor &amp; Wager</v>
      </c>
      <c r="O573" t="str">
        <f t="shared" si="114"/>
        <v>PAMPERS (PROCTER &amp; GAMBLE)</v>
      </c>
      <c r="P573" t="str">
        <f t="shared" si="116"/>
        <v xml:space="preserve"> Proctor &amp; Wager</v>
      </c>
      <c r="R573" t="str">
        <f t="shared" si="115"/>
        <v>PAMPERS (PROCTER &amp; GAMBLE)</v>
      </c>
      <c r="T573" t="s">
        <v>485</v>
      </c>
      <c r="U573" t="str">
        <f t="shared" si="117"/>
        <v>BAGS</v>
      </c>
      <c r="V573" t="str">
        <f t="shared" si="118"/>
        <v>ALCOHOL FREE</v>
      </c>
      <c r="W573" t="str">
        <f t="shared" si="119"/>
        <v>52</v>
      </c>
      <c r="X573" s="27">
        <f t="shared" si="120"/>
        <v>0.97950000000000004</v>
      </c>
      <c r="Y573" s="27">
        <f t="shared" si="121"/>
        <v>0</v>
      </c>
      <c r="Z573" s="27">
        <f t="shared" si="122"/>
        <v>0</v>
      </c>
      <c r="AA573" s="27">
        <f t="shared" si="123"/>
        <v>23.239000000000001</v>
      </c>
      <c r="AB573" s="27">
        <f t="shared" si="124"/>
        <v>0</v>
      </c>
      <c r="AC573" s="27">
        <f t="shared" si="125"/>
        <v>0</v>
      </c>
    </row>
    <row r="574" spans="1:29" ht="15" customHeight="1" x14ac:dyDescent="0.3">
      <c r="A574" s="22" t="s">
        <v>487</v>
      </c>
      <c r="B574" s="23" t="s">
        <v>8</v>
      </c>
      <c r="C574" s="23" t="s">
        <v>9</v>
      </c>
      <c r="D574" s="24" t="s">
        <v>30</v>
      </c>
      <c r="E574" s="24" t="s">
        <v>256</v>
      </c>
      <c r="F574" s="18">
        <v>1.23</v>
      </c>
      <c r="G574" s="19">
        <v>5.5100000000000003E-2</v>
      </c>
      <c r="H574" s="20"/>
      <c r="I574" s="21">
        <v>22.518699999999999</v>
      </c>
      <c r="J574" s="20">
        <v>1.0911</v>
      </c>
      <c r="K574" s="20"/>
      <c r="M574" t="str">
        <f t="shared" si="112"/>
        <v>PAMPERS BABY FRESH CLEAN W 52 BAG+DIA 42</v>
      </c>
      <c r="N574" s="29" t="str">
        <f t="shared" si="113"/>
        <v xml:space="preserve"> Proctor &amp; Wager</v>
      </c>
      <c r="O574" t="str">
        <f t="shared" si="114"/>
        <v>PAMPERS (PROCTER &amp; GAMBLE)</v>
      </c>
      <c r="P574" t="str">
        <f t="shared" si="116"/>
        <v xml:space="preserve"> Proctor &amp; Wager</v>
      </c>
      <c r="R574" t="str">
        <f t="shared" si="115"/>
        <v>PAMPERS (PROCTER &amp; GAMBLE)</v>
      </c>
      <c r="T574" t="s">
        <v>486</v>
      </c>
      <c r="U574" t="str">
        <f t="shared" si="117"/>
        <v>BAGS</v>
      </c>
      <c r="V574" t="str">
        <f t="shared" si="118"/>
        <v>ALCOHOL FREE</v>
      </c>
      <c r="W574" t="str">
        <f t="shared" si="119"/>
        <v>52</v>
      </c>
      <c r="X574" s="27">
        <f t="shared" si="120"/>
        <v>1.0518000000000001</v>
      </c>
      <c r="Y574" s="27">
        <f t="shared" si="121"/>
        <v>0</v>
      </c>
      <c r="Z574" s="27">
        <f t="shared" si="122"/>
        <v>0</v>
      </c>
      <c r="AA574" s="27">
        <f t="shared" si="123"/>
        <v>15.4772</v>
      </c>
      <c r="AB574" s="27">
        <f t="shared" si="124"/>
        <v>0</v>
      </c>
      <c r="AC574" s="27">
        <f t="shared" si="125"/>
        <v>0</v>
      </c>
    </row>
    <row r="575" spans="1:29" ht="15" customHeight="1" x14ac:dyDescent="0.3">
      <c r="A575" s="22" t="s">
        <v>488</v>
      </c>
      <c r="B575" s="23" t="s">
        <v>8</v>
      </c>
      <c r="C575" s="23" t="s">
        <v>9</v>
      </c>
      <c r="D575" s="24" t="s">
        <v>30</v>
      </c>
      <c r="E575" s="24" t="s">
        <v>256</v>
      </c>
      <c r="F575" s="18">
        <v>0.64070000000000005</v>
      </c>
      <c r="G575" s="19"/>
      <c r="H575" s="20"/>
      <c r="I575" s="21">
        <v>15.170299999999999</v>
      </c>
      <c r="J575" s="20"/>
      <c r="K575" s="20"/>
      <c r="M575" t="str">
        <f t="shared" si="112"/>
        <v>PAMPERS BABY FRESH CLEAN W 52 BAG+DIA 44</v>
      </c>
      <c r="N575" s="29" t="str">
        <f t="shared" si="113"/>
        <v xml:space="preserve"> Proctor &amp; Wager</v>
      </c>
      <c r="O575" t="str">
        <f t="shared" si="114"/>
        <v>PAMPERS (PROCTER &amp; GAMBLE)</v>
      </c>
      <c r="P575" t="str">
        <f t="shared" si="116"/>
        <v xml:space="preserve"> Proctor &amp; Wager</v>
      </c>
      <c r="R575" t="str">
        <f t="shared" si="115"/>
        <v>PAMPERS (PROCTER &amp; GAMBLE)</v>
      </c>
      <c r="T575" t="s">
        <v>487</v>
      </c>
      <c r="U575" t="str">
        <f t="shared" si="117"/>
        <v>BAGS</v>
      </c>
      <c r="V575" t="str">
        <f t="shared" si="118"/>
        <v>ALCOHOL FREE</v>
      </c>
      <c r="W575" t="str">
        <f t="shared" si="119"/>
        <v>52</v>
      </c>
      <c r="X575" s="27">
        <f t="shared" si="120"/>
        <v>1.23</v>
      </c>
      <c r="Y575" s="27">
        <f t="shared" si="121"/>
        <v>5.5100000000000003E-2</v>
      </c>
      <c r="Z575" s="27">
        <f t="shared" si="122"/>
        <v>0</v>
      </c>
      <c r="AA575" s="27">
        <f t="shared" si="123"/>
        <v>22.518699999999999</v>
      </c>
      <c r="AB575" s="27">
        <f t="shared" si="124"/>
        <v>1.0911</v>
      </c>
      <c r="AC575" s="27">
        <f t="shared" si="125"/>
        <v>0</v>
      </c>
    </row>
    <row r="576" spans="1:29" ht="15" customHeight="1" x14ac:dyDescent="0.3">
      <c r="A576" s="22" t="s">
        <v>489</v>
      </c>
      <c r="B576" s="23" t="s">
        <v>8</v>
      </c>
      <c r="C576" s="23" t="s">
        <v>9</v>
      </c>
      <c r="D576" s="24" t="s">
        <v>30</v>
      </c>
      <c r="E576" s="24" t="s">
        <v>256</v>
      </c>
      <c r="F576" s="18">
        <v>0.8125</v>
      </c>
      <c r="G576" s="19">
        <v>2.2100000000000002E-2</v>
      </c>
      <c r="H576" s="20"/>
      <c r="I576" s="21">
        <v>14.451000000000001</v>
      </c>
      <c r="J576" s="20">
        <v>0.38290000000000002</v>
      </c>
      <c r="K576" s="20"/>
      <c r="M576" t="str">
        <f t="shared" si="112"/>
        <v>PAMPERS BABY FRESH CLEAN W 52 BAG+DIA 51</v>
      </c>
      <c r="N576" s="29" t="str">
        <f t="shared" si="113"/>
        <v xml:space="preserve"> Proctor &amp; Wager</v>
      </c>
      <c r="O576" t="str">
        <f t="shared" si="114"/>
        <v>PAMPERS (PROCTER &amp; GAMBLE)</v>
      </c>
      <c r="P576" t="str">
        <f t="shared" si="116"/>
        <v xml:space="preserve"> Proctor &amp; Wager</v>
      </c>
      <c r="R576" t="str">
        <f t="shared" si="115"/>
        <v>PAMPERS (PROCTER &amp; GAMBLE)</v>
      </c>
      <c r="T576" t="s">
        <v>488</v>
      </c>
      <c r="U576" t="str">
        <f t="shared" si="117"/>
        <v>BAGS</v>
      </c>
      <c r="V576" t="str">
        <f t="shared" si="118"/>
        <v>ALCOHOL FREE</v>
      </c>
      <c r="W576" t="str">
        <f t="shared" si="119"/>
        <v>52</v>
      </c>
      <c r="X576" s="27">
        <f t="shared" si="120"/>
        <v>0.64070000000000005</v>
      </c>
      <c r="Y576" s="27">
        <f t="shared" si="121"/>
        <v>0</v>
      </c>
      <c r="Z576" s="27">
        <f t="shared" si="122"/>
        <v>0</v>
      </c>
      <c r="AA576" s="27">
        <f t="shared" si="123"/>
        <v>15.170299999999999</v>
      </c>
      <c r="AB576" s="27">
        <f t="shared" si="124"/>
        <v>0</v>
      </c>
      <c r="AC576" s="27">
        <f t="shared" si="125"/>
        <v>0</v>
      </c>
    </row>
    <row r="577" spans="1:29" ht="15" customHeight="1" x14ac:dyDescent="0.3">
      <c r="A577" s="22" t="s">
        <v>490</v>
      </c>
      <c r="B577" s="23" t="s">
        <v>8</v>
      </c>
      <c r="C577" s="23" t="s">
        <v>9</v>
      </c>
      <c r="D577" s="24" t="s">
        <v>30</v>
      </c>
      <c r="E577" s="24" t="s">
        <v>256</v>
      </c>
      <c r="F577" s="18">
        <v>0.40889999999999999</v>
      </c>
      <c r="G577" s="19">
        <v>7.7899999999999997E-2</v>
      </c>
      <c r="H577" s="20"/>
      <c r="I577" s="21">
        <v>9.6999999999999993</v>
      </c>
      <c r="J577" s="20">
        <v>1.9962</v>
      </c>
      <c r="K577" s="20"/>
      <c r="M577" t="str">
        <f t="shared" si="112"/>
        <v>PAMPERS BABY FRESH CLEAN W 52 BAG+DIA 52</v>
      </c>
      <c r="N577" s="29" t="str">
        <f t="shared" si="113"/>
        <v xml:space="preserve"> Proctor &amp; Wager</v>
      </c>
      <c r="O577" t="str">
        <f t="shared" si="114"/>
        <v>PAMPERS (PROCTER &amp; GAMBLE)</v>
      </c>
      <c r="P577" t="str">
        <f t="shared" si="116"/>
        <v xml:space="preserve"> Proctor &amp; Wager</v>
      </c>
      <c r="R577" t="str">
        <f t="shared" si="115"/>
        <v>PAMPERS (PROCTER &amp; GAMBLE)</v>
      </c>
      <c r="T577" t="s">
        <v>489</v>
      </c>
      <c r="U577" t="str">
        <f t="shared" si="117"/>
        <v>BAGS</v>
      </c>
      <c r="V577" t="str">
        <f t="shared" si="118"/>
        <v>ALCOHOL FREE</v>
      </c>
      <c r="W577" t="str">
        <f t="shared" si="119"/>
        <v>52</v>
      </c>
      <c r="X577" s="27">
        <f t="shared" si="120"/>
        <v>0.8125</v>
      </c>
      <c r="Y577" s="27">
        <f t="shared" si="121"/>
        <v>2.2100000000000002E-2</v>
      </c>
      <c r="Z577" s="27">
        <f t="shared" si="122"/>
        <v>0</v>
      </c>
      <c r="AA577" s="27">
        <f t="shared" si="123"/>
        <v>14.451000000000001</v>
      </c>
      <c r="AB577" s="27">
        <f t="shared" si="124"/>
        <v>0.38290000000000002</v>
      </c>
      <c r="AC577" s="27">
        <f t="shared" si="125"/>
        <v>0</v>
      </c>
    </row>
    <row r="578" spans="1:29" ht="15" customHeight="1" x14ac:dyDescent="0.3">
      <c r="A578" s="22" t="s">
        <v>491</v>
      </c>
      <c r="B578" s="23" t="s">
        <v>8</v>
      </c>
      <c r="C578" s="23" t="s">
        <v>9</v>
      </c>
      <c r="D578" s="24" t="s">
        <v>30</v>
      </c>
      <c r="E578" s="24" t="s">
        <v>256</v>
      </c>
      <c r="F578" s="18">
        <v>1.716</v>
      </c>
      <c r="G578" s="19"/>
      <c r="H578" s="20"/>
      <c r="I578" s="21">
        <v>43.815600000000003</v>
      </c>
      <c r="J578" s="20"/>
      <c r="K578" s="20"/>
      <c r="M578" t="str">
        <f t="shared" si="112"/>
        <v>PAMPERS BABY FRESH CLEAN W 52 BAG+DIA 53</v>
      </c>
      <c r="N578" s="29" t="str">
        <f t="shared" si="113"/>
        <v xml:space="preserve"> Proctor &amp; Wager</v>
      </c>
      <c r="O578" t="str">
        <f t="shared" si="114"/>
        <v>PAMPERS (PROCTER &amp; GAMBLE)</v>
      </c>
      <c r="P578" t="str">
        <f t="shared" si="116"/>
        <v xml:space="preserve"> Proctor &amp; Wager</v>
      </c>
      <c r="R578" t="str">
        <f t="shared" si="115"/>
        <v>PAMPERS (PROCTER &amp; GAMBLE)</v>
      </c>
      <c r="T578" t="s">
        <v>490</v>
      </c>
      <c r="U578" t="str">
        <f t="shared" si="117"/>
        <v>BAGS</v>
      </c>
      <c r="V578" t="str">
        <f t="shared" si="118"/>
        <v>ALCOHOL FREE</v>
      </c>
      <c r="W578" t="str">
        <f t="shared" si="119"/>
        <v>52</v>
      </c>
      <c r="X578" s="27">
        <f t="shared" si="120"/>
        <v>0.40889999999999999</v>
      </c>
      <c r="Y578" s="27">
        <f t="shared" si="121"/>
        <v>7.7899999999999997E-2</v>
      </c>
      <c r="Z578" s="27">
        <f t="shared" si="122"/>
        <v>0</v>
      </c>
      <c r="AA578" s="27">
        <f t="shared" si="123"/>
        <v>9.6999999999999993</v>
      </c>
      <c r="AB578" s="27">
        <f t="shared" si="124"/>
        <v>1.9962</v>
      </c>
      <c r="AC578" s="27">
        <f t="shared" si="125"/>
        <v>0</v>
      </c>
    </row>
    <row r="579" spans="1:29" ht="15" customHeight="1" x14ac:dyDescent="0.3">
      <c r="A579" s="22" t="s">
        <v>492</v>
      </c>
      <c r="B579" s="23" t="s">
        <v>8</v>
      </c>
      <c r="C579" s="23" t="s">
        <v>9</v>
      </c>
      <c r="D579" s="24" t="s">
        <v>30</v>
      </c>
      <c r="E579" s="24" t="s">
        <v>256</v>
      </c>
      <c r="F579" s="18">
        <v>0.17050000000000001</v>
      </c>
      <c r="G579" s="19">
        <v>7.7700000000000005E-2</v>
      </c>
      <c r="H579" s="20"/>
      <c r="I579" s="21">
        <v>3.5674000000000001</v>
      </c>
      <c r="J579" s="20">
        <v>1.7087000000000001</v>
      </c>
      <c r="K579" s="20"/>
      <c r="M579" t="str">
        <f t="shared" si="112"/>
        <v>PAMPERS BABY FRESH CLEAN W 52 BAG+DIA 54</v>
      </c>
      <c r="N579" s="29" t="str">
        <f t="shared" si="113"/>
        <v xml:space="preserve"> Proctor &amp; Wager</v>
      </c>
      <c r="O579" t="str">
        <f t="shared" si="114"/>
        <v>PAMPERS (PROCTER &amp; GAMBLE)</v>
      </c>
      <c r="P579" t="str">
        <f t="shared" si="116"/>
        <v xml:space="preserve"> Proctor &amp; Wager</v>
      </c>
      <c r="R579" t="str">
        <f t="shared" si="115"/>
        <v>PAMPERS (PROCTER &amp; GAMBLE)</v>
      </c>
      <c r="T579" t="s">
        <v>491</v>
      </c>
      <c r="U579" t="str">
        <f t="shared" si="117"/>
        <v>BAGS</v>
      </c>
      <c r="V579" t="str">
        <f t="shared" si="118"/>
        <v>ALCOHOL FREE</v>
      </c>
      <c r="W579" t="str">
        <f t="shared" si="119"/>
        <v>52</v>
      </c>
      <c r="X579" s="27">
        <f t="shared" si="120"/>
        <v>1.716</v>
      </c>
      <c r="Y579" s="27">
        <f t="shared" si="121"/>
        <v>0</v>
      </c>
      <c r="Z579" s="27">
        <f t="shared" si="122"/>
        <v>0</v>
      </c>
      <c r="AA579" s="27">
        <f t="shared" si="123"/>
        <v>43.815600000000003</v>
      </c>
      <c r="AB579" s="27">
        <f t="shared" si="124"/>
        <v>0</v>
      </c>
      <c r="AC579" s="27">
        <f t="shared" si="125"/>
        <v>0</v>
      </c>
    </row>
    <row r="580" spans="1:29" ht="15" customHeight="1" x14ac:dyDescent="0.3">
      <c r="A580" s="22" t="s">
        <v>493</v>
      </c>
      <c r="B580" s="23" t="s">
        <v>8</v>
      </c>
      <c r="C580" s="23" t="s">
        <v>9</v>
      </c>
      <c r="D580" s="24" t="s">
        <v>30</v>
      </c>
      <c r="E580" s="24" t="s">
        <v>256</v>
      </c>
      <c r="F580" s="18">
        <v>1.5501</v>
      </c>
      <c r="G580" s="19">
        <v>0.42659999999999998</v>
      </c>
      <c r="H580" s="20">
        <v>0.12859999999999999</v>
      </c>
      <c r="I580" s="21">
        <v>28.959800000000001</v>
      </c>
      <c r="J580" s="20">
        <v>8.7736999999999998</v>
      </c>
      <c r="K580" s="20">
        <v>2.5320999999999998</v>
      </c>
      <c r="M580" t="str">
        <f t="shared" si="112"/>
        <v>PAMPERS BABY FRESH CLEAN W 52 BAG+DIA 58</v>
      </c>
      <c r="N580" s="29" t="str">
        <f t="shared" si="113"/>
        <v xml:space="preserve"> Proctor &amp; Wager</v>
      </c>
      <c r="O580" t="str">
        <f t="shared" si="114"/>
        <v>PAMPERS (PROCTER &amp; GAMBLE)</v>
      </c>
      <c r="P580" t="str">
        <f t="shared" si="116"/>
        <v xml:space="preserve"> Proctor &amp; Wager</v>
      </c>
      <c r="R580" t="str">
        <f t="shared" si="115"/>
        <v>PAMPERS (PROCTER &amp; GAMBLE)</v>
      </c>
      <c r="T580" t="s">
        <v>492</v>
      </c>
      <c r="U580" t="str">
        <f t="shared" si="117"/>
        <v>BAGS</v>
      </c>
      <c r="V580" t="str">
        <f t="shared" si="118"/>
        <v>ALCOHOL FREE</v>
      </c>
      <c r="W580" t="str">
        <f t="shared" si="119"/>
        <v>52</v>
      </c>
      <c r="X580" s="27">
        <f t="shared" si="120"/>
        <v>0.17050000000000001</v>
      </c>
      <c r="Y580" s="27">
        <f t="shared" si="121"/>
        <v>7.7700000000000005E-2</v>
      </c>
      <c r="Z580" s="27">
        <f t="shared" si="122"/>
        <v>0</v>
      </c>
      <c r="AA580" s="27">
        <f t="shared" si="123"/>
        <v>3.5674000000000001</v>
      </c>
      <c r="AB580" s="27">
        <f t="shared" si="124"/>
        <v>1.7087000000000001</v>
      </c>
      <c r="AC580" s="27">
        <f t="shared" si="125"/>
        <v>0</v>
      </c>
    </row>
    <row r="581" spans="1:29" ht="15" customHeight="1" x14ac:dyDescent="0.3">
      <c r="A581" s="22" t="s">
        <v>494</v>
      </c>
      <c r="B581" s="23" t="s">
        <v>8</v>
      </c>
      <c r="C581" s="23" t="s">
        <v>9</v>
      </c>
      <c r="D581" s="24" t="s">
        <v>30</v>
      </c>
      <c r="E581" s="24" t="s">
        <v>256</v>
      </c>
      <c r="F581" s="18">
        <v>0.83640000000000003</v>
      </c>
      <c r="G581" s="19">
        <v>0.51139999999999997</v>
      </c>
      <c r="H581" s="20"/>
      <c r="I581" s="21">
        <v>18.6389</v>
      </c>
      <c r="J581" s="20">
        <v>9.5508000000000006</v>
      </c>
      <c r="K581" s="20"/>
      <c r="M581" t="str">
        <f t="shared" ref="M581:M644" si="126">IF(B580="ITEM",A580,"")</f>
        <v>PAMPERS BABY FRESH CLEAN W 52 BAG+DIA 60</v>
      </c>
      <c r="N581" s="29" t="str">
        <f t="shared" si="113"/>
        <v xml:space="preserve"> Proctor &amp; Wager</v>
      </c>
      <c r="O581" t="str">
        <f t="shared" si="114"/>
        <v>PAMPERS (PROCTER &amp; GAMBLE)</v>
      </c>
      <c r="P581" t="str">
        <f t="shared" si="116"/>
        <v xml:space="preserve"> Proctor &amp; Wager</v>
      </c>
      <c r="R581" t="str">
        <f t="shared" si="115"/>
        <v>PAMPERS (PROCTER &amp; GAMBLE)</v>
      </c>
      <c r="T581" t="s">
        <v>493</v>
      </c>
      <c r="U581" t="str">
        <f t="shared" si="117"/>
        <v>BAGS</v>
      </c>
      <c r="V581" t="str">
        <f t="shared" si="118"/>
        <v>ALCOHOL FREE</v>
      </c>
      <c r="W581" t="str">
        <f t="shared" si="119"/>
        <v>52</v>
      </c>
      <c r="X581" s="27">
        <f t="shared" si="120"/>
        <v>1.5501</v>
      </c>
      <c r="Y581" s="27">
        <f t="shared" si="121"/>
        <v>0.42659999999999998</v>
      </c>
      <c r="Z581" s="27">
        <f t="shared" si="122"/>
        <v>0.12859999999999999</v>
      </c>
      <c r="AA581" s="27">
        <f t="shared" si="123"/>
        <v>28.959800000000001</v>
      </c>
      <c r="AB581" s="27">
        <f t="shared" si="124"/>
        <v>8.7736999999999998</v>
      </c>
      <c r="AC581" s="27">
        <f t="shared" si="125"/>
        <v>2.5320999999999998</v>
      </c>
    </row>
    <row r="582" spans="1:29" ht="15" customHeight="1" x14ac:dyDescent="0.3">
      <c r="A582" s="22" t="s">
        <v>495</v>
      </c>
      <c r="B582" s="23" t="s">
        <v>8</v>
      </c>
      <c r="C582" s="23" t="s">
        <v>9</v>
      </c>
      <c r="D582" s="24" t="s">
        <v>30</v>
      </c>
      <c r="E582" s="24" t="s">
        <v>256</v>
      </c>
      <c r="F582" s="18">
        <v>0.72089999999999999</v>
      </c>
      <c r="G582" s="19"/>
      <c r="H582" s="20"/>
      <c r="I582" s="21">
        <v>9.8262</v>
      </c>
      <c r="J582" s="20"/>
      <c r="K582" s="20"/>
      <c r="M582" t="str">
        <f t="shared" si="126"/>
        <v>PAMPERS BABY FRESH CLEAN W 52 BAG+DIA 66</v>
      </c>
      <c r="N582" s="29" t="str">
        <f t="shared" si="113"/>
        <v xml:space="preserve"> Proctor &amp; Wager</v>
      </c>
      <c r="O582" t="str">
        <f t="shared" si="114"/>
        <v>PAMPERS (PROCTER &amp; GAMBLE)</v>
      </c>
      <c r="P582" t="str">
        <f t="shared" si="116"/>
        <v xml:space="preserve"> Proctor &amp; Wager</v>
      </c>
      <c r="R582" t="str">
        <f t="shared" si="115"/>
        <v>PAMPERS (PROCTER &amp; GAMBLE)</v>
      </c>
      <c r="T582" t="s">
        <v>494</v>
      </c>
      <c r="U582" t="str">
        <f t="shared" si="117"/>
        <v>BAGS</v>
      </c>
      <c r="V582" t="str">
        <f t="shared" si="118"/>
        <v>ALCOHOL FREE</v>
      </c>
      <c r="W582" t="str">
        <f t="shared" si="119"/>
        <v>52</v>
      </c>
      <c r="X582" s="27">
        <f t="shared" si="120"/>
        <v>0.83640000000000003</v>
      </c>
      <c r="Y582" s="27">
        <f t="shared" si="121"/>
        <v>0.51139999999999997</v>
      </c>
      <c r="Z582" s="27">
        <f t="shared" si="122"/>
        <v>0</v>
      </c>
      <c r="AA582" s="27">
        <f t="shared" si="123"/>
        <v>18.6389</v>
      </c>
      <c r="AB582" s="27">
        <f t="shared" si="124"/>
        <v>9.5508000000000006</v>
      </c>
      <c r="AC582" s="27">
        <f t="shared" si="125"/>
        <v>0</v>
      </c>
    </row>
    <row r="583" spans="1:29" ht="15" customHeight="1" x14ac:dyDescent="0.3">
      <c r="A583" s="22" t="s">
        <v>496</v>
      </c>
      <c r="B583" s="23" t="s">
        <v>8</v>
      </c>
      <c r="C583" s="23" t="s">
        <v>9</v>
      </c>
      <c r="D583" s="24" t="s">
        <v>30</v>
      </c>
      <c r="E583" s="24" t="s">
        <v>256</v>
      </c>
      <c r="F583" s="18">
        <v>0.48470000000000002</v>
      </c>
      <c r="G583" s="19"/>
      <c r="H583" s="20"/>
      <c r="I583" s="21">
        <v>10.088699999999999</v>
      </c>
      <c r="J583" s="20"/>
      <c r="K583" s="20"/>
      <c r="M583" t="str">
        <f t="shared" si="126"/>
        <v>PAMPERS BABY FRESH CLEAN W 52 BAG+DIA 68</v>
      </c>
      <c r="N583" s="29" t="str">
        <f t="shared" ref="N583:N646" si="127">IF(B580="MANUFACTURER",A580,N582)</f>
        <v xml:space="preserve"> Proctor &amp; Wager</v>
      </c>
      <c r="O583" t="str">
        <f t="shared" ref="O583:O646" si="128">IF(B581="BRAND",A581,O582)</f>
        <v>PAMPERS (PROCTER &amp; GAMBLE)</v>
      </c>
      <c r="P583" t="str">
        <f t="shared" si="116"/>
        <v xml:space="preserve"> Proctor &amp; Wager</v>
      </c>
      <c r="R583" t="str">
        <f t="shared" ref="R583:R646" si="129">IF(B582="ITEM",O583,"")</f>
        <v>PAMPERS (PROCTER &amp; GAMBLE)</v>
      </c>
      <c r="T583" t="s">
        <v>495</v>
      </c>
      <c r="U583" t="str">
        <f t="shared" si="117"/>
        <v>BAGS</v>
      </c>
      <c r="V583" t="str">
        <f t="shared" si="118"/>
        <v>ALCOHOL FREE</v>
      </c>
      <c r="W583" t="str">
        <f t="shared" si="119"/>
        <v>52</v>
      </c>
      <c r="X583" s="27">
        <f t="shared" si="120"/>
        <v>0.72089999999999999</v>
      </c>
      <c r="Y583" s="27">
        <f t="shared" si="121"/>
        <v>0</v>
      </c>
      <c r="Z583" s="27">
        <f t="shared" si="122"/>
        <v>0</v>
      </c>
      <c r="AA583" s="27">
        <f t="shared" si="123"/>
        <v>9.8262</v>
      </c>
      <c r="AB583" s="27">
        <f t="shared" si="124"/>
        <v>0</v>
      </c>
      <c r="AC583" s="27">
        <f t="shared" si="125"/>
        <v>0</v>
      </c>
    </row>
    <row r="584" spans="1:29" ht="15" customHeight="1" x14ac:dyDescent="0.3">
      <c r="A584" s="22" t="s">
        <v>497</v>
      </c>
      <c r="B584" s="23" t="s">
        <v>8</v>
      </c>
      <c r="C584" s="23" t="s">
        <v>9</v>
      </c>
      <c r="D584" s="24" t="s">
        <v>30</v>
      </c>
      <c r="E584" s="24" t="s">
        <v>256</v>
      </c>
      <c r="F584" s="18">
        <v>1.3634999999999999</v>
      </c>
      <c r="G584" s="19">
        <v>2.1999999999999999E-2</v>
      </c>
      <c r="H584" s="20"/>
      <c r="I584" s="21">
        <v>21.971299999999999</v>
      </c>
      <c r="J584" s="20">
        <v>0.34660000000000002</v>
      </c>
      <c r="K584" s="20"/>
      <c r="M584" t="str">
        <f t="shared" si="126"/>
        <v>PAMPERS BABY FRESH CLEAN W 52 BAG+DIA 76</v>
      </c>
      <c r="N584" s="29" t="str">
        <f t="shared" si="127"/>
        <v xml:space="preserve"> Proctor &amp; Wager</v>
      </c>
      <c r="O584" t="str">
        <f t="shared" si="128"/>
        <v>PAMPERS (PROCTER &amp; GAMBLE)</v>
      </c>
      <c r="P584" t="str">
        <f t="shared" ref="P584:P647" si="130">IF(B583="ITEM",N584,"")</f>
        <v xml:space="preserve"> Proctor &amp; Wager</v>
      </c>
      <c r="R584" t="str">
        <f t="shared" si="129"/>
        <v>PAMPERS (PROCTER &amp; GAMBLE)</v>
      </c>
      <c r="T584" t="s">
        <v>496</v>
      </c>
      <c r="U584" t="str">
        <f t="shared" ref="U584:U647" si="131">IF(B583="ITEM",C583,"")</f>
        <v>BAGS</v>
      </c>
      <c r="V584" t="str">
        <f t="shared" ref="V584:V647" si="132">IF(B583="ITEM",D583,"")</f>
        <v>ALCOHOL FREE</v>
      </c>
      <c r="W584" t="str">
        <f t="shared" ref="W584:W647" si="133">IF(B583="ITEM",E583,"")</f>
        <v>52</v>
      </c>
      <c r="X584" s="27">
        <f t="shared" ref="X584:X647" si="134">IF(B583 = "ITEM",F583,"")</f>
        <v>0.48470000000000002</v>
      </c>
      <c r="Y584" s="27">
        <f t="shared" ref="Y584:Y647" si="135">IF(B583="ITEM",G583,"")</f>
        <v>0</v>
      </c>
      <c r="Z584" s="27">
        <f t="shared" ref="Z584:Z647" si="136">IF(B583="ITEM",H583,"")</f>
        <v>0</v>
      </c>
      <c r="AA584" s="27">
        <f t="shared" ref="AA584:AA647" si="137">IF(B583="ITEM",I583,"")</f>
        <v>10.088699999999999</v>
      </c>
      <c r="AB584" s="27">
        <f t="shared" ref="AB584:AB647" si="138">IF(B583="ITEM",J583,"")</f>
        <v>0</v>
      </c>
      <c r="AC584" s="27">
        <f t="shared" ref="AC584:AC647" si="139">IF(B583="ITEM",K583,"")</f>
        <v>0</v>
      </c>
    </row>
    <row r="585" spans="1:29" ht="15" customHeight="1" x14ac:dyDescent="0.3">
      <c r="A585" s="22" t="s">
        <v>498</v>
      </c>
      <c r="B585" s="23" t="s">
        <v>8</v>
      </c>
      <c r="C585" s="23" t="s">
        <v>9</v>
      </c>
      <c r="D585" s="24" t="s">
        <v>30</v>
      </c>
      <c r="E585" s="24" t="s">
        <v>256</v>
      </c>
      <c r="F585" s="18">
        <v>0.2001</v>
      </c>
      <c r="G585" s="19"/>
      <c r="H585" s="20"/>
      <c r="I585" s="21">
        <v>3.1530999999999998</v>
      </c>
      <c r="J585" s="20"/>
      <c r="K585" s="20"/>
      <c r="M585" t="str">
        <f t="shared" si="126"/>
        <v>PAMPERS BABY FRESH CLEAN W 52 BAG+DIA 78</v>
      </c>
      <c r="N585" s="29" t="str">
        <f t="shared" si="127"/>
        <v xml:space="preserve"> Proctor &amp; Wager</v>
      </c>
      <c r="O585" t="str">
        <f t="shared" si="128"/>
        <v>PAMPERS (PROCTER &amp; GAMBLE)</v>
      </c>
      <c r="P585" t="str">
        <f t="shared" si="130"/>
        <v xml:space="preserve"> Proctor &amp; Wager</v>
      </c>
      <c r="R585" t="str">
        <f t="shared" si="129"/>
        <v>PAMPERS (PROCTER &amp; GAMBLE)</v>
      </c>
      <c r="T585" t="s">
        <v>497</v>
      </c>
      <c r="U585" t="str">
        <f t="shared" si="131"/>
        <v>BAGS</v>
      </c>
      <c r="V585" t="str">
        <f t="shared" si="132"/>
        <v>ALCOHOL FREE</v>
      </c>
      <c r="W585" t="str">
        <f t="shared" si="133"/>
        <v>52</v>
      </c>
      <c r="X585" s="27">
        <f t="shared" si="134"/>
        <v>1.3634999999999999</v>
      </c>
      <c r="Y585" s="27">
        <f t="shared" si="135"/>
        <v>2.1999999999999999E-2</v>
      </c>
      <c r="Z585" s="27">
        <f t="shared" si="136"/>
        <v>0</v>
      </c>
      <c r="AA585" s="27">
        <f t="shared" si="137"/>
        <v>21.971299999999999</v>
      </c>
      <c r="AB585" s="27">
        <f t="shared" si="138"/>
        <v>0.34660000000000002</v>
      </c>
      <c r="AC585" s="27">
        <f t="shared" si="139"/>
        <v>0</v>
      </c>
    </row>
    <row r="586" spans="1:29" ht="15" customHeight="1" x14ac:dyDescent="0.3">
      <c r="A586" s="22" t="s">
        <v>499</v>
      </c>
      <c r="B586" s="23" t="s">
        <v>8</v>
      </c>
      <c r="C586" s="23" t="s">
        <v>9</v>
      </c>
      <c r="D586" s="24" t="s">
        <v>30</v>
      </c>
      <c r="E586" s="24" t="s">
        <v>256</v>
      </c>
      <c r="F586" s="18">
        <v>0.30409999999999998</v>
      </c>
      <c r="G586" s="19"/>
      <c r="H586" s="20"/>
      <c r="I586" s="21">
        <v>4.4311999999999996</v>
      </c>
      <c r="J586" s="20"/>
      <c r="K586" s="20"/>
      <c r="M586" t="str">
        <f t="shared" si="126"/>
        <v>PAMPERS BABY FRESH CLEAN W 52 BAG+DIA 90</v>
      </c>
      <c r="N586" s="29" t="str">
        <f t="shared" si="127"/>
        <v xml:space="preserve"> Proctor &amp; Wager</v>
      </c>
      <c r="O586" t="str">
        <f t="shared" si="128"/>
        <v>PAMPERS (PROCTER &amp; GAMBLE)</v>
      </c>
      <c r="P586" t="str">
        <f t="shared" si="130"/>
        <v xml:space="preserve"> Proctor &amp; Wager</v>
      </c>
      <c r="R586" t="str">
        <f t="shared" si="129"/>
        <v>PAMPERS (PROCTER &amp; GAMBLE)</v>
      </c>
      <c r="T586" t="s">
        <v>498</v>
      </c>
      <c r="U586" t="str">
        <f t="shared" si="131"/>
        <v>BAGS</v>
      </c>
      <c r="V586" t="str">
        <f t="shared" si="132"/>
        <v>ALCOHOL FREE</v>
      </c>
      <c r="W586" t="str">
        <f t="shared" si="133"/>
        <v>52</v>
      </c>
      <c r="X586" s="27">
        <f t="shared" si="134"/>
        <v>0.2001</v>
      </c>
      <c r="Y586" s="27">
        <f t="shared" si="135"/>
        <v>0</v>
      </c>
      <c r="Z586" s="27">
        <f t="shared" si="136"/>
        <v>0</v>
      </c>
      <c r="AA586" s="27">
        <f t="shared" si="137"/>
        <v>3.1530999999999998</v>
      </c>
      <c r="AB586" s="27">
        <f t="shared" si="138"/>
        <v>0</v>
      </c>
      <c r="AC586" s="27">
        <f t="shared" si="139"/>
        <v>0</v>
      </c>
    </row>
    <row r="587" spans="1:29" ht="15" customHeight="1" x14ac:dyDescent="0.3">
      <c r="A587" s="22" t="s">
        <v>500</v>
      </c>
      <c r="B587" s="23" t="s">
        <v>8</v>
      </c>
      <c r="C587" s="23" t="s">
        <v>9</v>
      </c>
      <c r="D587" s="24" t="s">
        <v>30</v>
      </c>
      <c r="E587" s="24" t="s">
        <v>256</v>
      </c>
      <c r="F587" s="18">
        <v>1.4756</v>
      </c>
      <c r="G587" s="19">
        <v>0.29549999999999998</v>
      </c>
      <c r="H587" s="20">
        <v>0.13869999999999999</v>
      </c>
      <c r="I587" s="21">
        <v>38.575499999999998</v>
      </c>
      <c r="J587" s="20">
        <v>5.6929999999999996</v>
      </c>
      <c r="K587" s="20">
        <v>2.5320999999999998</v>
      </c>
      <c r="M587" t="str">
        <f t="shared" si="126"/>
        <v>PAMPERS BABY FRESH CLEAN W 52 BAG+DIA104</v>
      </c>
      <c r="N587" s="29" t="str">
        <f t="shared" si="127"/>
        <v xml:space="preserve"> Proctor &amp; Wager</v>
      </c>
      <c r="O587" t="str">
        <f t="shared" si="128"/>
        <v>PAMPERS (PROCTER &amp; GAMBLE)</v>
      </c>
      <c r="P587" t="str">
        <f t="shared" si="130"/>
        <v xml:space="preserve"> Proctor &amp; Wager</v>
      </c>
      <c r="R587" t="str">
        <f t="shared" si="129"/>
        <v>PAMPERS (PROCTER &amp; GAMBLE)</v>
      </c>
      <c r="T587" t="s">
        <v>499</v>
      </c>
      <c r="U587" t="str">
        <f t="shared" si="131"/>
        <v>BAGS</v>
      </c>
      <c r="V587" t="str">
        <f t="shared" si="132"/>
        <v>ALCOHOL FREE</v>
      </c>
      <c r="W587" t="str">
        <f t="shared" si="133"/>
        <v>52</v>
      </c>
      <c r="X587" s="27">
        <f t="shared" si="134"/>
        <v>0.30409999999999998</v>
      </c>
      <c r="Y587" s="27">
        <f t="shared" si="135"/>
        <v>0</v>
      </c>
      <c r="Z587" s="27">
        <f t="shared" si="136"/>
        <v>0</v>
      </c>
      <c r="AA587" s="27">
        <f t="shared" si="137"/>
        <v>4.4311999999999996</v>
      </c>
      <c r="AB587" s="27">
        <f t="shared" si="138"/>
        <v>0</v>
      </c>
      <c r="AC587" s="27">
        <f t="shared" si="139"/>
        <v>0</v>
      </c>
    </row>
    <row r="588" spans="1:29" ht="15" customHeight="1" x14ac:dyDescent="0.3">
      <c r="A588" s="22" t="s">
        <v>501</v>
      </c>
      <c r="B588" s="23" t="s">
        <v>8</v>
      </c>
      <c r="C588" s="23" t="s">
        <v>9</v>
      </c>
      <c r="D588" s="24" t="s">
        <v>30</v>
      </c>
      <c r="E588" s="24" t="s">
        <v>256</v>
      </c>
      <c r="F588" s="18">
        <v>0.92279999999999995</v>
      </c>
      <c r="G588" s="19"/>
      <c r="H588" s="20"/>
      <c r="I588" s="21">
        <v>21.822199999999999</v>
      </c>
      <c r="J588" s="20"/>
      <c r="K588" s="20"/>
      <c r="M588" t="str">
        <f t="shared" si="126"/>
        <v>PAMPERS BABY FRESH CLEAN W 52 BAG+DIA50</v>
      </c>
      <c r="N588" s="29" t="str">
        <f t="shared" si="127"/>
        <v xml:space="preserve"> Proctor &amp; Wager</v>
      </c>
      <c r="O588" t="str">
        <f t="shared" si="128"/>
        <v>PAMPERS (PROCTER &amp; GAMBLE)</v>
      </c>
      <c r="P588" t="str">
        <f t="shared" si="130"/>
        <v xml:space="preserve"> Proctor &amp; Wager</v>
      </c>
      <c r="R588" t="str">
        <f t="shared" si="129"/>
        <v>PAMPERS (PROCTER &amp; GAMBLE)</v>
      </c>
      <c r="T588" t="s">
        <v>500</v>
      </c>
      <c r="U588" t="str">
        <f t="shared" si="131"/>
        <v>BAGS</v>
      </c>
      <c r="V588" t="str">
        <f t="shared" si="132"/>
        <v>ALCOHOL FREE</v>
      </c>
      <c r="W588" t="str">
        <f t="shared" si="133"/>
        <v>52</v>
      </c>
      <c r="X588" s="27">
        <f t="shared" si="134"/>
        <v>1.4756</v>
      </c>
      <c r="Y588" s="27">
        <f t="shared" si="135"/>
        <v>0.29549999999999998</v>
      </c>
      <c r="Z588" s="27">
        <f t="shared" si="136"/>
        <v>0.13869999999999999</v>
      </c>
      <c r="AA588" s="27">
        <f t="shared" si="137"/>
        <v>38.575499999999998</v>
      </c>
      <c r="AB588" s="27">
        <f t="shared" si="138"/>
        <v>5.6929999999999996</v>
      </c>
      <c r="AC588" s="27">
        <f t="shared" si="139"/>
        <v>2.5320999999999998</v>
      </c>
    </row>
    <row r="589" spans="1:29" ht="15" customHeight="1" x14ac:dyDescent="0.3">
      <c r="A589" s="22" t="s">
        <v>502</v>
      </c>
      <c r="B589" s="23" t="s">
        <v>8</v>
      </c>
      <c r="C589" s="23" t="s">
        <v>9</v>
      </c>
      <c r="D589" s="24" t="s">
        <v>30</v>
      </c>
      <c r="E589" s="24" t="s">
        <v>256</v>
      </c>
      <c r="F589" s="18">
        <v>105.723</v>
      </c>
      <c r="G589" s="19">
        <v>231.39109999999999</v>
      </c>
      <c r="H589" s="20">
        <v>190.30779999999999</v>
      </c>
      <c r="I589" s="21">
        <v>3632.1455999999998</v>
      </c>
      <c r="J589" s="20">
        <v>7878.6941999999999</v>
      </c>
      <c r="K589" s="20">
        <v>6167.0902999999998</v>
      </c>
      <c r="M589" t="str">
        <f t="shared" si="126"/>
        <v>PAMPERS BABY FRESH CLEAN W 52+DIA PANT38</v>
      </c>
      <c r="N589" s="29" t="str">
        <f t="shared" si="127"/>
        <v xml:space="preserve"> Proctor &amp; Wager</v>
      </c>
      <c r="O589" t="str">
        <f t="shared" si="128"/>
        <v>PAMPERS (PROCTER &amp; GAMBLE)</v>
      </c>
      <c r="P589" t="str">
        <f t="shared" si="130"/>
        <v xml:space="preserve"> Proctor &amp; Wager</v>
      </c>
      <c r="R589" t="str">
        <f t="shared" si="129"/>
        <v>PAMPERS (PROCTER &amp; GAMBLE)</v>
      </c>
      <c r="T589" t="s">
        <v>501</v>
      </c>
      <c r="U589" t="str">
        <f t="shared" si="131"/>
        <v>BAGS</v>
      </c>
      <c r="V589" t="str">
        <f t="shared" si="132"/>
        <v>ALCOHOL FREE</v>
      </c>
      <c r="W589" t="str">
        <f t="shared" si="133"/>
        <v>52</v>
      </c>
      <c r="X589" s="27">
        <f t="shared" si="134"/>
        <v>0.92279999999999995</v>
      </c>
      <c r="Y589" s="27">
        <f t="shared" si="135"/>
        <v>0</v>
      </c>
      <c r="Z589" s="27">
        <f t="shared" si="136"/>
        <v>0</v>
      </c>
      <c r="AA589" s="27">
        <f t="shared" si="137"/>
        <v>21.822199999999999</v>
      </c>
      <c r="AB589" s="27">
        <f t="shared" si="138"/>
        <v>0</v>
      </c>
      <c r="AC589" s="27">
        <f t="shared" si="139"/>
        <v>0</v>
      </c>
    </row>
    <row r="590" spans="1:29" ht="15" customHeight="1" x14ac:dyDescent="0.3">
      <c r="A590" s="22" t="s">
        <v>503</v>
      </c>
      <c r="B590" s="23" t="s">
        <v>8</v>
      </c>
      <c r="C590" s="23" t="s">
        <v>9</v>
      </c>
      <c r="D590" s="24" t="s">
        <v>30</v>
      </c>
      <c r="E590" s="24" t="s">
        <v>256</v>
      </c>
      <c r="F590" s="18">
        <v>0.97140000000000004</v>
      </c>
      <c r="G590" s="19">
        <v>3.1E-2</v>
      </c>
      <c r="H590" s="20"/>
      <c r="I590" s="21">
        <v>22.952100000000002</v>
      </c>
      <c r="J590" s="20">
        <v>0.70540000000000003</v>
      </c>
      <c r="K590" s="20"/>
      <c r="M590" t="str">
        <f t="shared" si="126"/>
        <v>PAMPERS BABY FRESH CLEAN W 6X52 BAG</v>
      </c>
      <c r="N590" s="29" t="str">
        <f t="shared" si="127"/>
        <v xml:space="preserve"> Proctor &amp; Wager</v>
      </c>
      <c r="O590" t="str">
        <f t="shared" si="128"/>
        <v>PAMPERS (PROCTER &amp; GAMBLE)</v>
      </c>
      <c r="P590" t="str">
        <f t="shared" si="130"/>
        <v xml:space="preserve"> Proctor &amp; Wager</v>
      </c>
      <c r="R590" t="str">
        <f t="shared" si="129"/>
        <v>PAMPERS (PROCTER &amp; GAMBLE)</v>
      </c>
      <c r="T590" t="s">
        <v>502</v>
      </c>
      <c r="U590" t="str">
        <f t="shared" si="131"/>
        <v>BAGS</v>
      </c>
      <c r="V590" t="str">
        <f t="shared" si="132"/>
        <v>ALCOHOL FREE</v>
      </c>
      <c r="W590" t="str">
        <f t="shared" si="133"/>
        <v>52</v>
      </c>
      <c r="X590" s="27">
        <f t="shared" si="134"/>
        <v>105.723</v>
      </c>
      <c r="Y590" s="27">
        <f t="shared" si="135"/>
        <v>231.39109999999999</v>
      </c>
      <c r="Z590" s="27">
        <f t="shared" si="136"/>
        <v>190.30779999999999</v>
      </c>
      <c r="AA590" s="27">
        <f t="shared" si="137"/>
        <v>3632.1455999999998</v>
      </c>
      <c r="AB590" s="27">
        <f t="shared" si="138"/>
        <v>7878.6941999999999</v>
      </c>
      <c r="AC590" s="27">
        <f t="shared" si="139"/>
        <v>6167.0902999999998</v>
      </c>
    </row>
    <row r="591" spans="1:29" ht="15" customHeight="1" x14ac:dyDescent="0.3">
      <c r="A591" s="22" t="s">
        <v>504</v>
      </c>
      <c r="B591" s="23" t="s">
        <v>8</v>
      </c>
      <c r="C591" s="23" t="s">
        <v>9</v>
      </c>
      <c r="D591" s="24" t="s">
        <v>30</v>
      </c>
      <c r="E591" s="24" t="s">
        <v>256</v>
      </c>
      <c r="F591" s="18">
        <v>0.23680000000000001</v>
      </c>
      <c r="G591" s="19"/>
      <c r="H591" s="20"/>
      <c r="I591" s="21">
        <v>4.3052000000000001</v>
      </c>
      <c r="J591" s="20"/>
      <c r="K591" s="20"/>
      <c r="M591" t="str">
        <f t="shared" si="126"/>
        <v>PAMPERS BABY FRESH CLEAN W52+DIA ACT6 44</v>
      </c>
      <c r="N591" s="29" t="str">
        <f t="shared" si="127"/>
        <v xml:space="preserve"> Proctor &amp; Wager</v>
      </c>
      <c r="O591" t="str">
        <f t="shared" si="128"/>
        <v>PAMPERS (PROCTER &amp; GAMBLE)</v>
      </c>
      <c r="P591" t="str">
        <f t="shared" si="130"/>
        <v xml:space="preserve"> Proctor &amp; Wager</v>
      </c>
      <c r="R591" t="str">
        <f t="shared" si="129"/>
        <v>PAMPERS (PROCTER &amp; GAMBLE)</v>
      </c>
      <c r="T591" t="s">
        <v>503</v>
      </c>
      <c r="U591" t="str">
        <f t="shared" si="131"/>
        <v>BAGS</v>
      </c>
      <c r="V591" t="str">
        <f t="shared" si="132"/>
        <v>ALCOHOL FREE</v>
      </c>
      <c r="W591" t="str">
        <f t="shared" si="133"/>
        <v>52</v>
      </c>
      <c r="X591" s="27">
        <f t="shared" si="134"/>
        <v>0.97140000000000004</v>
      </c>
      <c r="Y591" s="27">
        <f t="shared" si="135"/>
        <v>3.1E-2</v>
      </c>
      <c r="Z591" s="27">
        <f t="shared" si="136"/>
        <v>0</v>
      </c>
      <c r="AA591" s="27">
        <f t="shared" si="137"/>
        <v>22.952100000000002</v>
      </c>
      <c r="AB591" s="27">
        <f t="shared" si="138"/>
        <v>0.70540000000000003</v>
      </c>
      <c r="AC591" s="27">
        <f t="shared" si="139"/>
        <v>0</v>
      </c>
    </row>
    <row r="592" spans="1:29" ht="15" customHeight="1" x14ac:dyDescent="0.3">
      <c r="A592" s="22" t="s">
        <v>505</v>
      </c>
      <c r="B592" s="23" t="s">
        <v>8</v>
      </c>
      <c r="C592" s="23" t="s">
        <v>9</v>
      </c>
      <c r="D592" s="24" t="s">
        <v>64</v>
      </c>
      <c r="E592" s="24" t="s">
        <v>256</v>
      </c>
      <c r="F592" s="18">
        <v>40.155500000000004</v>
      </c>
      <c r="G592" s="19">
        <v>53.039099999999998</v>
      </c>
      <c r="H592" s="20">
        <v>19.640599999999999</v>
      </c>
      <c r="I592" s="21">
        <v>809.24120000000005</v>
      </c>
      <c r="J592" s="20">
        <v>1117.5988</v>
      </c>
      <c r="K592" s="20">
        <v>353.57029999999997</v>
      </c>
      <c r="M592" t="str">
        <f t="shared" si="126"/>
        <v>PAMPERS BABY FRESH CLEAN W52+DIA PANTS60</v>
      </c>
      <c r="N592" s="29" t="str">
        <f t="shared" si="127"/>
        <v xml:space="preserve"> Proctor &amp; Wager</v>
      </c>
      <c r="O592" t="str">
        <f t="shared" si="128"/>
        <v>PAMPERS (PROCTER &amp; GAMBLE)</v>
      </c>
      <c r="P592" t="str">
        <f t="shared" si="130"/>
        <v xml:space="preserve"> Proctor &amp; Wager</v>
      </c>
      <c r="R592" t="str">
        <f t="shared" si="129"/>
        <v>PAMPERS (PROCTER &amp; GAMBLE)</v>
      </c>
      <c r="T592" t="s">
        <v>504</v>
      </c>
      <c r="U592" t="str">
        <f t="shared" si="131"/>
        <v>BAGS</v>
      </c>
      <c r="V592" t="str">
        <f t="shared" si="132"/>
        <v>ALCOHOL FREE</v>
      </c>
      <c r="W592" t="str">
        <f t="shared" si="133"/>
        <v>52</v>
      </c>
      <c r="X592" s="27">
        <f t="shared" si="134"/>
        <v>0.23680000000000001</v>
      </c>
      <c r="Y592" s="27">
        <f t="shared" si="135"/>
        <v>0</v>
      </c>
      <c r="Z592" s="27">
        <f t="shared" si="136"/>
        <v>0</v>
      </c>
      <c r="AA592" s="27">
        <f t="shared" si="137"/>
        <v>4.3052000000000001</v>
      </c>
      <c r="AB592" s="27">
        <f t="shared" si="138"/>
        <v>0</v>
      </c>
      <c r="AC592" s="27">
        <f t="shared" si="139"/>
        <v>0</v>
      </c>
    </row>
    <row r="593" spans="1:29" ht="15" customHeight="1" x14ac:dyDescent="0.3">
      <c r="A593" s="22" t="s">
        <v>506</v>
      </c>
      <c r="B593" s="23" t="s">
        <v>8</v>
      </c>
      <c r="C593" s="23" t="s">
        <v>9</v>
      </c>
      <c r="D593" s="24" t="s">
        <v>64</v>
      </c>
      <c r="E593" s="24" t="s">
        <v>256</v>
      </c>
      <c r="F593" s="18">
        <v>124.0141</v>
      </c>
      <c r="G593" s="19">
        <v>119.1621</v>
      </c>
      <c r="H593" s="20">
        <v>72.991100000000003</v>
      </c>
      <c r="I593" s="21">
        <v>4179.8078999999998</v>
      </c>
      <c r="J593" s="20">
        <v>4057.9854</v>
      </c>
      <c r="K593" s="20">
        <v>2439.5360000000001</v>
      </c>
      <c r="M593" t="str">
        <f t="shared" si="126"/>
        <v>PAMPERS SENSITIVE PH5.5 2X52 BAG</v>
      </c>
      <c r="N593" s="29" t="str">
        <f t="shared" si="127"/>
        <v xml:space="preserve"> Proctor &amp; Wager</v>
      </c>
      <c r="O593" t="str">
        <f t="shared" si="128"/>
        <v>PAMPERS (PROCTER &amp; GAMBLE)</v>
      </c>
      <c r="P593" t="str">
        <f t="shared" si="130"/>
        <v xml:space="preserve"> Proctor &amp; Wager</v>
      </c>
      <c r="R593" t="str">
        <f t="shared" si="129"/>
        <v>PAMPERS (PROCTER &amp; GAMBLE)</v>
      </c>
      <c r="T593" t="s">
        <v>505</v>
      </c>
      <c r="U593" t="str">
        <f t="shared" si="131"/>
        <v>BAGS</v>
      </c>
      <c r="V593" t="str">
        <f t="shared" si="132"/>
        <v>SENSITIVE</v>
      </c>
      <c r="W593" t="str">
        <f t="shared" si="133"/>
        <v>52</v>
      </c>
      <c r="X593" s="27">
        <f t="shared" si="134"/>
        <v>40.155500000000004</v>
      </c>
      <c r="Y593" s="27">
        <f t="shared" si="135"/>
        <v>53.039099999999998</v>
      </c>
      <c r="Z593" s="27">
        <f t="shared" si="136"/>
        <v>19.640599999999999</v>
      </c>
      <c r="AA593" s="27">
        <f t="shared" si="137"/>
        <v>809.24120000000005</v>
      </c>
      <c r="AB593" s="27">
        <f t="shared" si="138"/>
        <v>1117.5988</v>
      </c>
      <c r="AC593" s="27">
        <f t="shared" si="139"/>
        <v>353.57029999999997</v>
      </c>
    </row>
    <row r="594" spans="1:29" ht="15" customHeight="1" x14ac:dyDescent="0.3">
      <c r="A594" s="22" t="s">
        <v>507</v>
      </c>
      <c r="B594" s="23" t="s">
        <v>8</v>
      </c>
      <c r="C594" s="23" t="s">
        <v>9</v>
      </c>
      <c r="D594" s="24" t="s">
        <v>64</v>
      </c>
      <c r="E594" s="24" t="s">
        <v>256</v>
      </c>
      <c r="F594" s="18">
        <v>126.2456</v>
      </c>
      <c r="G594" s="19">
        <v>161.7927</v>
      </c>
      <c r="H594" s="20">
        <v>82.616799999999998</v>
      </c>
      <c r="I594" s="21">
        <v>2585.6873000000001</v>
      </c>
      <c r="J594" s="20">
        <v>3416.431</v>
      </c>
      <c r="K594" s="20">
        <v>1611.8206</v>
      </c>
      <c r="M594" t="str">
        <f t="shared" si="126"/>
        <v>PAMPERS SENSITIVE PH5.5 4X52 BAG</v>
      </c>
      <c r="N594" s="29" t="str">
        <f t="shared" si="127"/>
        <v xml:space="preserve"> Proctor &amp; Wager</v>
      </c>
      <c r="O594" t="str">
        <f t="shared" si="128"/>
        <v>PAMPERS (PROCTER &amp; GAMBLE)</v>
      </c>
      <c r="P594" t="str">
        <f t="shared" si="130"/>
        <v xml:space="preserve"> Proctor &amp; Wager</v>
      </c>
      <c r="R594" t="str">
        <f t="shared" si="129"/>
        <v>PAMPERS (PROCTER &amp; GAMBLE)</v>
      </c>
      <c r="T594" t="s">
        <v>506</v>
      </c>
      <c r="U594" t="str">
        <f t="shared" si="131"/>
        <v>BAGS</v>
      </c>
      <c r="V594" t="str">
        <f t="shared" si="132"/>
        <v>SENSITIVE</v>
      </c>
      <c r="W594" t="str">
        <f t="shared" si="133"/>
        <v>52</v>
      </c>
      <c r="X594" s="27">
        <f t="shared" si="134"/>
        <v>124.0141</v>
      </c>
      <c r="Y594" s="27">
        <f t="shared" si="135"/>
        <v>119.1621</v>
      </c>
      <c r="Z594" s="27">
        <f t="shared" si="136"/>
        <v>72.991100000000003</v>
      </c>
      <c r="AA594" s="27">
        <f t="shared" si="137"/>
        <v>4179.8078999999998</v>
      </c>
      <c r="AB594" s="27">
        <f t="shared" si="138"/>
        <v>4057.9854</v>
      </c>
      <c r="AC594" s="27">
        <f t="shared" si="139"/>
        <v>2439.5360000000001</v>
      </c>
    </row>
    <row r="595" spans="1:29" ht="15" customHeight="1" x14ac:dyDescent="0.3">
      <c r="A595" s="22" t="s">
        <v>508</v>
      </c>
      <c r="B595" s="23" t="s">
        <v>8</v>
      </c>
      <c r="C595" s="23" t="s">
        <v>9</v>
      </c>
      <c r="D595" s="24" t="s">
        <v>64</v>
      </c>
      <c r="E595" s="24" t="s">
        <v>256</v>
      </c>
      <c r="F595" s="18">
        <v>95.148099999999999</v>
      </c>
      <c r="G595" s="19">
        <v>213.16730000000001</v>
      </c>
      <c r="H595" s="20">
        <v>155.60400000000001</v>
      </c>
      <c r="I595" s="21">
        <v>3171.4767999999999</v>
      </c>
      <c r="J595" s="20">
        <v>7264.2154</v>
      </c>
      <c r="K595" s="20">
        <v>5013.7686000000003</v>
      </c>
      <c r="M595" t="str">
        <f t="shared" si="126"/>
        <v>PAMPERS SENSITIVE PH5.5 52 BAG</v>
      </c>
      <c r="N595" s="29" t="str">
        <f t="shared" si="127"/>
        <v xml:space="preserve"> Proctor &amp; Wager</v>
      </c>
      <c r="O595" t="str">
        <f t="shared" si="128"/>
        <v>PAMPERS (PROCTER &amp; GAMBLE)</v>
      </c>
      <c r="P595" t="str">
        <f t="shared" si="130"/>
        <v xml:space="preserve"> Proctor &amp; Wager</v>
      </c>
      <c r="R595" t="str">
        <f t="shared" si="129"/>
        <v>PAMPERS (PROCTER &amp; GAMBLE)</v>
      </c>
      <c r="T595" t="s">
        <v>507</v>
      </c>
      <c r="U595" t="str">
        <f t="shared" si="131"/>
        <v>BAGS</v>
      </c>
      <c r="V595" t="str">
        <f t="shared" si="132"/>
        <v>SENSITIVE</v>
      </c>
      <c r="W595" t="str">
        <f t="shared" si="133"/>
        <v>52</v>
      </c>
      <c r="X595" s="27">
        <f t="shared" si="134"/>
        <v>126.2456</v>
      </c>
      <c r="Y595" s="27">
        <f t="shared" si="135"/>
        <v>161.7927</v>
      </c>
      <c r="Z595" s="27">
        <f t="shared" si="136"/>
        <v>82.616799999999998</v>
      </c>
      <c r="AA595" s="27">
        <f t="shared" si="137"/>
        <v>2585.6873000000001</v>
      </c>
      <c r="AB595" s="27">
        <f t="shared" si="138"/>
        <v>3416.431</v>
      </c>
      <c r="AC595" s="27">
        <f t="shared" si="139"/>
        <v>1611.8206</v>
      </c>
    </row>
    <row r="596" spans="1:29" ht="15" customHeight="1" x14ac:dyDescent="0.3">
      <c r="A596" s="22" t="s">
        <v>509</v>
      </c>
      <c r="B596" s="23" t="s">
        <v>8</v>
      </c>
      <c r="C596" s="23" t="s">
        <v>9</v>
      </c>
      <c r="D596" s="24" t="s">
        <v>64</v>
      </c>
      <c r="E596" s="24" t="s">
        <v>363</v>
      </c>
      <c r="F596" s="18">
        <v>19.249199999999998</v>
      </c>
      <c r="G596" s="19">
        <v>1.4004000000000001</v>
      </c>
      <c r="H596" s="20"/>
      <c r="I596" s="21">
        <v>316.69850000000002</v>
      </c>
      <c r="J596" s="20">
        <v>25.215900000000001</v>
      </c>
      <c r="K596" s="20"/>
      <c r="M596" t="str">
        <f t="shared" si="126"/>
        <v>PAMPERS SENSITIVE PH5.5 6X52 BAG</v>
      </c>
      <c r="N596" s="29" t="str">
        <f t="shared" si="127"/>
        <v xml:space="preserve"> Proctor &amp; Wager</v>
      </c>
      <c r="O596" t="str">
        <f t="shared" si="128"/>
        <v>PAMPERS (PROCTER &amp; GAMBLE)</v>
      </c>
      <c r="P596" t="str">
        <f t="shared" si="130"/>
        <v xml:space="preserve"> Proctor &amp; Wager</v>
      </c>
      <c r="R596" t="str">
        <f t="shared" si="129"/>
        <v>PAMPERS (PROCTER &amp; GAMBLE)</v>
      </c>
      <c r="T596" t="s">
        <v>508</v>
      </c>
      <c r="U596" t="str">
        <f t="shared" si="131"/>
        <v>BAGS</v>
      </c>
      <c r="V596" t="str">
        <f t="shared" si="132"/>
        <v>SENSITIVE</v>
      </c>
      <c r="W596" t="str">
        <f t="shared" si="133"/>
        <v>52</v>
      </c>
      <c r="X596" s="27">
        <f t="shared" si="134"/>
        <v>95.148099999999999</v>
      </c>
      <c r="Y596" s="27">
        <f t="shared" si="135"/>
        <v>213.16730000000001</v>
      </c>
      <c r="Z596" s="27">
        <f t="shared" si="136"/>
        <v>155.60400000000001</v>
      </c>
      <c r="AA596" s="27">
        <f t="shared" si="137"/>
        <v>3171.4767999999999</v>
      </c>
      <c r="AB596" s="27">
        <f t="shared" si="138"/>
        <v>7264.2154</v>
      </c>
      <c r="AC596" s="27">
        <f t="shared" si="139"/>
        <v>5013.7686000000003</v>
      </c>
    </row>
    <row r="597" spans="1:29" ht="15" customHeight="1" x14ac:dyDescent="0.3">
      <c r="A597" s="22" t="s">
        <v>510</v>
      </c>
      <c r="B597" s="23" t="s">
        <v>8</v>
      </c>
      <c r="C597" s="23" t="s">
        <v>9</v>
      </c>
      <c r="D597" s="24" t="s">
        <v>64</v>
      </c>
      <c r="E597" s="24" t="s">
        <v>34</v>
      </c>
      <c r="F597" s="18">
        <v>0.76639999999999997</v>
      </c>
      <c r="G597" s="19">
        <v>3.6499999999999998E-2</v>
      </c>
      <c r="H597" s="20"/>
      <c r="I597" s="21">
        <v>14.48</v>
      </c>
      <c r="J597" s="20">
        <v>0.67200000000000004</v>
      </c>
      <c r="K597" s="20"/>
      <c r="M597" t="str">
        <f t="shared" si="126"/>
        <v>PAMPERS SENSITIVE 54 BAG KAPAK</v>
      </c>
      <c r="N597" s="29" t="str">
        <f t="shared" si="127"/>
        <v xml:space="preserve"> Proctor &amp; Wager</v>
      </c>
      <c r="O597" t="str">
        <f t="shared" si="128"/>
        <v>PAMPERS (PROCTER &amp; GAMBLE)</v>
      </c>
      <c r="P597" t="str">
        <f t="shared" si="130"/>
        <v xml:space="preserve"> Proctor &amp; Wager</v>
      </c>
      <c r="R597" t="str">
        <f t="shared" si="129"/>
        <v>PAMPERS (PROCTER &amp; GAMBLE)</v>
      </c>
      <c r="T597" t="s">
        <v>509</v>
      </c>
      <c r="U597" t="str">
        <f t="shared" si="131"/>
        <v>BAGS</v>
      </c>
      <c r="V597" t="str">
        <f t="shared" si="132"/>
        <v>SENSITIVE</v>
      </c>
      <c r="W597" t="str">
        <f t="shared" si="133"/>
        <v>54</v>
      </c>
      <c r="X597" s="27">
        <f t="shared" si="134"/>
        <v>19.249199999999998</v>
      </c>
      <c r="Y597" s="27">
        <f t="shared" si="135"/>
        <v>1.4004000000000001</v>
      </c>
      <c r="Z597" s="27">
        <f t="shared" si="136"/>
        <v>0</v>
      </c>
      <c r="AA597" s="27">
        <f t="shared" si="137"/>
        <v>316.69850000000002</v>
      </c>
      <c r="AB597" s="27">
        <f t="shared" si="138"/>
        <v>25.215900000000001</v>
      </c>
      <c r="AC597" s="27">
        <f t="shared" si="139"/>
        <v>0</v>
      </c>
    </row>
    <row r="598" spans="1:29" ht="15" customHeight="1" x14ac:dyDescent="0.3">
      <c r="A598" s="22" t="s">
        <v>511</v>
      </c>
      <c r="B598" s="23" t="s">
        <v>8</v>
      </c>
      <c r="C598" s="23" t="s">
        <v>9</v>
      </c>
      <c r="D598" s="24" t="s">
        <v>64</v>
      </c>
      <c r="E598" s="24" t="s">
        <v>34</v>
      </c>
      <c r="F598" s="18">
        <v>0.17649999999999999</v>
      </c>
      <c r="G598" s="19"/>
      <c r="H598" s="20"/>
      <c r="I598" s="21">
        <v>2.9144999999999999</v>
      </c>
      <c r="J598" s="20"/>
      <c r="K598" s="20"/>
      <c r="M598" t="str">
        <f t="shared" si="126"/>
        <v>PAMPERS SENSITIVE 2X56 BAG</v>
      </c>
      <c r="N598" s="29" t="str">
        <f t="shared" si="127"/>
        <v xml:space="preserve"> Proctor &amp; Wager</v>
      </c>
      <c r="O598" t="str">
        <f t="shared" si="128"/>
        <v>PAMPERS (PROCTER &amp; GAMBLE)</v>
      </c>
      <c r="P598" t="str">
        <f t="shared" si="130"/>
        <v xml:space="preserve"> Proctor &amp; Wager</v>
      </c>
      <c r="R598" t="str">
        <f t="shared" si="129"/>
        <v>PAMPERS (PROCTER &amp; GAMBLE)</v>
      </c>
      <c r="T598" t="s">
        <v>510</v>
      </c>
      <c r="U598" t="str">
        <f t="shared" si="131"/>
        <v>BAGS</v>
      </c>
      <c r="V598" t="str">
        <f t="shared" si="132"/>
        <v>SENSITIVE</v>
      </c>
      <c r="W598" t="str">
        <f t="shared" si="133"/>
        <v>56</v>
      </c>
      <c r="X598" s="27">
        <f t="shared" si="134"/>
        <v>0.76639999999999997</v>
      </c>
      <c r="Y598" s="27">
        <f t="shared" si="135"/>
        <v>3.6499999999999998E-2</v>
      </c>
      <c r="Z598" s="27">
        <f t="shared" si="136"/>
        <v>0</v>
      </c>
      <c r="AA598" s="27">
        <f t="shared" si="137"/>
        <v>14.48</v>
      </c>
      <c r="AB598" s="27">
        <f t="shared" si="138"/>
        <v>0.67200000000000004</v>
      </c>
      <c r="AC598" s="27">
        <f t="shared" si="139"/>
        <v>0</v>
      </c>
    </row>
    <row r="599" spans="1:29" ht="15" customHeight="1" x14ac:dyDescent="0.3">
      <c r="A599" s="22" t="s">
        <v>512</v>
      </c>
      <c r="B599" s="23" t="s">
        <v>8</v>
      </c>
      <c r="C599" s="23" t="s">
        <v>9</v>
      </c>
      <c r="D599" s="24" t="s">
        <v>64</v>
      </c>
      <c r="E599" s="24" t="s">
        <v>34</v>
      </c>
      <c r="F599" s="18">
        <v>3.9998</v>
      </c>
      <c r="G599" s="19">
        <v>2.0327000000000002</v>
      </c>
      <c r="H599" s="20">
        <v>0.44619999999999999</v>
      </c>
      <c r="I599" s="21">
        <v>76.599100000000007</v>
      </c>
      <c r="J599" s="20">
        <v>45.206499999999998</v>
      </c>
      <c r="K599" s="20">
        <v>9.7993000000000006</v>
      </c>
      <c r="M599" t="str">
        <f t="shared" si="126"/>
        <v>PAMPERS SENSITIVE 4X56 BAG</v>
      </c>
      <c r="N599" s="29" t="str">
        <f t="shared" si="127"/>
        <v xml:space="preserve"> Proctor &amp; Wager</v>
      </c>
      <c r="O599" t="str">
        <f t="shared" si="128"/>
        <v>PAMPERS (PROCTER &amp; GAMBLE)</v>
      </c>
      <c r="P599" t="str">
        <f t="shared" si="130"/>
        <v xml:space="preserve"> Proctor &amp; Wager</v>
      </c>
      <c r="R599" t="str">
        <f t="shared" si="129"/>
        <v>PAMPERS (PROCTER &amp; GAMBLE)</v>
      </c>
      <c r="T599" t="s">
        <v>511</v>
      </c>
      <c r="U599" t="str">
        <f t="shared" si="131"/>
        <v>BAGS</v>
      </c>
      <c r="V599" t="str">
        <f t="shared" si="132"/>
        <v>SENSITIVE</v>
      </c>
      <c r="W599" t="str">
        <f t="shared" si="133"/>
        <v>56</v>
      </c>
      <c r="X599" s="27">
        <f t="shared" si="134"/>
        <v>0.17649999999999999</v>
      </c>
      <c r="Y599" s="27">
        <f t="shared" si="135"/>
        <v>0</v>
      </c>
      <c r="Z599" s="27">
        <f t="shared" si="136"/>
        <v>0</v>
      </c>
      <c r="AA599" s="27">
        <f t="shared" si="137"/>
        <v>2.9144999999999999</v>
      </c>
      <c r="AB599" s="27">
        <f t="shared" si="138"/>
        <v>0</v>
      </c>
      <c r="AC599" s="27">
        <f t="shared" si="139"/>
        <v>0</v>
      </c>
    </row>
    <row r="600" spans="1:29" ht="15" customHeight="1" x14ac:dyDescent="0.3">
      <c r="A600" s="22" t="s">
        <v>513</v>
      </c>
      <c r="B600" s="23" t="s">
        <v>8</v>
      </c>
      <c r="C600" s="23" t="s">
        <v>9</v>
      </c>
      <c r="D600" s="24" t="s">
        <v>64</v>
      </c>
      <c r="E600" s="24" t="s">
        <v>34</v>
      </c>
      <c r="F600" s="18">
        <v>3.4256000000000002</v>
      </c>
      <c r="G600" s="19">
        <v>0.1051</v>
      </c>
      <c r="H600" s="20"/>
      <c r="I600" s="21">
        <v>52.9163</v>
      </c>
      <c r="J600" s="20">
        <v>1.5987</v>
      </c>
      <c r="K600" s="20"/>
      <c r="M600" t="str">
        <f t="shared" si="126"/>
        <v>PAMPERS SENSITIVE 56 BAG</v>
      </c>
      <c r="N600" s="29" t="str">
        <f t="shared" si="127"/>
        <v xml:space="preserve"> Proctor &amp; Wager</v>
      </c>
      <c r="O600" t="str">
        <f t="shared" si="128"/>
        <v>PAMPERS (PROCTER &amp; GAMBLE)</v>
      </c>
      <c r="P600" t="str">
        <f t="shared" si="130"/>
        <v xml:space="preserve"> Proctor &amp; Wager</v>
      </c>
      <c r="R600" t="str">
        <f t="shared" si="129"/>
        <v>PAMPERS (PROCTER &amp; GAMBLE)</v>
      </c>
      <c r="T600" t="s">
        <v>512</v>
      </c>
      <c r="U600" t="str">
        <f t="shared" si="131"/>
        <v>BAGS</v>
      </c>
      <c r="V600" t="str">
        <f t="shared" si="132"/>
        <v>SENSITIVE</v>
      </c>
      <c r="W600" t="str">
        <f t="shared" si="133"/>
        <v>56</v>
      </c>
      <c r="X600" s="27">
        <f t="shared" si="134"/>
        <v>3.9998</v>
      </c>
      <c r="Y600" s="27">
        <f t="shared" si="135"/>
        <v>2.0327000000000002</v>
      </c>
      <c r="Z600" s="27">
        <f t="shared" si="136"/>
        <v>0.44619999999999999</v>
      </c>
      <c r="AA600" s="27">
        <f t="shared" si="137"/>
        <v>76.599100000000007</v>
      </c>
      <c r="AB600" s="27">
        <f t="shared" si="138"/>
        <v>45.206499999999998</v>
      </c>
      <c r="AC600" s="27">
        <f t="shared" si="139"/>
        <v>9.7993000000000006</v>
      </c>
    </row>
    <row r="601" spans="1:29" ht="15" customHeight="1" x14ac:dyDescent="0.3">
      <c r="A601" s="22" t="s">
        <v>514</v>
      </c>
      <c r="B601" s="23" t="s">
        <v>8</v>
      </c>
      <c r="C601" s="23" t="s">
        <v>9</v>
      </c>
      <c r="D601" s="24" t="s">
        <v>64</v>
      </c>
      <c r="E601" s="24" t="s">
        <v>34</v>
      </c>
      <c r="F601" s="18">
        <v>2.7799999999999998E-2</v>
      </c>
      <c r="G601" s="19"/>
      <c r="H601" s="20"/>
      <c r="I601" s="21">
        <v>0.59</v>
      </c>
      <c r="J601" s="20"/>
      <c r="K601" s="20"/>
      <c r="M601" t="str">
        <f t="shared" si="126"/>
        <v>PAMPERS SENSITIVE 56 BAG KAPAK</v>
      </c>
      <c r="N601" s="29" t="str">
        <f t="shared" si="127"/>
        <v xml:space="preserve"> Proctor &amp; Wager</v>
      </c>
      <c r="O601" t="str">
        <f t="shared" si="128"/>
        <v>PAMPERS (PROCTER &amp; GAMBLE)</v>
      </c>
      <c r="P601" t="str">
        <f t="shared" si="130"/>
        <v xml:space="preserve"> Proctor &amp; Wager</v>
      </c>
      <c r="R601" t="str">
        <f t="shared" si="129"/>
        <v>PAMPERS (PROCTER &amp; GAMBLE)</v>
      </c>
      <c r="T601" t="s">
        <v>513</v>
      </c>
      <c r="U601" t="str">
        <f t="shared" si="131"/>
        <v>BAGS</v>
      </c>
      <c r="V601" t="str">
        <f t="shared" si="132"/>
        <v>SENSITIVE</v>
      </c>
      <c r="W601" t="str">
        <f t="shared" si="133"/>
        <v>56</v>
      </c>
      <c r="X601" s="27">
        <f t="shared" si="134"/>
        <v>3.4256000000000002</v>
      </c>
      <c r="Y601" s="27">
        <f t="shared" si="135"/>
        <v>0.1051</v>
      </c>
      <c r="Z601" s="27">
        <f t="shared" si="136"/>
        <v>0</v>
      </c>
      <c r="AA601" s="27">
        <f t="shared" si="137"/>
        <v>52.9163</v>
      </c>
      <c r="AB601" s="27">
        <f t="shared" si="138"/>
        <v>1.5987</v>
      </c>
      <c r="AC601" s="27">
        <f t="shared" si="139"/>
        <v>0</v>
      </c>
    </row>
    <row r="602" spans="1:29" ht="15" customHeight="1" x14ac:dyDescent="0.3">
      <c r="A602" s="22" t="s">
        <v>515</v>
      </c>
      <c r="B602" s="23" t="s">
        <v>8</v>
      </c>
      <c r="C602" s="23" t="s">
        <v>9</v>
      </c>
      <c r="D602" s="24" t="s">
        <v>64</v>
      </c>
      <c r="E602" s="24" t="s">
        <v>34</v>
      </c>
      <c r="F602" s="18">
        <v>2.0205000000000002</v>
      </c>
      <c r="G602" s="19">
        <v>6.1100000000000002E-2</v>
      </c>
      <c r="H602" s="20">
        <v>4.3E-3</v>
      </c>
      <c r="I602" s="21">
        <v>30.746600000000001</v>
      </c>
      <c r="J602" s="20">
        <v>0.89600000000000002</v>
      </c>
      <c r="K602" s="20">
        <v>5.6000000000000001E-2</v>
      </c>
      <c r="M602" t="str">
        <f t="shared" si="126"/>
        <v>PAMPERS SENSITIVE 56 BAG+DIA PANTS3 60</v>
      </c>
      <c r="N602" s="29" t="str">
        <f t="shared" si="127"/>
        <v xml:space="preserve"> Proctor &amp; Wager</v>
      </c>
      <c r="O602" t="str">
        <f t="shared" si="128"/>
        <v>PAMPERS (PROCTER &amp; GAMBLE)</v>
      </c>
      <c r="P602" t="str">
        <f t="shared" si="130"/>
        <v xml:space="preserve"> Proctor &amp; Wager</v>
      </c>
      <c r="R602" t="str">
        <f t="shared" si="129"/>
        <v>PAMPERS (PROCTER &amp; GAMBLE)</v>
      </c>
      <c r="T602" t="s">
        <v>514</v>
      </c>
      <c r="U602" t="str">
        <f t="shared" si="131"/>
        <v>BAGS</v>
      </c>
      <c r="V602" t="str">
        <f t="shared" si="132"/>
        <v>SENSITIVE</v>
      </c>
      <c r="W602" t="str">
        <f t="shared" si="133"/>
        <v>56</v>
      </c>
      <c r="X602" s="27">
        <f t="shared" si="134"/>
        <v>2.7799999999999998E-2</v>
      </c>
      <c r="Y602" s="27">
        <f t="shared" si="135"/>
        <v>0</v>
      </c>
      <c r="Z602" s="27">
        <f t="shared" si="136"/>
        <v>0</v>
      </c>
      <c r="AA602" s="27">
        <f t="shared" si="137"/>
        <v>0.59</v>
      </c>
      <c r="AB602" s="27">
        <f t="shared" si="138"/>
        <v>0</v>
      </c>
      <c r="AC602" s="27">
        <f t="shared" si="139"/>
        <v>0</v>
      </c>
    </row>
    <row r="603" spans="1:29" ht="15" customHeight="1" x14ac:dyDescent="0.3">
      <c r="A603" s="22" t="s">
        <v>516</v>
      </c>
      <c r="B603" s="23" t="s">
        <v>8</v>
      </c>
      <c r="C603" s="23" t="s">
        <v>9</v>
      </c>
      <c r="D603" s="24" t="s">
        <v>64</v>
      </c>
      <c r="E603" s="24" t="s">
        <v>34</v>
      </c>
      <c r="F603" s="18"/>
      <c r="G603" s="19"/>
      <c r="H603" s="20"/>
      <c r="I603" s="21"/>
      <c r="J603" s="20"/>
      <c r="K603" s="20"/>
      <c r="M603" t="str">
        <f t="shared" si="126"/>
        <v>PAMPERS SENSITIVE 56 BAG+DIA PANTS4 52</v>
      </c>
      <c r="N603" s="29" t="str">
        <f t="shared" si="127"/>
        <v xml:space="preserve"> Proctor &amp; Wager</v>
      </c>
      <c r="O603" t="str">
        <f t="shared" si="128"/>
        <v>PAMPERS (PROCTER &amp; GAMBLE)</v>
      </c>
      <c r="P603" t="str">
        <f t="shared" si="130"/>
        <v xml:space="preserve"> Proctor &amp; Wager</v>
      </c>
      <c r="R603" t="str">
        <f t="shared" si="129"/>
        <v>PAMPERS (PROCTER &amp; GAMBLE)</v>
      </c>
      <c r="T603" t="s">
        <v>515</v>
      </c>
      <c r="U603" t="str">
        <f t="shared" si="131"/>
        <v>BAGS</v>
      </c>
      <c r="V603" t="str">
        <f t="shared" si="132"/>
        <v>SENSITIVE</v>
      </c>
      <c r="W603" t="str">
        <f t="shared" si="133"/>
        <v>56</v>
      </c>
      <c r="X603" s="27">
        <f t="shared" si="134"/>
        <v>2.0205000000000002</v>
      </c>
      <c r="Y603" s="27">
        <f t="shared" si="135"/>
        <v>6.1100000000000002E-2</v>
      </c>
      <c r="Z603" s="27">
        <f t="shared" si="136"/>
        <v>4.3E-3</v>
      </c>
      <c r="AA603" s="27">
        <f t="shared" si="137"/>
        <v>30.746600000000001</v>
      </c>
      <c r="AB603" s="27">
        <f t="shared" si="138"/>
        <v>0.89600000000000002</v>
      </c>
      <c r="AC603" s="27">
        <f t="shared" si="139"/>
        <v>5.6000000000000001E-2</v>
      </c>
    </row>
    <row r="604" spans="1:29" ht="15" customHeight="1" x14ac:dyDescent="0.3">
      <c r="A604" s="22" t="s">
        <v>517</v>
      </c>
      <c r="B604" s="23" t="s">
        <v>8</v>
      </c>
      <c r="C604" s="23" t="s">
        <v>9</v>
      </c>
      <c r="D604" s="24" t="s">
        <v>64</v>
      </c>
      <c r="E604" s="24" t="s">
        <v>34</v>
      </c>
      <c r="F604" s="18">
        <v>2.1128999999999998</v>
      </c>
      <c r="G604" s="19">
        <v>3.0200000000000001E-2</v>
      </c>
      <c r="H604" s="20"/>
      <c r="I604" s="21">
        <v>32.116500000000002</v>
      </c>
      <c r="J604" s="20">
        <v>0.44800000000000001</v>
      </c>
      <c r="K604" s="20"/>
      <c r="M604" t="str">
        <f t="shared" si="126"/>
        <v>PAMPERS SENSITIVE 56 BAG+DIA PANTS5 48</v>
      </c>
      <c r="N604" s="29" t="str">
        <f t="shared" si="127"/>
        <v xml:space="preserve"> Proctor &amp; Wager</v>
      </c>
      <c r="O604" t="str">
        <f t="shared" si="128"/>
        <v>PAMPERS (PROCTER &amp; GAMBLE)</v>
      </c>
      <c r="P604" t="str">
        <f t="shared" si="130"/>
        <v xml:space="preserve"> Proctor &amp; Wager</v>
      </c>
      <c r="R604" t="str">
        <f t="shared" si="129"/>
        <v>PAMPERS (PROCTER &amp; GAMBLE)</v>
      </c>
      <c r="T604" t="s">
        <v>516</v>
      </c>
      <c r="U604" t="str">
        <f t="shared" si="131"/>
        <v>BAGS</v>
      </c>
      <c r="V604" t="str">
        <f t="shared" si="132"/>
        <v>SENSITIVE</v>
      </c>
      <c r="W604" t="str">
        <f t="shared" si="133"/>
        <v>56</v>
      </c>
      <c r="X604" s="27">
        <f t="shared" si="134"/>
        <v>0</v>
      </c>
      <c r="Y604" s="27">
        <f t="shared" si="135"/>
        <v>0</v>
      </c>
      <c r="Z604" s="27">
        <f t="shared" si="136"/>
        <v>0</v>
      </c>
      <c r="AA604" s="27">
        <f t="shared" si="137"/>
        <v>0</v>
      </c>
      <c r="AB604" s="27">
        <f t="shared" si="138"/>
        <v>0</v>
      </c>
      <c r="AC604" s="27">
        <f t="shared" si="139"/>
        <v>0</v>
      </c>
    </row>
    <row r="605" spans="1:29" ht="15" customHeight="1" x14ac:dyDescent="0.3">
      <c r="A605" s="22" t="s">
        <v>518</v>
      </c>
      <c r="B605" s="23" t="s">
        <v>8</v>
      </c>
      <c r="C605" s="23" t="s">
        <v>9</v>
      </c>
      <c r="D605" s="24" t="s">
        <v>64</v>
      </c>
      <c r="E605" s="24" t="s">
        <v>34</v>
      </c>
      <c r="F605" s="18"/>
      <c r="G605" s="19"/>
      <c r="H605" s="20"/>
      <c r="I605" s="21"/>
      <c r="J605" s="20"/>
      <c r="K605" s="20"/>
      <c r="M605" t="str">
        <f t="shared" si="126"/>
        <v>PAMPERS SENSITIVE 56 BAG+DIA PANTS5 48 1</v>
      </c>
      <c r="N605" s="29" t="str">
        <f t="shared" si="127"/>
        <v xml:space="preserve"> Proctor &amp; Wager</v>
      </c>
      <c r="O605" t="str">
        <f t="shared" si="128"/>
        <v>PAMPERS (PROCTER &amp; GAMBLE)</v>
      </c>
      <c r="P605" t="str">
        <f t="shared" si="130"/>
        <v xml:space="preserve"> Proctor &amp; Wager</v>
      </c>
      <c r="R605" t="str">
        <f t="shared" si="129"/>
        <v>PAMPERS (PROCTER &amp; GAMBLE)</v>
      </c>
      <c r="T605" t="s">
        <v>517</v>
      </c>
      <c r="U605" t="str">
        <f t="shared" si="131"/>
        <v>BAGS</v>
      </c>
      <c r="V605" t="str">
        <f t="shared" si="132"/>
        <v>SENSITIVE</v>
      </c>
      <c r="W605" t="str">
        <f t="shared" si="133"/>
        <v>56</v>
      </c>
      <c r="X605" s="27">
        <f t="shared" si="134"/>
        <v>2.1128999999999998</v>
      </c>
      <c r="Y605" s="27">
        <f t="shared" si="135"/>
        <v>3.0200000000000001E-2</v>
      </c>
      <c r="Z605" s="27">
        <f t="shared" si="136"/>
        <v>0</v>
      </c>
      <c r="AA605" s="27">
        <f t="shared" si="137"/>
        <v>32.116500000000002</v>
      </c>
      <c r="AB605" s="27">
        <f t="shared" si="138"/>
        <v>0.44800000000000001</v>
      </c>
      <c r="AC605" s="27">
        <f t="shared" si="139"/>
        <v>0</v>
      </c>
    </row>
    <row r="606" spans="1:29" ht="15" customHeight="1" x14ac:dyDescent="0.3">
      <c r="A606" s="22" t="s">
        <v>519</v>
      </c>
      <c r="B606" s="23" t="s">
        <v>8</v>
      </c>
      <c r="C606" s="23" t="s">
        <v>9</v>
      </c>
      <c r="D606" s="24" t="s">
        <v>64</v>
      </c>
      <c r="E606" s="24" t="s">
        <v>34</v>
      </c>
      <c r="F606" s="18">
        <v>0.03</v>
      </c>
      <c r="G606" s="19">
        <v>5.8999999999999999E-3</v>
      </c>
      <c r="H606" s="20"/>
      <c r="I606" s="21">
        <v>0.67200000000000004</v>
      </c>
      <c r="J606" s="20">
        <v>0.16800000000000001</v>
      </c>
      <c r="K606" s="20"/>
      <c r="M606" t="str">
        <f t="shared" si="126"/>
        <v>PAMPERS SENSITIVE 56 BAG+DIA PANTS5 52</v>
      </c>
      <c r="N606" s="29" t="str">
        <f t="shared" si="127"/>
        <v xml:space="preserve"> Proctor &amp; Wager</v>
      </c>
      <c r="O606" t="str">
        <f t="shared" si="128"/>
        <v>PAMPERS (PROCTER &amp; GAMBLE)</v>
      </c>
      <c r="P606" t="str">
        <f t="shared" si="130"/>
        <v xml:space="preserve"> Proctor &amp; Wager</v>
      </c>
      <c r="R606" t="str">
        <f t="shared" si="129"/>
        <v>PAMPERS (PROCTER &amp; GAMBLE)</v>
      </c>
      <c r="T606" t="s">
        <v>518</v>
      </c>
      <c r="U606" t="str">
        <f t="shared" si="131"/>
        <v>BAGS</v>
      </c>
      <c r="V606" t="str">
        <f t="shared" si="132"/>
        <v>SENSITIVE</v>
      </c>
      <c r="W606" t="str">
        <f t="shared" si="133"/>
        <v>56</v>
      </c>
      <c r="X606" s="27">
        <f t="shared" si="134"/>
        <v>0</v>
      </c>
      <c r="Y606" s="27">
        <f t="shared" si="135"/>
        <v>0</v>
      </c>
      <c r="Z606" s="27">
        <f t="shared" si="136"/>
        <v>0</v>
      </c>
      <c r="AA606" s="27">
        <f t="shared" si="137"/>
        <v>0</v>
      </c>
      <c r="AB606" s="27">
        <f t="shared" si="138"/>
        <v>0</v>
      </c>
      <c r="AC606" s="27">
        <f t="shared" si="139"/>
        <v>0</v>
      </c>
    </row>
    <row r="607" spans="1:29" ht="15" customHeight="1" x14ac:dyDescent="0.3">
      <c r="A607" s="22" t="s">
        <v>520</v>
      </c>
      <c r="B607" s="23" t="s">
        <v>8</v>
      </c>
      <c r="C607" s="23" t="s">
        <v>9</v>
      </c>
      <c r="D607" s="24" t="s">
        <v>64</v>
      </c>
      <c r="E607" s="24" t="s">
        <v>34</v>
      </c>
      <c r="F607" s="18">
        <v>3.5200000000000002E-2</v>
      </c>
      <c r="G607" s="19"/>
      <c r="H607" s="20"/>
      <c r="I607" s="21">
        <v>0.65949999999999998</v>
      </c>
      <c r="J607" s="20"/>
      <c r="K607" s="20"/>
      <c r="M607" t="str">
        <f t="shared" si="126"/>
        <v>PAMPERS SENSITIVE 56 BAG+DIA PR CARE54</v>
      </c>
      <c r="N607" s="29" t="str">
        <f t="shared" si="127"/>
        <v xml:space="preserve"> Proctor &amp; Wager</v>
      </c>
      <c r="O607" t="str">
        <f t="shared" si="128"/>
        <v>PAMPERS (PROCTER &amp; GAMBLE)</v>
      </c>
      <c r="P607" t="str">
        <f t="shared" si="130"/>
        <v xml:space="preserve"> Proctor &amp; Wager</v>
      </c>
      <c r="R607" t="str">
        <f t="shared" si="129"/>
        <v>PAMPERS (PROCTER &amp; GAMBLE)</v>
      </c>
      <c r="T607" t="s">
        <v>519</v>
      </c>
      <c r="U607" t="str">
        <f t="shared" si="131"/>
        <v>BAGS</v>
      </c>
      <c r="V607" t="str">
        <f t="shared" si="132"/>
        <v>SENSITIVE</v>
      </c>
      <c r="W607" t="str">
        <f t="shared" si="133"/>
        <v>56</v>
      </c>
      <c r="X607" s="27">
        <f t="shared" si="134"/>
        <v>0.03</v>
      </c>
      <c r="Y607" s="27">
        <f t="shared" si="135"/>
        <v>5.8999999999999999E-3</v>
      </c>
      <c r="Z607" s="27">
        <f t="shared" si="136"/>
        <v>0</v>
      </c>
      <c r="AA607" s="27">
        <f t="shared" si="137"/>
        <v>0.67200000000000004</v>
      </c>
      <c r="AB607" s="27">
        <f t="shared" si="138"/>
        <v>0.16800000000000001</v>
      </c>
      <c r="AC607" s="27">
        <f t="shared" si="139"/>
        <v>0</v>
      </c>
    </row>
    <row r="608" spans="1:29" ht="15" customHeight="1" x14ac:dyDescent="0.3">
      <c r="A608" s="22" t="s">
        <v>521</v>
      </c>
      <c r="B608" s="23" t="s">
        <v>8</v>
      </c>
      <c r="C608" s="23" t="s">
        <v>9</v>
      </c>
      <c r="D608" s="24" t="s">
        <v>64</v>
      </c>
      <c r="E608" s="24" t="s">
        <v>34</v>
      </c>
      <c r="F608" s="18">
        <v>0.17460000000000001</v>
      </c>
      <c r="G608" s="19">
        <v>5.2699999999999997E-2</v>
      </c>
      <c r="H608" s="20">
        <v>1.09E-2</v>
      </c>
      <c r="I608" s="21">
        <v>3.8159000000000001</v>
      </c>
      <c r="J608" s="20">
        <v>1.4</v>
      </c>
      <c r="K608" s="20">
        <v>0.28000000000000003</v>
      </c>
      <c r="M608" t="str">
        <f t="shared" si="126"/>
        <v>PAMPERS SENSITIVE 56 BAG+DIAPREMCARE3 60</v>
      </c>
      <c r="N608" s="29" t="str">
        <f t="shared" si="127"/>
        <v xml:space="preserve"> Proctor &amp; Wager</v>
      </c>
      <c r="O608" t="str">
        <f t="shared" si="128"/>
        <v>PAMPERS (PROCTER &amp; GAMBLE)</v>
      </c>
      <c r="P608" t="str">
        <f t="shared" si="130"/>
        <v xml:space="preserve"> Proctor &amp; Wager</v>
      </c>
      <c r="R608" t="str">
        <f t="shared" si="129"/>
        <v>PAMPERS (PROCTER &amp; GAMBLE)</v>
      </c>
      <c r="T608" t="s">
        <v>520</v>
      </c>
      <c r="U608" t="str">
        <f t="shared" si="131"/>
        <v>BAGS</v>
      </c>
      <c r="V608" t="str">
        <f t="shared" si="132"/>
        <v>SENSITIVE</v>
      </c>
      <c r="W608" t="str">
        <f t="shared" si="133"/>
        <v>56</v>
      </c>
      <c r="X608" s="27">
        <f t="shared" si="134"/>
        <v>3.5200000000000002E-2</v>
      </c>
      <c r="Y608" s="27">
        <f t="shared" si="135"/>
        <v>0</v>
      </c>
      <c r="Z608" s="27">
        <f t="shared" si="136"/>
        <v>0</v>
      </c>
      <c r="AA608" s="27">
        <f t="shared" si="137"/>
        <v>0.65949999999999998</v>
      </c>
      <c r="AB608" s="27">
        <f t="shared" si="138"/>
        <v>0</v>
      </c>
      <c r="AC608" s="27">
        <f t="shared" si="139"/>
        <v>0</v>
      </c>
    </row>
    <row r="609" spans="1:29" ht="15" customHeight="1" x14ac:dyDescent="0.3">
      <c r="A609" s="22" t="s">
        <v>522</v>
      </c>
      <c r="B609" s="23" t="s">
        <v>8</v>
      </c>
      <c r="C609" s="23" t="s">
        <v>9</v>
      </c>
      <c r="D609" s="24" t="s">
        <v>64</v>
      </c>
      <c r="E609" s="24" t="s">
        <v>34</v>
      </c>
      <c r="F609" s="18"/>
      <c r="G609" s="19"/>
      <c r="H609" s="20"/>
      <c r="I609" s="21"/>
      <c r="J609" s="20"/>
      <c r="K609" s="20"/>
      <c r="M609" t="str">
        <f t="shared" si="126"/>
        <v>PAMPERS SENSITIVE 56 BAG+DIAPREMCARE5 44</v>
      </c>
      <c r="N609" s="29" t="str">
        <f t="shared" si="127"/>
        <v xml:space="preserve"> Proctor &amp; Wager</v>
      </c>
      <c r="O609" t="str">
        <f t="shared" si="128"/>
        <v>PAMPERS (PROCTER &amp; GAMBLE)</v>
      </c>
      <c r="P609" t="str">
        <f t="shared" si="130"/>
        <v xml:space="preserve"> Proctor &amp; Wager</v>
      </c>
      <c r="R609" t="str">
        <f t="shared" si="129"/>
        <v>PAMPERS (PROCTER &amp; GAMBLE)</v>
      </c>
      <c r="T609" t="s">
        <v>521</v>
      </c>
      <c r="U609" t="str">
        <f t="shared" si="131"/>
        <v>BAGS</v>
      </c>
      <c r="V609" t="str">
        <f t="shared" si="132"/>
        <v>SENSITIVE</v>
      </c>
      <c r="W609" t="str">
        <f t="shared" si="133"/>
        <v>56</v>
      </c>
      <c r="X609" s="27">
        <f t="shared" si="134"/>
        <v>0.17460000000000001</v>
      </c>
      <c r="Y609" s="27">
        <f t="shared" si="135"/>
        <v>5.2699999999999997E-2</v>
      </c>
      <c r="Z609" s="27">
        <f t="shared" si="136"/>
        <v>1.09E-2</v>
      </c>
      <c r="AA609" s="27">
        <f t="shared" si="137"/>
        <v>3.8159000000000001</v>
      </c>
      <c r="AB609" s="27">
        <f t="shared" si="138"/>
        <v>1.4</v>
      </c>
      <c r="AC609" s="27">
        <f t="shared" si="139"/>
        <v>0.28000000000000003</v>
      </c>
    </row>
    <row r="610" spans="1:29" ht="15" customHeight="1" x14ac:dyDescent="0.3">
      <c r="A610" s="22" t="s">
        <v>523</v>
      </c>
      <c r="B610" s="23" t="s">
        <v>8</v>
      </c>
      <c r="C610" s="23" t="s">
        <v>9</v>
      </c>
      <c r="D610" s="24" t="s">
        <v>64</v>
      </c>
      <c r="E610" s="24" t="s">
        <v>34</v>
      </c>
      <c r="F610" s="18">
        <v>1.0412999999999999</v>
      </c>
      <c r="G610" s="19"/>
      <c r="H610" s="20"/>
      <c r="I610" s="21">
        <v>23.5031</v>
      </c>
      <c r="J610" s="20"/>
      <c r="K610" s="20"/>
      <c r="M610" t="str">
        <f t="shared" si="126"/>
        <v>PAMPERS SENSITIVE 56BAG+DIA PANTS6 44</v>
      </c>
      <c r="N610" s="29" t="str">
        <f t="shared" si="127"/>
        <v xml:space="preserve"> Proctor &amp; Wager</v>
      </c>
      <c r="O610" t="str">
        <f t="shared" si="128"/>
        <v>PAMPERS (PROCTER &amp; GAMBLE)</v>
      </c>
      <c r="P610" t="str">
        <f t="shared" si="130"/>
        <v xml:space="preserve"> Proctor &amp; Wager</v>
      </c>
      <c r="R610" t="str">
        <f t="shared" si="129"/>
        <v>PAMPERS (PROCTER &amp; GAMBLE)</v>
      </c>
      <c r="T610" t="s">
        <v>522</v>
      </c>
      <c r="U610" t="str">
        <f t="shared" si="131"/>
        <v>BAGS</v>
      </c>
      <c r="V610" t="str">
        <f t="shared" si="132"/>
        <v>SENSITIVE</v>
      </c>
      <c r="W610" t="str">
        <f t="shared" si="133"/>
        <v>56</v>
      </c>
      <c r="X610" s="27">
        <f t="shared" si="134"/>
        <v>0</v>
      </c>
      <c r="Y610" s="27">
        <f t="shared" si="135"/>
        <v>0</v>
      </c>
      <c r="Z610" s="27">
        <f t="shared" si="136"/>
        <v>0</v>
      </c>
      <c r="AA610" s="27">
        <f t="shared" si="137"/>
        <v>0</v>
      </c>
      <c r="AB610" s="27">
        <f t="shared" si="138"/>
        <v>0</v>
      </c>
      <c r="AC610" s="27">
        <f t="shared" si="139"/>
        <v>0</v>
      </c>
    </row>
    <row r="611" spans="1:29" ht="15" customHeight="1" x14ac:dyDescent="0.3">
      <c r="A611" s="22" t="s">
        <v>524</v>
      </c>
      <c r="B611" s="23" t="s">
        <v>8</v>
      </c>
      <c r="C611" s="23" t="s">
        <v>9</v>
      </c>
      <c r="D611" s="24" t="s">
        <v>64</v>
      </c>
      <c r="E611" s="24" t="s">
        <v>34</v>
      </c>
      <c r="F611" s="18">
        <v>3.8100000000000002E-2</v>
      </c>
      <c r="G611" s="19">
        <v>7.4000000000000003E-3</v>
      </c>
      <c r="H611" s="20">
        <v>1.11E-2</v>
      </c>
      <c r="I611" s="21">
        <v>0.67200000000000004</v>
      </c>
      <c r="J611" s="20">
        <v>0.112</v>
      </c>
      <c r="K611" s="20">
        <v>0.16800000000000001</v>
      </c>
      <c r="M611" t="str">
        <f t="shared" si="126"/>
        <v>PAMPERS SENSITIVE 6X56/2BR FREE BAG</v>
      </c>
      <c r="N611" s="29" t="str">
        <f t="shared" si="127"/>
        <v xml:space="preserve"> Proctor &amp; Wager</v>
      </c>
      <c r="O611" t="str">
        <f t="shared" si="128"/>
        <v>PAMPERS (PROCTER &amp; GAMBLE)</v>
      </c>
      <c r="P611" t="str">
        <f t="shared" si="130"/>
        <v xml:space="preserve"> Proctor &amp; Wager</v>
      </c>
      <c r="R611" t="str">
        <f t="shared" si="129"/>
        <v>PAMPERS (PROCTER &amp; GAMBLE)</v>
      </c>
      <c r="T611" t="s">
        <v>523</v>
      </c>
      <c r="U611" t="str">
        <f t="shared" si="131"/>
        <v>BAGS</v>
      </c>
      <c r="V611" t="str">
        <f t="shared" si="132"/>
        <v>SENSITIVE</v>
      </c>
      <c r="W611" t="str">
        <f t="shared" si="133"/>
        <v>56</v>
      </c>
      <c r="X611" s="27">
        <f t="shared" si="134"/>
        <v>1.0412999999999999</v>
      </c>
      <c r="Y611" s="27">
        <f t="shared" si="135"/>
        <v>0</v>
      </c>
      <c r="Z611" s="27">
        <f t="shared" si="136"/>
        <v>0</v>
      </c>
      <c r="AA611" s="27">
        <f t="shared" si="137"/>
        <v>23.5031</v>
      </c>
      <c r="AB611" s="27">
        <f t="shared" si="138"/>
        <v>0</v>
      </c>
      <c r="AC611" s="27">
        <f t="shared" si="139"/>
        <v>0</v>
      </c>
    </row>
    <row r="612" spans="1:29" ht="15" customHeight="1" x14ac:dyDescent="0.3">
      <c r="A612" s="22" t="s">
        <v>525</v>
      </c>
      <c r="B612" s="23" t="s">
        <v>8</v>
      </c>
      <c r="C612" s="23" t="s">
        <v>9</v>
      </c>
      <c r="D612" s="24" t="s">
        <v>64</v>
      </c>
      <c r="E612" s="24" t="s">
        <v>34</v>
      </c>
      <c r="F612" s="18">
        <v>1.0855999999999999</v>
      </c>
      <c r="G612" s="19">
        <v>0.58120000000000005</v>
      </c>
      <c r="H612" s="20"/>
      <c r="I612" s="21">
        <v>19.170200000000001</v>
      </c>
      <c r="J612" s="20">
        <v>10.2963</v>
      </c>
      <c r="K612" s="20"/>
      <c r="M612" t="str">
        <f t="shared" si="126"/>
        <v>PAMPERS SENSITIVE CAMOMILE&amp;ALOE 56 BAG</v>
      </c>
      <c r="N612" s="29" t="str">
        <f t="shared" si="127"/>
        <v xml:space="preserve"> Proctor &amp; Wager</v>
      </c>
      <c r="O612" t="str">
        <f t="shared" si="128"/>
        <v>PAMPERS (PROCTER &amp; GAMBLE)</v>
      </c>
      <c r="P612" t="str">
        <f t="shared" si="130"/>
        <v xml:space="preserve"> Proctor &amp; Wager</v>
      </c>
      <c r="R612" t="str">
        <f t="shared" si="129"/>
        <v>PAMPERS (PROCTER &amp; GAMBLE)</v>
      </c>
      <c r="T612" t="s">
        <v>524</v>
      </c>
      <c r="U612" t="str">
        <f t="shared" si="131"/>
        <v>BAGS</v>
      </c>
      <c r="V612" t="str">
        <f t="shared" si="132"/>
        <v>SENSITIVE</v>
      </c>
      <c r="W612" t="str">
        <f t="shared" si="133"/>
        <v>56</v>
      </c>
      <c r="X612" s="27">
        <f t="shared" si="134"/>
        <v>3.8100000000000002E-2</v>
      </c>
      <c r="Y612" s="27">
        <f t="shared" si="135"/>
        <v>7.4000000000000003E-3</v>
      </c>
      <c r="Z612" s="27">
        <f t="shared" si="136"/>
        <v>1.11E-2</v>
      </c>
      <c r="AA612" s="27">
        <f t="shared" si="137"/>
        <v>0.67200000000000004</v>
      </c>
      <c r="AB612" s="27">
        <f t="shared" si="138"/>
        <v>0.112</v>
      </c>
      <c r="AC612" s="27">
        <f t="shared" si="139"/>
        <v>0.16800000000000001</v>
      </c>
    </row>
    <row r="613" spans="1:29" ht="15" customHeight="1" x14ac:dyDescent="0.3">
      <c r="A613" s="22" t="s">
        <v>526</v>
      </c>
      <c r="B613" s="23" t="s">
        <v>8</v>
      </c>
      <c r="C613" s="23" t="s">
        <v>9</v>
      </c>
      <c r="D613" s="24" t="s">
        <v>64</v>
      </c>
      <c r="E613" s="24" t="s">
        <v>34</v>
      </c>
      <c r="F613" s="18">
        <v>0.72109999999999996</v>
      </c>
      <c r="G613" s="19">
        <v>5.3105000000000002</v>
      </c>
      <c r="H613" s="20"/>
      <c r="I613" s="21">
        <v>13.8162</v>
      </c>
      <c r="J613" s="20">
        <v>130.43450000000001</v>
      </c>
      <c r="K613" s="20"/>
      <c r="M613" t="str">
        <f t="shared" si="126"/>
        <v>PAMPERS SENSITIVE SOFTLIKECOTTON 56 BAG</v>
      </c>
      <c r="N613" s="29" t="str">
        <f t="shared" si="127"/>
        <v xml:space="preserve"> Proctor &amp; Wager</v>
      </c>
      <c r="O613" t="str">
        <f t="shared" si="128"/>
        <v>PAMPERS (PROCTER &amp; GAMBLE)</v>
      </c>
      <c r="P613" t="str">
        <f t="shared" si="130"/>
        <v xml:space="preserve"> Proctor &amp; Wager</v>
      </c>
      <c r="R613" t="str">
        <f t="shared" si="129"/>
        <v>PAMPERS (PROCTER &amp; GAMBLE)</v>
      </c>
      <c r="T613" t="s">
        <v>525</v>
      </c>
      <c r="U613" t="str">
        <f t="shared" si="131"/>
        <v>BAGS</v>
      </c>
      <c r="V613" t="str">
        <f t="shared" si="132"/>
        <v>SENSITIVE</v>
      </c>
      <c r="W613" t="str">
        <f t="shared" si="133"/>
        <v>56</v>
      </c>
      <c r="X613" s="27">
        <f t="shared" si="134"/>
        <v>1.0855999999999999</v>
      </c>
      <c r="Y613" s="27">
        <f t="shared" si="135"/>
        <v>0.58120000000000005</v>
      </c>
      <c r="Z613" s="27">
        <f t="shared" si="136"/>
        <v>0</v>
      </c>
      <c r="AA613" s="27">
        <f t="shared" si="137"/>
        <v>19.170200000000001</v>
      </c>
      <c r="AB613" s="27">
        <f t="shared" si="138"/>
        <v>10.2963</v>
      </c>
      <c r="AC613" s="27">
        <f t="shared" si="139"/>
        <v>0</v>
      </c>
    </row>
    <row r="614" spans="1:29" ht="15" customHeight="1" x14ac:dyDescent="0.3">
      <c r="A614" s="22" t="s">
        <v>527</v>
      </c>
      <c r="B614" s="23" t="s">
        <v>8</v>
      </c>
      <c r="C614" s="23" t="s">
        <v>9</v>
      </c>
      <c r="D614" s="24" t="s">
        <v>64</v>
      </c>
      <c r="E614" s="24" t="s">
        <v>34</v>
      </c>
      <c r="F614" s="18">
        <v>0.80620000000000003</v>
      </c>
      <c r="G614" s="19"/>
      <c r="H614" s="20"/>
      <c r="I614" s="21">
        <v>18.060500000000001</v>
      </c>
      <c r="J614" s="20"/>
      <c r="K614" s="20"/>
      <c r="M614" t="str">
        <f t="shared" si="126"/>
        <v>PAMPERS SENSITIVE W 6X56/336 BAG</v>
      </c>
      <c r="N614" s="29" t="str">
        <f t="shared" si="127"/>
        <v xml:space="preserve"> Proctor &amp; Wager</v>
      </c>
      <c r="O614" t="str">
        <f t="shared" si="128"/>
        <v>PAMPERS (PROCTER &amp; GAMBLE)</v>
      </c>
      <c r="P614" t="str">
        <f t="shared" si="130"/>
        <v xml:space="preserve"> Proctor &amp; Wager</v>
      </c>
      <c r="R614" t="str">
        <f t="shared" si="129"/>
        <v>PAMPERS (PROCTER &amp; GAMBLE)</v>
      </c>
      <c r="T614" t="s">
        <v>526</v>
      </c>
      <c r="U614" t="str">
        <f t="shared" si="131"/>
        <v>BAGS</v>
      </c>
      <c r="V614" t="str">
        <f t="shared" si="132"/>
        <v>SENSITIVE</v>
      </c>
      <c r="W614" t="str">
        <f t="shared" si="133"/>
        <v>56</v>
      </c>
      <c r="X614" s="27">
        <f t="shared" si="134"/>
        <v>0.72109999999999996</v>
      </c>
      <c r="Y614" s="27">
        <f t="shared" si="135"/>
        <v>5.3105000000000002</v>
      </c>
      <c r="Z614" s="27">
        <f t="shared" si="136"/>
        <v>0</v>
      </c>
      <c r="AA614" s="27">
        <f t="shared" si="137"/>
        <v>13.8162</v>
      </c>
      <c r="AB614" s="27">
        <f t="shared" si="138"/>
        <v>130.43450000000001</v>
      </c>
      <c r="AC614" s="27">
        <f t="shared" si="139"/>
        <v>0</v>
      </c>
    </row>
    <row r="615" spans="1:29" ht="15" customHeight="1" x14ac:dyDescent="0.3">
      <c r="A615" s="22" t="s">
        <v>528</v>
      </c>
      <c r="B615" s="23" t="s">
        <v>8</v>
      </c>
      <c r="C615" s="23" t="s">
        <v>9</v>
      </c>
      <c r="D615" s="24" t="s">
        <v>30</v>
      </c>
      <c r="E615" s="24" t="s">
        <v>37</v>
      </c>
      <c r="F615" s="18">
        <v>15.5359</v>
      </c>
      <c r="G615" s="19">
        <v>0.67789999999999995</v>
      </c>
      <c r="H615" s="20"/>
      <c r="I615" s="21">
        <v>345.3125</v>
      </c>
      <c r="J615" s="20">
        <v>13.0631</v>
      </c>
      <c r="K615" s="20"/>
      <c r="M615" t="str">
        <f t="shared" si="126"/>
        <v>PAMPERS SENSITIVE XXL W 6X56/2BR FR BAG</v>
      </c>
      <c r="N615" s="29" t="str">
        <f t="shared" si="127"/>
        <v xml:space="preserve"> Proctor &amp; Wager</v>
      </c>
      <c r="O615" t="str">
        <f t="shared" si="128"/>
        <v>PAMPERS (PROCTER &amp; GAMBLE)</v>
      </c>
      <c r="P615" t="str">
        <f t="shared" si="130"/>
        <v xml:space="preserve"> Proctor &amp; Wager</v>
      </c>
      <c r="R615" t="str">
        <f t="shared" si="129"/>
        <v>PAMPERS (PROCTER &amp; GAMBLE)</v>
      </c>
      <c r="T615" t="s">
        <v>527</v>
      </c>
      <c r="U615" t="str">
        <f t="shared" si="131"/>
        <v>BAGS</v>
      </c>
      <c r="V615" t="str">
        <f t="shared" si="132"/>
        <v>SENSITIVE</v>
      </c>
      <c r="W615" t="str">
        <f t="shared" si="133"/>
        <v>56</v>
      </c>
      <c r="X615" s="27">
        <f t="shared" si="134"/>
        <v>0.80620000000000003</v>
      </c>
      <c r="Y615" s="27">
        <f t="shared" si="135"/>
        <v>0</v>
      </c>
      <c r="Z615" s="27">
        <f t="shared" si="136"/>
        <v>0</v>
      </c>
      <c r="AA615" s="27">
        <f t="shared" si="137"/>
        <v>18.060500000000001</v>
      </c>
      <c r="AB615" s="27">
        <f t="shared" si="138"/>
        <v>0</v>
      </c>
      <c r="AC615" s="27">
        <f t="shared" si="139"/>
        <v>0</v>
      </c>
    </row>
    <row r="616" spans="1:29" ht="15" customHeight="1" x14ac:dyDescent="0.3">
      <c r="A616" s="22" t="s">
        <v>529</v>
      </c>
      <c r="B616" s="23" t="s">
        <v>8</v>
      </c>
      <c r="C616" s="23" t="s">
        <v>9</v>
      </c>
      <c r="D616" s="24" t="s">
        <v>10</v>
      </c>
      <c r="E616" s="24" t="s">
        <v>37</v>
      </c>
      <c r="F616" s="18">
        <v>0.33579999999999999</v>
      </c>
      <c r="G616" s="19"/>
      <c r="H616" s="20"/>
      <c r="I616" s="21">
        <v>9.1472999999999995</v>
      </c>
      <c r="J616" s="20"/>
      <c r="K616" s="20"/>
      <c r="M616" t="str">
        <f t="shared" si="126"/>
        <v>PAMPERS BABY FRESH ALOE W 64 BAG</v>
      </c>
      <c r="N616" s="29" t="str">
        <f t="shared" si="127"/>
        <v xml:space="preserve"> Proctor &amp; Wager</v>
      </c>
      <c r="O616" t="str">
        <f t="shared" si="128"/>
        <v>PAMPERS (PROCTER &amp; GAMBLE)</v>
      </c>
      <c r="P616" t="str">
        <f t="shared" si="130"/>
        <v xml:space="preserve"> Proctor &amp; Wager</v>
      </c>
      <c r="R616" t="str">
        <f t="shared" si="129"/>
        <v>PAMPERS (PROCTER &amp; GAMBLE)</v>
      </c>
      <c r="T616" t="s">
        <v>528</v>
      </c>
      <c r="U616" t="str">
        <f t="shared" si="131"/>
        <v>BAGS</v>
      </c>
      <c r="V616" t="str">
        <f t="shared" si="132"/>
        <v>ALCOHOL FREE</v>
      </c>
      <c r="W616" t="str">
        <f t="shared" si="133"/>
        <v>64</v>
      </c>
      <c r="X616" s="27">
        <f t="shared" si="134"/>
        <v>15.5359</v>
      </c>
      <c r="Y616" s="27">
        <f t="shared" si="135"/>
        <v>0.67789999999999995</v>
      </c>
      <c r="Z616" s="27">
        <f t="shared" si="136"/>
        <v>0</v>
      </c>
      <c r="AA616" s="27">
        <f t="shared" si="137"/>
        <v>345.3125</v>
      </c>
      <c r="AB616" s="27">
        <f t="shared" si="138"/>
        <v>13.0631</v>
      </c>
      <c r="AC616" s="27">
        <f t="shared" si="139"/>
        <v>0</v>
      </c>
    </row>
    <row r="617" spans="1:29" ht="15" customHeight="1" x14ac:dyDescent="0.3">
      <c r="A617" s="22" t="s">
        <v>530</v>
      </c>
      <c r="B617" s="23" t="s">
        <v>8</v>
      </c>
      <c r="C617" s="23" t="s">
        <v>9</v>
      </c>
      <c r="D617" s="24" t="s">
        <v>10</v>
      </c>
      <c r="E617" s="24" t="s">
        <v>37</v>
      </c>
      <c r="F617" s="18">
        <v>27.901900000000001</v>
      </c>
      <c r="G617" s="19">
        <v>8.1903000000000006</v>
      </c>
      <c r="H617" s="20">
        <v>0.88470000000000004</v>
      </c>
      <c r="I617" s="21">
        <v>618.1096</v>
      </c>
      <c r="J617" s="20">
        <v>185.2071</v>
      </c>
      <c r="K617" s="20">
        <v>18.353999999999999</v>
      </c>
      <c r="M617" t="str">
        <f t="shared" si="126"/>
        <v>PAMPERS BABY FRESH CLEAN W 4X64 BAG</v>
      </c>
      <c r="N617" s="29" t="str">
        <f t="shared" si="127"/>
        <v xml:space="preserve"> Proctor &amp; Wager</v>
      </c>
      <c r="O617" t="str">
        <f t="shared" si="128"/>
        <v>PAMPERS (PROCTER &amp; GAMBLE)</v>
      </c>
      <c r="P617" t="str">
        <f t="shared" si="130"/>
        <v xml:space="preserve"> Proctor &amp; Wager</v>
      </c>
      <c r="R617" t="str">
        <f t="shared" si="129"/>
        <v>PAMPERS (PROCTER &amp; GAMBLE)</v>
      </c>
      <c r="T617" t="s">
        <v>529</v>
      </c>
      <c r="U617" t="str">
        <f t="shared" si="131"/>
        <v>BAGS</v>
      </c>
      <c r="V617" t="str">
        <f t="shared" si="132"/>
        <v>WITHOUT EXTRA PROTECTCARE INDICATION</v>
      </c>
      <c r="W617" t="str">
        <f t="shared" si="133"/>
        <v>64</v>
      </c>
      <c r="X617" s="27">
        <f t="shared" si="134"/>
        <v>0.33579999999999999</v>
      </c>
      <c r="Y617" s="27">
        <f t="shared" si="135"/>
        <v>0</v>
      </c>
      <c r="Z617" s="27">
        <f t="shared" si="136"/>
        <v>0</v>
      </c>
      <c r="AA617" s="27">
        <f t="shared" si="137"/>
        <v>9.1472999999999995</v>
      </c>
      <c r="AB617" s="27">
        <f t="shared" si="138"/>
        <v>0</v>
      </c>
      <c r="AC617" s="27">
        <f t="shared" si="139"/>
        <v>0</v>
      </c>
    </row>
    <row r="618" spans="1:29" ht="15" customHeight="1" x14ac:dyDescent="0.3">
      <c r="A618" s="22" t="s">
        <v>531</v>
      </c>
      <c r="B618" s="23" t="s">
        <v>8</v>
      </c>
      <c r="C618" s="23" t="s">
        <v>9</v>
      </c>
      <c r="D618" s="24" t="s">
        <v>10</v>
      </c>
      <c r="E618" s="24" t="s">
        <v>37</v>
      </c>
      <c r="F618" s="18">
        <v>2.58E-2</v>
      </c>
      <c r="G618" s="19">
        <v>7.9000000000000008E-3</v>
      </c>
      <c r="H618" s="20"/>
      <c r="I618" s="21">
        <v>0.57599999999999996</v>
      </c>
      <c r="J618" s="20">
        <v>0.38400000000000001</v>
      </c>
      <c r="K618" s="20"/>
      <c r="M618" t="str">
        <f t="shared" si="126"/>
        <v>PAMPERS BABY FRESH CLEAN W 64 BAG</v>
      </c>
      <c r="N618" s="29" t="str">
        <f t="shared" si="127"/>
        <v xml:space="preserve"> Proctor &amp; Wager</v>
      </c>
      <c r="O618" t="str">
        <f t="shared" si="128"/>
        <v>PAMPERS (PROCTER &amp; GAMBLE)</v>
      </c>
      <c r="P618" t="str">
        <f t="shared" si="130"/>
        <v xml:space="preserve"> Proctor &amp; Wager</v>
      </c>
      <c r="R618" t="str">
        <f t="shared" si="129"/>
        <v>PAMPERS (PROCTER &amp; GAMBLE)</v>
      </c>
      <c r="T618" t="s">
        <v>530</v>
      </c>
      <c r="U618" t="str">
        <f t="shared" si="131"/>
        <v>BAGS</v>
      </c>
      <c r="V618" t="str">
        <f t="shared" si="132"/>
        <v>WITHOUT EXTRA PROTECTCARE INDICATION</v>
      </c>
      <c r="W618" t="str">
        <f t="shared" si="133"/>
        <v>64</v>
      </c>
      <c r="X618" s="27">
        <f t="shared" si="134"/>
        <v>27.901900000000001</v>
      </c>
      <c r="Y618" s="27">
        <f t="shared" si="135"/>
        <v>8.1903000000000006</v>
      </c>
      <c r="Z618" s="27">
        <f t="shared" si="136"/>
        <v>0.88470000000000004</v>
      </c>
      <c r="AA618" s="27">
        <f t="shared" si="137"/>
        <v>618.1096</v>
      </c>
      <c r="AB618" s="27">
        <f t="shared" si="138"/>
        <v>185.2071</v>
      </c>
      <c r="AC618" s="27">
        <f t="shared" si="139"/>
        <v>18.353999999999999</v>
      </c>
    </row>
    <row r="619" spans="1:29" ht="15" customHeight="1" x14ac:dyDescent="0.3">
      <c r="A619" s="22" t="s">
        <v>532</v>
      </c>
      <c r="B619" s="23" t="s">
        <v>8</v>
      </c>
      <c r="C619" s="23" t="s">
        <v>9</v>
      </c>
      <c r="D619" s="24" t="s">
        <v>10</v>
      </c>
      <c r="E619" s="24" t="s">
        <v>37</v>
      </c>
      <c r="F619" s="18"/>
      <c r="G619" s="19"/>
      <c r="H619" s="20"/>
      <c r="I619" s="21"/>
      <c r="J619" s="20"/>
      <c r="K619" s="20"/>
      <c r="M619" t="str">
        <f t="shared" si="126"/>
        <v>PAMPERS BABY FRESH CLEAN W 64 BAG+DIA 42</v>
      </c>
      <c r="N619" s="29" t="str">
        <f t="shared" si="127"/>
        <v xml:space="preserve"> Proctor &amp; Wager</v>
      </c>
      <c r="O619" t="str">
        <f t="shared" si="128"/>
        <v>PAMPERS (PROCTER &amp; GAMBLE)</v>
      </c>
      <c r="P619" t="str">
        <f t="shared" si="130"/>
        <v xml:space="preserve"> Proctor &amp; Wager</v>
      </c>
      <c r="R619" t="str">
        <f t="shared" si="129"/>
        <v>PAMPERS (PROCTER &amp; GAMBLE)</v>
      </c>
      <c r="T619" t="s">
        <v>531</v>
      </c>
      <c r="U619" t="str">
        <f t="shared" si="131"/>
        <v>BAGS</v>
      </c>
      <c r="V619" t="str">
        <f t="shared" si="132"/>
        <v>WITHOUT EXTRA PROTECTCARE INDICATION</v>
      </c>
      <c r="W619" t="str">
        <f t="shared" si="133"/>
        <v>64</v>
      </c>
      <c r="X619" s="27">
        <f t="shared" si="134"/>
        <v>2.58E-2</v>
      </c>
      <c r="Y619" s="27">
        <f t="shared" si="135"/>
        <v>7.9000000000000008E-3</v>
      </c>
      <c r="Z619" s="27">
        <f t="shared" si="136"/>
        <v>0</v>
      </c>
      <c r="AA619" s="27">
        <f t="shared" si="137"/>
        <v>0.57599999999999996</v>
      </c>
      <c r="AB619" s="27">
        <f t="shared" si="138"/>
        <v>0.38400000000000001</v>
      </c>
      <c r="AC619" s="27">
        <f t="shared" si="139"/>
        <v>0</v>
      </c>
    </row>
    <row r="620" spans="1:29" ht="15" customHeight="1" x14ac:dyDescent="0.3">
      <c r="A620" s="22" t="s">
        <v>533</v>
      </c>
      <c r="B620" s="23" t="s">
        <v>8</v>
      </c>
      <c r="C620" s="23" t="s">
        <v>9</v>
      </c>
      <c r="D620" s="24" t="s">
        <v>10</v>
      </c>
      <c r="E620" s="24" t="s">
        <v>37</v>
      </c>
      <c r="F620" s="18">
        <v>0.55289999999999995</v>
      </c>
      <c r="G620" s="19">
        <v>0.47820000000000001</v>
      </c>
      <c r="H620" s="20">
        <v>8.14E-2</v>
      </c>
      <c r="I620" s="21">
        <v>17.2395</v>
      </c>
      <c r="J620" s="20">
        <v>16.416799999999999</v>
      </c>
      <c r="K620" s="20">
        <v>2.5183</v>
      </c>
      <c r="M620" t="str">
        <f t="shared" si="126"/>
        <v>PAMPERS BABY FRESH CLEAN W 64 BAG+DIA 76</v>
      </c>
      <c r="N620" s="29" t="str">
        <f t="shared" si="127"/>
        <v xml:space="preserve"> Proctor &amp; Wager</v>
      </c>
      <c r="O620" t="str">
        <f t="shared" si="128"/>
        <v>PAMPERS (PROCTER &amp; GAMBLE)</v>
      </c>
      <c r="P620" t="str">
        <f t="shared" si="130"/>
        <v xml:space="preserve"> Proctor &amp; Wager</v>
      </c>
      <c r="R620" t="str">
        <f t="shared" si="129"/>
        <v>PAMPERS (PROCTER &amp; GAMBLE)</v>
      </c>
      <c r="T620" t="s">
        <v>532</v>
      </c>
      <c r="U620" t="str">
        <f t="shared" si="131"/>
        <v>BAGS</v>
      </c>
      <c r="V620" t="str">
        <f t="shared" si="132"/>
        <v>WITHOUT EXTRA PROTECTCARE INDICATION</v>
      </c>
      <c r="W620" t="str">
        <f t="shared" si="133"/>
        <v>64</v>
      </c>
      <c r="X620" s="27">
        <f t="shared" si="134"/>
        <v>0</v>
      </c>
      <c r="Y620" s="27">
        <f t="shared" si="135"/>
        <v>0</v>
      </c>
      <c r="Z620" s="27">
        <f t="shared" si="136"/>
        <v>0</v>
      </c>
      <c r="AA620" s="27">
        <f t="shared" si="137"/>
        <v>0</v>
      </c>
      <c r="AB620" s="27">
        <f t="shared" si="138"/>
        <v>0</v>
      </c>
      <c r="AC620" s="27">
        <f t="shared" si="139"/>
        <v>0</v>
      </c>
    </row>
    <row r="621" spans="1:29" ht="15" customHeight="1" x14ac:dyDescent="0.3">
      <c r="A621" s="22" t="s">
        <v>534</v>
      </c>
      <c r="B621" s="23" t="s">
        <v>8</v>
      </c>
      <c r="C621" s="23" t="s">
        <v>9</v>
      </c>
      <c r="D621" s="24" t="s">
        <v>10</v>
      </c>
      <c r="E621" s="24" t="s">
        <v>37</v>
      </c>
      <c r="F621" s="18">
        <v>3.53</v>
      </c>
      <c r="G621" s="19">
        <v>1.6247</v>
      </c>
      <c r="H621" s="20"/>
      <c r="I621" s="21">
        <v>92.468000000000004</v>
      </c>
      <c r="J621" s="20">
        <v>38.321599999999997</v>
      </c>
      <c r="K621" s="20"/>
      <c r="M621" t="str">
        <f t="shared" si="126"/>
        <v>PAMPERS BABY FRESH CLEAN W 64 BAG+DIA68</v>
      </c>
      <c r="N621" s="29" t="str">
        <f t="shared" si="127"/>
        <v xml:space="preserve"> Proctor &amp; Wager</v>
      </c>
      <c r="O621" t="str">
        <f t="shared" si="128"/>
        <v>PAMPERS (PROCTER &amp; GAMBLE)</v>
      </c>
      <c r="P621" t="str">
        <f t="shared" si="130"/>
        <v xml:space="preserve"> Proctor &amp; Wager</v>
      </c>
      <c r="R621" t="str">
        <f t="shared" si="129"/>
        <v>PAMPERS (PROCTER &amp; GAMBLE)</v>
      </c>
      <c r="T621" t="s">
        <v>533</v>
      </c>
      <c r="U621" t="str">
        <f t="shared" si="131"/>
        <v>BAGS</v>
      </c>
      <c r="V621" t="str">
        <f t="shared" si="132"/>
        <v>WITHOUT EXTRA PROTECTCARE INDICATION</v>
      </c>
      <c r="W621" t="str">
        <f t="shared" si="133"/>
        <v>64</v>
      </c>
      <c r="X621" s="27">
        <f t="shared" si="134"/>
        <v>0.55289999999999995</v>
      </c>
      <c r="Y621" s="27">
        <f t="shared" si="135"/>
        <v>0.47820000000000001</v>
      </c>
      <c r="Z621" s="27">
        <f t="shared" si="136"/>
        <v>8.14E-2</v>
      </c>
      <c r="AA621" s="27">
        <f t="shared" si="137"/>
        <v>17.2395</v>
      </c>
      <c r="AB621" s="27">
        <f t="shared" si="138"/>
        <v>16.416799999999999</v>
      </c>
      <c r="AC621" s="27">
        <f t="shared" si="139"/>
        <v>2.5183</v>
      </c>
    </row>
    <row r="622" spans="1:29" ht="15" customHeight="1" x14ac:dyDescent="0.3">
      <c r="A622" s="22" t="s">
        <v>535</v>
      </c>
      <c r="B622" s="23" t="s">
        <v>8</v>
      </c>
      <c r="C622" s="23" t="s">
        <v>9</v>
      </c>
      <c r="D622" s="24" t="s">
        <v>30</v>
      </c>
      <c r="E622" s="24" t="s">
        <v>37</v>
      </c>
      <c r="F622" s="18">
        <v>0.42930000000000001</v>
      </c>
      <c r="G622" s="19">
        <v>0.67159999999999997</v>
      </c>
      <c r="H622" s="20"/>
      <c r="I622" s="21">
        <v>9.3439999999999994</v>
      </c>
      <c r="J622" s="20">
        <v>12.986599999999999</v>
      </c>
      <c r="K622" s="20"/>
      <c r="M622" t="str">
        <f t="shared" si="126"/>
        <v>PAMPERS BABY FRESH CLEAN W 6X64/384 BAG</v>
      </c>
      <c r="N622" s="29" t="str">
        <f t="shared" si="127"/>
        <v xml:space="preserve"> Proctor &amp; Wager</v>
      </c>
      <c r="O622" t="str">
        <f t="shared" si="128"/>
        <v>PAMPERS (PROCTER &amp; GAMBLE)</v>
      </c>
      <c r="P622" t="str">
        <f t="shared" si="130"/>
        <v xml:space="preserve"> Proctor &amp; Wager</v>
      </c>
      <c r="R622" t="str">
        <f t="shared" si="129"/>
        <v>PAMPERS (PROCTER &amp; GAMBLE)</v>
      </c>
      <c r="T622" t="s">
        <v>534</v>
      </c>
      <c r="U622" t="str">
        <f t="shared" si="131"/>
        <v>BAGS</v>
      </c>
      <c r="V622" t="str">
        <f t="shared" si="132"/>
        <v>WITHOUT EXTRA PROTECTCARE INDICATION</v>
      </c>
      <c r="W622" t="str">
        <f t="shared" si="133"/>
        <v>64</v>
      </c>
      <c r="X622" s="27">
        <f t="shared" si="134"/>
        <v>3.53</v>
      </c>
      <c r="Y622" s="27">
        <f t="shared" si="135"/>
        <v>1.6247</v>
      </c>
      <c r="Z622" s="27">
        <f t="shared" si="136"/>
        <v>0</v>
      </c>
      <c r="AA622" s="27">
        <f t="shared" si="137"/>
        <v>92.468000000000004</v>
      </c>
      <c r="AB622" s="27">
        <f t="shared" si="138"/>
        <v>38.321599999999997</v>
      </c>
      <c r="AC622" s="27">
        <f t="shared" si="139"/>
        <v>0</v>
      </c>
    </row>
    <row r="623" spans="1:29" ht="15" customHeight="1" x14ac:dyDescent="0.3">
      <c r="A623" s="22" t="s">
        <v>536</v>
      </c>
      <c r="B623" s="23" t="s">
        <v>8</v>
      </c>
      <c r="C623" s="23" t="s">
        <v>9</v>
      </c>
      <c r="D623" s="24" t="s">
        <v>10</v>
      </c>
      <c r="E623" s="24" t="s">
        <v>37</v>
      </c>
      <c r="F623" s="18">
        <v>0.48170000000000002</v>
      </c>
      <c r="G623" s="19"/>
      <c r="H623" s="20"/>
      <c r="I623" s="21">
        <v>13.007199999999999</v>
      </c>
      <c r="J623" s="20"/>
      <c r="K623" s="20"/>
      <c r="M623" t="str">
        <f t="shared" si="126"/>
        <v>PAMPERS BABY FRESH ECONOMY W 2X64 BAG</v>
      </c>
      <c r="N623" s="29" t="str">
        <f t="shared" si="127"/>
        <v xml:space="preserve"> Proctor &amp; Wager</v>
      </c>
      <c r="O623" t="str">
        <f t="shared" si="128"/>
        <v>PAMPERS (PROCTER &amp; GAMBLE)</v>
      </c>
      <c r="P623" t="str">
        <f t="shared" si="130"/>
        <v xml:space="preserve"> Proctor &amp; Wager</v>
      </c>
      <c r="R623" t="str">
        <f t="shared" si="129"/>
        <v>PAMPERS (PROCTER &amp; GAMBLE)</v>
      </c>
      <c r="T623" t="s">
        <v>535</v>
      </c>
      <c r="U623" t="str">
        <f t="shared" si="131"/>
        <v>BAGS</v>
      </c>
      <c r="V623" t="str">
        <f t="shared" si="132"/>
        <v>ALCOHOL FREE</v>
      </c>
      <c r="W623" t="str">
        <f t="shared" si="133"/>
        <v>64</v>
      </c>
      <c r="X623" s="27">
        <f t="shared" si="134"/>
        <v>0.42930000000000001</v>
      </c>
      <c r="Y623" s="27">
        <f t="shared" si="135"/>
        <v>0.67159999999999997</v>
      </c>
      <c r="Z623" s="27">
        <f t="shared" si="136"/>
        <v>0</v>
      </c>
      <c r="AA623" s="27">
        <f t="shared" si="137"/>
        <v>9.3439999999999994</v>
      </c>
      <c r="AB623" s="27">
        <f t="shared" si="138"/>
        <v>12.986599999999999</v>
      </c>
      <c r="AC623" s="27">
        <f t="shared" si="139"/>
        <v>0</v>
      </c>
    </row>
    <row r="624" spans="1:29" ht="15" customHeight="1" x14ac:dyDescent="0.3">
      <c r="A624" s="22" t="s">
        <v>537</v>
      </c>
      <c r="B624" s="23" t="s">
        <v>8</v>
      </c>
      <c r="C624" s="23" t="s">
        <v>9</v>
      </c>
      <c r="D624" s="24" t="s">
        <v>10</v>
      </c>
      <c r="E624" s="24" t="s">
        <v>37</v>
      </c>
      <c r="F624" s="18"/>
      <c r="G624" s="19"/>
      <c r="H624" s="20">
        <v>8.9800000000000005E-2</v>
      </c>
      <c r="I624" s="21"/>
      <c r="J624" s="20"/>
      <c r="K624" s="20">
        <v>1.9842</v>
      </c>
      <c r="M624" t="str">
        <f t="shared" si="126"/>
        <v>PAMPERS BABYFRESHCLEAN ALOE W 6X64/2BRFR</v>
      </c>
      <c r="N624" s="29" t="str">
        <f t="shared" si="127"/>
        <v xml:space="preserve"> Proctor &amp; Wager</v>
      </c>
      <c r="O624" t="str">
        <f t="shared" si="128"/>
        <v>PAMPERS (PROCTER &amp; GAMBLE)</v>
      </c>
      <c r="P624" t="str">
        <f t="shared" si="130"/>
        <v xml:space="preserve"> Proctor &amp; Wager</v>
      </c>
      <c r="R624" t="str">
        <f t="shared" si="129"/>
        <v>PAMPERS (PROCTER &amp; GAMBLE)</v>
      </c>
      <c r="T624" t="s">
        <v>536</v>
      </c>
      <c r="U624" t="str">
        <f t="shared" si="131"/>
        <v>BAGS</v>
      </c>
      <c r="V624" t="str">
        <f t="shared" si="132"/>
        <v>WITHOUT EXTRA PROTECTCARE INDICATION</v>
      </c>
      <c r="W624" t="str">
        <f t="shared" si="133"/>
        <v>64</v>
      </c>
      <c r="X624" s="27">
        <f t="shared" si="134"/>
        <v>0.48170000000000002</v>
      </c>
      <c r="Y624" s="27">
        <f t="shared" si="135"/>
        <v>0</v>
      </c>
      <c r="Z624" s="27">
        <f t="shared" si="136"/>
        <v>0</v>
      </c>
      <c r="AA624" s="27">
        <f t="shared" si="137"/>
        <v>13.007199999999999</v>
      </c>
      <c r="AB624" s="27">
        <f t="shared" si="138"/>
        <v>0</v>
      </c>
      <c r="AC624" s="27">
        <f t="shared" si="139"/>
        <v>0</v>
      </c>
    </row>
    <row r="625" spans="1:29" ht="15" customHeight="1" x14ac:dyDescent="0.3">
      <c r="A625" s="22" t="s">
        <v>538</v>
      </c>
      <c r="B625" s="23" t="s">
        <v>8</v>
      </c>
      <c r="C625" s="23" t="s">
        <v>9</v>
      </c>
      <c r="D625" s="24" t="s">
        <v>10</v>
      </c>
      <c r="E625" s="24" t="s">
        <v>37</v>
      </c>
      <c r="F625" s="18"/>
      <c r="G625" s="19"/>
      <c r="H625" s="20"/>
      <c r="I625" s="21"/>
      <c r="J625" s="20"/>
      <c r="K625" s="20"/>
      <c r="M625" t="str">
        <f t="shared" si="126"/>
        <v>PAMPERS BABYFRESHCLEAN W 3X64/1FREE BAG</v>
      </c>
      <c r="N625" s="29" t="str">
        <f t="shared" si="127"/>
        <v xml:space="preserve"> Proctor &amp; Wager</v>
      </c>
      <c r="O625" t="str">
        <f t="shared" si="128"/>
        <v>PAMPERS (PROCTER &amp; GAMBLE)</v>
      </c>
      <c r="P625" t="str">
        <f t="shared" si="130"/>
        <v xml:space="preserve"> Proctor &amp; Wager</v>
      </c>
      <c r="R625" t="str">
        <f t="shared" si="129"/>
        <v>PAMPERS (PROCTER &amp; GAMBLE)</v>
      </c>
      <c r="T625" t="s">
        <v>537</v>
      </c>
      <c r="U625" t="str">
        <f t="shared" si="131"/>
        <v>BAGS</v>
      </c>
      <c r="V625" t="str">
        <f t="shared" si="132"/>
        <v>WITHOUT EXTRA PROTECTCARE INDICATION</v>
      </c>
      <c r="W625" t="str">
        <f t="shared" si="133"/>
        <v>64</v>
      </c>
      <c r="X625" s="27">
        <f t="shared" si="134"/>
        <v>0</v>
      </c>
      <c r="Y625" s="27">
        <f t="shared" si="135"/>
        <v>0</v>
      </c>
      <c r="Z625" s="27">
        <f t="shared" si="136"/>
        <v>8.9800000000000005E-2</v>
      </c>
      <c r="AA625" s="27">
        <f t="shared" si="137"/>
        <v>0</v>
      </c>
      <c r="AB625" s="27">
        <f t="shared" si="138"/>
        <v>0</v>
      </c>
      <c r="AC625" s="27">
        <f t="shared" si="139"/>
        <v>1.9842</v>
      </c>
    </row>
    <row r="626" spans="1:29" ht="15" customHeight="1" x14ac:dyDescent="0.3">
      <c r="A626" s="22" t="s">
        <v>539</v>
      </c>
      <c r="B626" s="23" t="s">
        <v>8</v>
      </c>
      <c r="C626" s="23" t="s">
        <v>9</v>
      </c>
      <c r="D626" s="24" t="s">
        <v>10</v>
      </c>
      <c r="E626" s="24" t="s">
        <v>37</v>
      </c>
      <c r="F626" s="18"/>
      <c r="G626" s="19"/>
      <c r="H626" s="20">
        <v>0.16889999999999999</v>
      </c>
      <c r="I626" s="21"/>
      <c r="J626" s="20"/>
      <c r="K626" s="20">
        <v>4.3247</v>
      </c>
      <c r="M626" t="str">
        <f t="shared" si="126"/>
        <v>PAMPERS BABYFRESHCLEAN W 6X64/2BRFR BAG</v>
      </c>
      <c r="N626" s="29" t="str">
        <f t="shared" si="127"/>
        <v xml:space="preserve"> Proctor &amp; Wager</v>
      </c>
      <c r="O626" t="str">
        <f t="shared" si="128"/>
        <v>PAMPERS (PROCTER &amp; GAMBLE)</v>
      </c>
      <c r="P626" t="str">
        <f t="shared" si="130"/>
        <v xml:space="preserve"> Proctor &amp; Wager</v>
      </c>
      <c r="R626" t="str">
        <f t="shared" si="129"/>
        <v>PAMPERS (PROCTER &amp; GAMBLE)</v>
      </c>
      <c r="T626" t="s">
        <v>538</v>
      </c>
      <c r="U626" t="str">
        <f t="shared" si="131"/>
        <v>BAGS</v>
      </c>
      <c r="V626" t="str">
        <f t="shared" si="132"/>
        <v>WITHOUT EXTRA PROTECTCARE INDICATION</v>
      </c>
      <c r="W626" t="str">
        <f t="shared" si="133"/>
        <v>64</v>
      </c>
      <c r="X626" s="27">
        <f t="shared" si="134"/>
        <v>0</v>
      </c>
      <c r="Y626" s="27">
        <f t="shared" si="135"/>
        <v>0</v>
      </c>
      <c r="Z626" s="27">
        <f t="shared" si="136"/>
        <v>0</v>
      </c>
      <c r="AA626" s="27">
        <f t="shared" si="137"/>
        <v>0</v>
      </c>
      <c r="AB626" s="27">
        <f t="shared" si="138"/>
        <v>0</v>
      </c>
      <c r="AC626" s="27">
        <f t="shared" si="139"/>
        <v>0</v>
      </c>
    </row>
    <row r="627" spans="1:29" ht="15" customHeight="1" x14ac:dyDescent="0.3">
      <c r="A627" s="22" t="s">
        <v>540</v>
      </c>
      <c r="B627" s="23" t="s">
        <v>8</v>
      </c>
      <c r="C627" s="23" t="s">
        <v>9</v>
      </c>
      <c r="D627" s="24" t="s">
        <v>10</v>
      </c>
      <c r="E627" s="24" t="s">
        <v>37</v>
      </c>
      <c r="F627" s="18">
        <v>4.2949000000000002</v>
      </c>
      <c r="G627" s="19">
        <v>0.33839999999999998</v>
      </c>
      <c r="H627" s="20"/>
      <c r="I627" s="21">
        <v>87.926599999999993</v>
      </c>
      <c r="J627" s="20">
        <v>6.2496999999999998</v>
      </c>
      <c r="K627" s="20"/>
      <c r="M627" t="str">
        <f t="shared" si="126"/>
        <v>PAMPERS CLEAN&amp;PLAY 64 BAG</v>
      </c>
      <c r="N627" s="29" t="str">
        <f t="shared" si="127"/>
        <v xml:space="preserve"> Proctor &amp; Wager</v>
      </c>
      <c r="O627" t="str">
        <f t="shared" si="128"/>
        <v>PAMPERS (PROCTER &amp; GAMBLE)</v>
      </c>
      <c r="P627" t="str">
        <f t="shared" si="130"/>
        <v xml:space="preserve"> Proctor &amp; Wager</v>
      </c>
      <c r="R627" t="str">
        <f t="shared" si="129"/>
        <v>PAMPERS (PROCTER &amp; GAMBLE)</v>
      </c>
      <c r="T627" t="s">
        <v>539</v>
      </c>
      <c r="U627" t="str">
        <f t="shared" si="131"/>
        <v>BAGS</v>
      </c>
      <c r="V627" t="str">
        <f t="shared" si="132"/>
        <v>WITHOUT EXTRA PROTECTCARE INDICATION</v>
      </c>
      <c r="W627" t="str">
        <f t="shared" si="133"/>
        <v>64</v>
      </c>
      <c r="X627" s="27">
        <f t="shared" si="134"/>
        <v>0</v>
      </c>
      <c r="Y627" s="27">
        <f t="shared" si="135"/>
        <v>0</v>
      </c>
      <c r="Z627" s="27">
        <f t="shared" si="136"/>
        <v>0.16889999999999999</v>
      </c>
      <c r="AA627" s="27">
        <f t="shared" si="137"/>
        <v>0</v>
      </c>
      <c r="AB627" s="27">
        <f t="shared" si="138"/>
        <v>0</v>
      </c>
      <c r="AC627" s="27">
        <f t="shared" si="139"/>
        <v>4.3247</v>
      </c>
    </row>
    <row r="628" spans="1:29" ht="15" customHeight="1" x14ac:dyDescent="0.3">
      <c r="A628" s="22" t="s">
        <v>541</v>
      </c>
      <c r="B628" s="23" t="s">
        <v>8</v>
      </c>
      <c r="C628" s="23" t="s">
        <v>9</v>
      </c>
      <c r="D628" s="24" t="s">
        <v>10</v>
      </c>
      <c r="E628" s="24" t="s">
        <v>37</v>
      </c>
      <c r="F628" s="18">
        <v>13.5303</v>
      </c>
      <c r="G628" s="19">
        <v>2.3972000000000002</v>
      </c>
      <c r="H628" s="20">
        <v>0.73670000000000002</v>
      </c>
      <c r="I628" s="21">
        <v>272.4522</v>
      </c>
      <c r="J628" s="20">
        <v>43.2258</v>
      </c>
      <c r="K628" s="20">
        <v>13.669700000000001</v>
      </c>
      <c r="M628" t="str">
        <f t="shared" si="126"/>
        <v>PAMPERS NATURAL CLEAN W 64 BAG KAPAK</v>
      </c>
      <c r="N628" s="29" t="str">
        <f t="shared" si="127"/>
        <v xml:space="preserve"> Proctor &amp; Wager</v>
      </c>
      <c r="O628" t="str">
        <f t="shared" si="128"/>
        <v>PAMPERS (PROCTER &amp; GAMBLE)</v>
      </c>
      <c r="P628" t="str">
        <f t="shared" si="130"/>
        <v xml:space="preserve"> Proctor &amp; Wager</v>
      </c>
      <c r="R628" t="str">
        <f t="shared" si="129"/>
        <v>PAMPERS (PROCTER &amp; GAMBLE)</v>
      </c>
      <c r="T628" t="s">
        <v>540</v>
      </c>
      <c r="U628" t="str">
        <f t="shared" si="131"/>
        <v>BAGS</v>
      </c>
      <c r="V628" t="str">
        <f t="shared" si="132"/>
        <v>WITHOUT EXTRA PROTECTCARE INDICATION</v>
      </c>
      <c r="W628" t="str">
        <f t="shared" si="133"/>
        <v>64</v>
      </c>
      <c r="X628" s="27">
        <f t="shared" si="134"/>
        <v>4.2949000000000002</v>
      </c>
      <c r="Y628" s="27">
        <f t="shared" si="135"/>
        <v>0.33839999999999998</v>
      </c>
      <c r="Z628" s="27">
        <f t="shared" si="136"/>
        <v>0</v>
      </c>
      <c r="AA628" s="27">
        <f t="shared" si="137"/>
        <v>87.926599999999993</v>
      </c>
      <c r="AB628" s="27">
        <f t="shared" si="138"/>
        <v>6.2496999999999998</v>
      </c>
      <c r="AC628" s="27">
        <f t="shared" si="139"/>
        <v>0</v>
      </c>
    </row>
    <row r="629" spans="1:29" ht="15" customHeight="1" x14ac:dyDescent="0.3">
      <c r="A629" s="22" t="s">
        <v>542</v>
      </c>
      <c r="B629" s="23" t="s">
        <v>8</v>
      </c>
      <c r="C629" s="23" t="s">
        <v>9</v>
      </c>
      <c r="D629" s="24" t="s">
        <v>10</v>
      </c>
      <c r="E629" s="24" t="s">
        <v>37</v>
      </c>
      <c r="F629" s="18">
        <v>8.9724000000000004</v>
      </c>
      <c r="G629" s="19">
        <v>2.3250000000000002</v>
      </c>
      <c r="H629" s="20">
        <v>9.6000000000000002E-2</v>
      </c>
      <c r="I629" s="21">
        <v>202.00700000000001</v>
      </c>
      <c r="J629" s="20">
        <v>55.267699999999998</v>
      </c>
      <c r="K629" s="20">
        <v>2.0488</v>
      </c>
      <c r="M629" t="str">
        <f t="shared" si="126"/>
        <v>PAMPERS NATURALCLEAN FRAGR.FREE W 64 BAG</v>
      </c>
      <c r="N629" s="29" t="str">
        <f t="shared" si="127"/>
        <v xml:space="preserve"> Proctor &amp; Wager</v>
      </c>
      <c r="O629" t="str">
        <f t="shared" si="128"/>
        <v>PAMPERS (PROCTER &amp; GAMBLE)</v>
      </c>
      <c r="P629" t="str">
        <f t="shared" si="130"/>
        <v xml:space="preserve"> Proctor &amp; Wager</v>
      </c>
      <c r="R629" t="str">
        <f t="shared" si="129"/>
        <v>PAMPERS (PROCTER &amp; GAMBLE)</v>
      </c>
      <c r="T629" t="s">
        <v>541</v>
      </c>
      <c r="U629" t="str">
        <f t="shared" si="131"/>
        <v>BAGS</v>
      </c>
      <c r="V629" t="str">
        <f t="shared" si="132"/>
        <v>WITHOUT EXTRA PROTECTCARE INDICATION</v>
      </c>
      <c r="W629" t="str">
        <f t="shared" si="133"/>
        <v>64</v>
      </c>
      <c r="X629" s="27">
        <f t="shared" si="134"/>
        <v>13.5303</v>
      </c>
      <c r="Y629" s="27">
        <f t="shared" si="135"/>
        <v>2.3972000000000002</v>
      </c>
      <c r="Z629" s="27">
        <f t="shared" si="136"/>
        <v>0.73670000000000002</v>
      </c>
      <c r="AA629" s="27">
        <f t="shared" si="137"/>
        <v>272.4522</v>
      </c>
      <c r="AB629" s="27">
        <f t="shared" si="138"/>
        <v>43.2258</v>
      </c>
      <c r="AC629" s="27">
        <f t="shared" si="139"/>
        <v>13.669700000000001</v>
      </c>
    </row>
    <row r="630" spans="1:29" ht="15" customHeight="1" x14ac:dyDescent="0.3">
      <c r="A630" s="22" t="s">
        <v>543</v>
      </c>
      <c r="B630" s="23" t="s">
        <v>8</v>
      </c>
      <c r="C630" s="23" t="s">
        <v>9</v>
      </c>
      <c r="D630" s="24" t="s">
        <v>10</v>
      </c>
      <c r="E630" s="24" t="s">
        <v>37</v>
      </c>
      <c r="F630" s="18">
        <v>0.24310000000000001</v>
      </c>
      <c r="G630" s="19">
        <v>0.1048</v>
      </c>
      <c r="H630" s="20"/>
      <c r="I630" s="21">
        <v>5.5039999999999996</v>
      </c>
      <c r="J630" s="20">
        <v>2.3589000000000002</v>
      </c>
      <c r="K630" s="20"/>
      <c r="M630" t="str">
        <f t="shared" si="126"/>
        <v>PAMPERS NATURALLY CLEAN W 4X64 BAG</v>
      </c>
      <c r="N630" s="29" t="str">
        <f t="shared" si="127"/>
        <v xml:space="preserve"> Proctor &amp; Wager</v>
      </c>
      <c r="O630" t="str">
        <f t="shared" si="128"/>
        <v>PAMPERS (PROCTER &amp; GAMBLE)</v>
      </c>
      <c r="P630" t="str">
        <f t="shared" si="130"/>
        <v xml:space="preserve"> Proctor &amp; Wager</v>
      </c>
      <c r="R630" t="str">
        <f t="shared" si="129"/>
        <v>PAMPERS (PROCTER &amp; GAMBLE)</v>
      </c>
      <c r="T630" t="s">
        <v>542</v>
      </c>
      <c r="U630" t="str">
        <f t="shared" si="131"/>
        <v>BAGS</v>
      </c>
      <c r="V630" t="str">
        <f t="shared" si="132"/>
        <v>WITHOUT EXTRA PROTECTCARE INDICATION</v>
      </c>
      <c r="W630" t="str">
        <f t="shared" si="133"/>
        <v>64</v>
      </c>
      <c r="X630" s="27">
        <f t="shared" si="134"/>
        <v>8.9724000000000004</v>
      </c>
      <c r="Y630" s="27">
        <f t="shared" si="135"/>
        <v>2.3250000000000002</v>
      </c>
      <c r="Z630" s="27">
        <f t="shared" si="136"/>
        <v>9.6000000000000002E-2</v>
      </c>
      <c r="AA630" s="27">
        <f t="shared" si="137"/>
        <v>202.00700000000001</v>
      </c>
      <c r="AB630" s="27">
        <f t="shared" si="138"/>
        <v>55.267699999999998</v>
      </c>
      <c r="AC630" s="27">
        <f t="shared" si="139"/>
        <v>2.0488</v>
      </c>
    </row>
    <row r="631" spans="1:29" ht="15" customHeight="1" x14ac:dyDescent="0.3">
      <c r="A631" s="22" t="s">
        <v>544</v>
      </c>
      <c r="B631" s="23" t="s">
        <v>8</v>
      </c>
      <c r="C631" s="23" t="s">
        <v>9</v>
      </c>
      <c r="D631" s="24" t="s">
        <v>10</v>
      </c>
      <c r="E631" s="24" t="s">
        <v>37</v>
      </c>
      <c r="F631" s="18"/>
      <c r="G631" s="19"/>
      <c r="H631" s="20"/>
      <c r="I631" s="21"/>
      <c r="J631" s="20"/>
      <c r="K631" s="20"/>
      <c r="M631" t="str">
        <f t="shared" si="126"/>
        <v>PAMPERS NATURALLY CLEAN+CHAMOMILE W 2X64</v>
      </c>
      <c r="N631" s="29" t="str">
        <f t="shared" si="127"/>
        <v xml:space="preserve"> Proctor &amp; Wager</v>
      </c>
      <c r="O631" t="str">
        <f t="shared" si="128"/>
        <v>PAMPERS (PROCTER &amp; GAMBLE)</v>
      </c>
      <c r="P631" t="str">
        <f t="shared" si="130"/>
        <v xml:space="preserve"> Proctor &amp; Wager</v>
      </c>
      <c r="R631" t="str">
        <f t="shared" si="129"/>
        <v>PAMPERS (PROCTER &amp; GAMBLE)</v>
      </c>
      <c r="T631" t="s">
        <v>543</v>
      </c>
      <c r="U631" t="str">
        <f t="shared" si="131"/>
        <v>BAGS</v>
      </c>
      <c r="V631" t="str">
        <f t="shared" si="132"/>
        <v>WITHOUT EXTRA PROTECTCARE INDICATION</v>
      </c>
      <c r="W631" t="str">
        <f t="shared" si="133"/>
        <v>64</v>
      </c>
      <c r="X631" s="27">
        <f t="shared" si="134"/>
        <v>0.24310000000000001</v>
      </c>
      <c r="Y631" s="27">
        <f t="shared" si="135"/>
        <v>0.1048</v>
      </c>
      <c r="Z631" s="27">
        <f t="shared" si="136"/>
        <v>0</v>
      </c>
      <c r="AA631" s="27">
        <f t="shared" si="137"/>
        <v>5.5039999999999996</v>
      </c>
      <c r="AB631" s="27">
        <f t="shared" si="138"/>
        <v>2.3589000000000002</v>
      </c>
      <c r="AC631" s="27">
        <f t="shared" si="139"/>
        <v>0</v>
      </c>
    </row>
    <row r="632" spans="1:29" ht="15" customHeight="1" x14ac:dyDescent="0.3">
      <c r="A632" s="22" t="s">
        <v>545</v>
      </c>
      <c r="B632" s="23" t="s">
        <v>8</v>
      </c>
      <c r="C632" s="23" t="s">
        <v>9</v>
      </c>
      <c r="D632" s="24" t="s">
        <v>10</v>
      </c>
      <c r="E632" s="24" t="s">
        <v>37</v>
      </c>
      <c r="F632" s="18"/>
      <c r="G632" s="19"/>
      <c r="H632" s="20"/>
      <c r="I632" s="21"/>
      <c r="J632" s="20"/>
      <c r="K632" s="20"/>
      <c r="M632" t="str">
        <f t="shared" si="126"/>
        <v>PAMPERS NATURALLYCLEAN+CHAMOMILE W64 BAG</v>
      </c>
      <c r="N632" s="29" t="str">
        <f t="shared" si="127"/>
        <v xml:space="preserve"> Proctor &amp; Wager</v>
      </c>
      <c r="O632" t="str">
        <f t="shared" si="128"/>
        <v>PAMPERS (PROCTER &amp; GAMBLE)</v>
      </c>
      <c r="P632" t="str">
        <f t="shared" si="130"/>
        <v xml:space="preserve"> Proctor &amp; Wager</v>
      </c>
      <c r="R632" t="str">
        <f t="shared" si="129"/>
        <v>PAMPERS (PROCTER &amp; GAMBLE)</v>
      </c>
      <c r="T632" t="s">
        <v>544</v>
      </c>
      <c r="U632" t="str">
        <f t="shared" si="131"/>
        <v>BAGS</v>
      </c>
      <c r="V632" t="str">
        <f t="shared" si="132"/>
        <v>WITHOUT EXTRA PROTECTCARE INDICATION</v>
      </c>
      <c r="W632" t="str">
        <f t="shared" si="133"/>
        <v>64</v>
      </c>
      <c r="X632" s="27">
        <f t="shared" si="134"/>
        <v>0</v>
      </c>
      <c r="Y632" s="27">
        <f t="shared" si="135"/>
        <v>0</v>
      </c>
      <c r="Z632" s="27">
        <f t="shared" si="136"/>
        <v>0</v>
      </c>
      <c r="AA632" s="27">
        <f t="shared" si="137"/>
        <v>0</v>
      </c>
      <c r="AB632" s="27">
        <f t="shared" si="138"/>
        <v>0</v>
      </c>
      <c r="AC632" s="27">
        <f t="shared" si="139"/>
        <v>0</v>
      </c>
    </row>
    <row r="633" spans="1:29" ht="15" customHeight="1" x14ac:dyDescent="0.3">
      <c r="A633" s="22" t="s">
        <v>546</v>
      </c>
      <c r="B633" s="23" t="s">
        <v>8</v>
      </c>
      <c r="C633" s="23" t="s">
        <v>9</v>
      </c>
      <c r="D633" s="24" t="s">
        <v>30</v>
      </c>
      <c r="E633" s="24" t="s">
        <v>17</v>
      </c>
      <c r="F633" s="18">
        <v>299.24509999999998</v>
      </c>
      <c r="G633" s="19">
        <v>239.40260000000001</v>
      </c>
      <c r="H633" s="20">
        <v>70.132900000000006</v>
      </c>
      <c r="I633" s="21">
        <v>8505.4575000000004</v>
      </c>
      <c r="J633" s="20">
        <v>6543.0663999999997</v>
      </c>
      <c r="K633" s="20">
        <v>1626.3281999999999</v>
      </c>
      <c r="M633" t="str">
        <f t="shared" si="126"/>
        <v>PAMPERS NATURALLYCLEAN+CHAMOMILE4X64/1FR</v>
      </c>
      <c r="N633" s="29" t="str">
        <f t="shared" si="127"/>
        <v xml:space="preserve"> Proctor &amp; Wager</v>
      </c>
      <c r="O633" t="str">
        <f t="shared" si="128"/>
        <v>PAMPERS (PROCTER &amp; GAMBLE)</v>
      </c>
      <c r="P633" t="str">
        <f t="shared" si="130"/>
        <v xml:space="preserve"> Proctor &amp; Wager</v>
      </c>
      <c r="R633" t="str">
        <f t="shared" si="129"/>
        <v>PAMPERS (PROCTER &amp; GAMBLE)</v>
      </c>
      <c r="T633" t="s">
        <v>545</v>
      </c>
      <c r="U633" t="str">
        <f t="shared" si="131"/>
        <v>BAGS</v>
      </c>
      <c r="V633" t="str">
        <f t="shared" si="132"/>
        <v>WITHOUT EXTRA PROTECTCARE INDICATION</v>
      </c>
      <c r="W633" t="str">
        <f t="shared" si="133"/>
        <v>64</v>
      </c>
      <c r="X633" s="27">
        <f t="shared" si="134"/>
        <v>0</v>
      </c>
      <c r="Y633" s="27">
        <f t="shared" si="135"/>
        <v>0</v>
      </c>
      <c r="Z633" s="27">
        <f t="shared" si="136"/>
        <v>0</v>
      </c>
      <c r="AA633" s="27">
        <f t="shared" si="137"/>
        <v>0</v>
      </c>
      <c r="AB633" s="27">
        <f t="shared" si="138"/>
        <v>0</v>
      </c>
      <c r="AC633" s="27">
        <f t="shared" si="139"/>
        <v>0</v>
      </c>
    </row>
    <row r="634" spans="1:29" ht="15" customHeight="1" x14ac:dyDescent="0.3">
      <c r="A634" s="22" t="s">
        <v>547</v>
      </c>
      <c r="B634" s="23" t="s">
        <v>8</v>
      </c>
      <c r="C634" s="23" t="s">
        <v>9</v>
      </c>
      <c r="D634" s="24" t="s">
        <v>64</v>
      </c>
      <c r="E634" s="24" t="s">
        <v>17</v>
      </c>
      <c r="F634" s="18">
        <v>228.9504</v>
      </c>
      <c r="G634" s="19">
        <v>220.107</v>
      </c>
      <c r="H634" s="20">
        <v>99.616699999999994</v>
      </c>
      <c r="I634" s="21">
        <v>6068.1558999999997</v>
      </c>
      <c r="J634" s="20">
        <v>5788.4287000000004</v>
      </c>
      <c r="K634" s="20">
        <v>2377.8838000000001</v>
      </c>
      <c r="M634" t="str">
        <f t="shared" si="126"/>
        <v>PAMPERS BABY FRESH CLEAN XXL W 80 BAG</v>
      </c>
      <c r="N634" s="29" t="str">
        <f t="shared" si="127"/>
        <v xml:space="preserve"> Proctor &amp; Wager</v>
      </c>
      <c r="O634" t="str">
        <f t="shared" si="128"/>
        <v>PAMPERS (PROCTER &amp; GAMBLE)</v>
      </c>
      <c r="P634" t="str">
        <f t="shared" si="130"/>
        <v xml:space="preserve"> Proctor &amp; Wager</v>
      </c>
      <c r="R634" t="str">
        <f t="shared" si="129"/>
        <v>PAMPERS (PROCTER &amp; GAMBLE)</v>
      </c>
      <c r="T634" t="s">
        <v>546</v>
      </c>
      <c r="U634" t="str">
        <f t="shared" si="131"/>
        <v>BAGS</v>
      </c>
      <c r="V634" t="str">
        <f t="shared" si="132"/>
        <v>ALCOHOL FREE</v>
      </c>
      <c r="W634" t="str">
        <f t="shared" si="133"/>
        <v>80</v>
      </c>
      <c r="X634" s="27">
        <f t="shared" si="134"/>
        <v>299.24509999999998</v>
      </c>
      <c r="Y634" s="27">
        <f t="shared" si="135"/>
        <v>239.40260000000001</v>
      </c>
      <c r="Z634" s="27">
        <f t="shared" si="136"/>
        <v>70.132900000000006</v>
      </c>
      <c r="AA634" s="27">
        <f t="shared" si="137"/>
        <v>8505.4575000000004</v>
      </c>
      <c r="AB634" s="27">
        <f t="shared" si="138"/>
        <v>6543.0663999999997</v>
      </c>
      <c r="AC634" s="27">
        <f t="shared" si="139"/>
        <v>1626.3281999999999</v>
      </c>
    </row>
    <row r="635" spans="1:29" ht="15" customHeight="1" x14ac:dyDescent="0.3">
      <c r="A635" s="22" t="s">
        <v>548</v>
      </c>
      <c r="B635" s="23" t="s">
        <v>8</v>
      </c>
      <c r="C635" s="23" t="s">
        <v>9</v>
      </c>
      <c r="D635" s="24" t="s">
        <v>30</v>
      </c>
      <c r="E635" s="24" t="s">
        <v>549</v>
      </c>
      <c r="F635" s="18"/>
      <c r="G635" s="19"/>
      <c r="H635" s="20">
        <v>4.2099999999999999E-2</v>
      </c>
      <c r="I635" s="21"/>
      <c r="J635" s="20"/>
      <c r="K635" s="20">
        <v>0.45</v>
      </c>
      <c r="M635" t="str">
        <f t="shared" si="126"/>
        <v>PAMPERS SENSITIVE PH5.5 XXL 80 BAG</v>
      </c>
      <c r="N635" s="29" t="str">
        <f t="shared" si="127"/>
        <v xml:space="preserve"> Proctor &amp; Wager</v>
      </c>
      <c r="O635" t="str">
        <f t="shared" si="128"/>
        <v>PAMPERS (PROCTER &amp; GAMBLE)</v>
      </c>
      <c r="P635" t="str">
        <f t="shared" si="130"/>
        <v xml:space="preserve"> Proctor &amp; Wager</v>
      </c>
      <c r="R635" t="str">
        <f t="shared" si="129"/>
        <v>PAMPERS (PROCTER &amp; GAMBLE)</v>
      </c>
      <c r="T635" t="s">
        <v>547</v>
      </c>
      <c r="U635" t="str">
        <f t="shared" si="131"/>
        <v>BAGS</v>
      </c>
      <c r="V635" t="str">
        <f t="shared" si="132"/>
        <v>SENSITIVE</v>
      </c>
      <c r="W635" t="str">
        <f t="shared" si="133"/>
        <v>80</v>
      </c>
      <c r="X635" s="27">
        <f t="shared" si="134"/>
        <v>228.9504</v>
      </c>
      <c r="Y635" s="27">
        <f t="shared" si="135"/>
        <v>220.107</v>
      </c>
      <c r="Z635" s="27">
        <f t="shared" si="136"/>
        <v>99.616699999999994</v>
      </c>
      <c r="AA635" s="27">
        <f t="shared" si="137"/>
        <v>6068.1558999999997</v>
      </c>
      <c r="AB635" s="27">
        <f t="shared" si="138"/>
        <v>5788.4287000000004</v>
      </c>
      <c r="AC635" s="27">
        <f t="shared" si="139"/>
        <v>2377.8838000000001</v>
      </c>
    </row>
    <row r="636" spans="1:29" ht="15" customHeight="1" x14ac:dyDescent="0.3">
      <c r="A636" s="22" t="s">
        <v>550</v>
      </c>
      <c r="B636" s="23" t="s">
        <v>8</v>
      </c>
      <c r="C636" s="23" t="s">
        <v>9</v>
      </c>
      <c r="D636" s="24" t="s">
        <v>30</v>
      </c>
      <c r="E636" s="24" t="s">
        <v>549</v>
      </c>
      <c r="F636" s="18"/>
      <c r="G636" s="19"/>
      <c r="H636" s="20">
        <v>0.3543</v>
      </c>
      <c r="I636" s="21"/>
      <c r="J636" s="20"/>
      <c r="K636" s="20">
        <v>4.1279000000000003</v>
      </c>
      <c r="M636" t="str">
        <f t="shared" si="126"/>
        <v>PAMPERS HARMONIE COCO AL.FREE 3X42 BAG</v>
      </c>
      <c r="N636" s="29" t="str">
        <f t="shared" si="127"/>
        <v xml:space="preserve"> Proctor &amp; Wager</v>
      </c>
      <c r="O636" t="str">
        <f t="shared" si="128"/>
        <v>PAMPERS (PROCTER &amp; GAMBLE)</v>
      </c>
      <c r="P636" t="str">
        <f t="shared" si="130"/>
        <v xml:space="preserve"> Proctor &amp; Wager</v>
      </c>
      <c r="R636" t="str">
        <f t="shared" si="129"/>
        <v>PAMPERS (PROCTER &amp; GAMBLE)</v>
      </c>
      <c r="T636" t="s">
        <v>548</v>
      </c>
      <c r="U636" t="str">
        <f t="shared" si="131"/>
        <v>BAGS</v>
      </c>
      <c r="V636" t="str">
        <f t="shared" si="132"/>
        <v>ALCOHOL FREE</v>
      </c>
      <c r="W636" t="str">
        <f t="shared" si="133"/>
        <v>42.0000</v>
      </c>
      <c r="X636" s="27">
        <f t="shared" si="134"/>
        <v>0</v>
      </c>
      <c r="Y636" s="27">
        <f t="shared" si="135"/>
        <v>0</v>
      </c>
      <c r="Z636" s="27">
        <f t="shared" si="136"/>
        <v>4.2099999999999999E-2</v>
      </c>
      <c r="AA636" s="27">
        <f t="shared" si="137"/>
        <v>0</v>
      </c>
      <c r="AB636" s="27">
        <f t="shared" si="138"/>
        <v>0</v>
      </c>
      <c r="AC636" s="27">
        <f t="shared" si="139"/>
        <v>0.45</v>
      </c>
    </row>
    <row r="637" spans="1:29" ht="15" customHeight="1" x14ac:dyDescent="0.3">
      <c r="A637" s="22" t="s">
        <v>551</v>
      </c>
      <c r="B637" s="23" t="s">
        <v>8</v>
      </c>
      <c r="C637" s="23" t="s">
        <v>9</v>
      </c>
      <c r="D637" s="24" t="s">
        <v>30</v>
      </c>
      <c r="E637" s="24" t="s">
        <v>549</v>
      </c>
      <c r="F637" s="18">
        <v>9.0039999999999996</v>
      </c>
      <c r="G637" s="19">
        <v>27.005199999999999</v>
      </c>
      <c r="H637" s="20">
        <v>7.3737000000000004</v>
      </c>
      <c r="I637" s="21">
        <v>168.55369999999999</v>
      </c>
      <c r="J637" s="20">
        <v>470.04379999999998</v>
      </c>
      <c r="K637" s="20">
        <v>117.492</v>
      </c>
      <c r="M637" t="str">
        <f t="shared" si="126"/>
        <v>PAMPERS HARMONIE COCO AL.FREE 42 BAG</v>
      </c>
      <c r="N637" s="29" t="str">
        <f t="shared" si="127"/>
        <v xml:space="preserve"> Proctor &amp; Wager</v>
      </c>
      <c r="O637" t="str">
        <f t="shared" si="128"/>
        <v>PAMPERS (PROCTER &amp; GAMBLE)</v>
      </c>
      <c r="P637" t="str">
        <f t="shared" si="130"/>
        <v xml:space="preserve"> Proctor &amp; Wager</v>
      </c>
      <c r="R637" t="str">
        <f t="shared" si="129"/>
        <v>PAMPERS (PROCTER &amp; GAMBLE)</v>
      </c>
      <c r="T637" t="s">
        <v>550</v>
      </c>
      <c r="U637" t="str">
        <f t="shared" si="131"/>
        <v>BAGS</v>
      </c>
      <c r="V637" t="str">
        <f t="shared" si="132"/>
        <v>ALCOHOL FREE</v>
      </c>
      <c r="W637" t="str">
        <f t="shared" si="133"/>
        <v>42.0000</v>
      </c>
      <c r="X637" s="27">
        <f t="shared" si="134"/>
        <v>0</v>
      </c>
      <c r="Y637" s="27">
        <f t="shared" si="135"/>
        <v>0</v>
      </c>
      <c r="Z637" s="27">
        <f t="shared" si="136"/>
        <v>0.3543</v>
      </c>
      <c r="AA637" s="27">
        <f t="shared" si="137"/>
        <v>0</v>
      </c>
      <c r="AB637" s="27">
        <f t="shared" si="138"/>
        <v>0</v>
      </c>
      <c r="AC637" s="27">
        <f t="shared" si="139"/>
        <v>4.1279000000000003</v>
      </c>
    </row>
    <row r="638" spans="1:29" ht="15" customHeight="1" x14ac:dyDescent="0.3">
      <c r="A638" s="22" t="s">
        <v>552</v>
      </c>
      <c r="B638" s="23" t="s">
        <v>8</v>
      </c>
      <c r="C638" s="23" t="s">
        <v>9</v>
      </c>
      <c r="D638" s="24" t="s">
        <v>30</v>
      </c>
      <c r="E638" s="24" t="s">
        <v>549</v>
      </c>
      <c r="F638" s="18">
        <v>9.5648</v>
      </c>
      <c r="G638" s="19">
        <v>36.633899999999997</v>
      </c>
      <c r="H638" s="20">
        <v>14.959</v>
      </c>
      <c r="I638" s="21">
        <v>136.73179999999999</v>
      </c>
      <c r="J638" s="20">
        <v>512.46489999999994</v>
      </c>
      <c r="K638" s="20">
        <v>178.05029999999999</v>
      </c>
      <c r="M638" t="str">
        <f t="shared" si="126"/>
        <v>PAMPERS PURE COCONUT AL.FREE 3X42 BAG</v>
      </c>
      <c r="N638" s="29" t="str">
        <f t="shared" si="127"/>
        <v xml:space="preserve"> Proctor &amp; Wager</v>
      </c>
      <c r="O638" t="str">
        <f t="shared" si="128"/>
        <v>PAMPERS (PROCTER &amp; GAMBLE)</v>
      </c>
      <c r="P638" t="str">
        <f t="shared" si="130"/>
        <v xml:space="preserve"> Proctor &amp; Wager</v>
      </c>
      <c r="R638" t="str">
        <f t="shared" si="129"/>
        <v>PAMPERS (PROCTER &amp; GAMBLE)</v>
      </c>
      <c r="T638" t="s">
        <v>551</v>
      </c>
      <c r="U638" t="str">
        <f t="shared" si="131"/>
        <v>BAGS</v>
      </c>
      <c r="V638" t="str">
        <f t="shared" si="132"/>
        <v>ALCOHOL FREE</v>
      </c>
      <c r="W638" t="str">
        <f t="shared" si="133"/>
        <v>42.0000</v>
      </c>
      <c r="X638" s="27">
        <f t="shared" si="134"/>
        <v>9.0039999999999996</v>
      </c>
      <c r="Y638" s="27">
        <f t="shared" si="135"/>
        <v>27.005199999999999</v>
      </c>
      <c r="Z638" s="27">
        <f t="shared" si="136"/>
        <v>7.3737000000000004</v>
      </c>
      <c r="AA638" s="27">
        <f t="shared" si="137"/>
        <v>168.55369999999999</v>
      </c>
      <c r="AB638" s="27">
        <f t="shared" si="138"/>
        <v>470.04379999999998</v>
      </c>
      <c r="AC638" s="27">
        <f t="shared" si="139"/>
        <v>117.492</v>
      </c>
    </row>
    <row r="639" spans="1:29" ht="15" customHeight="1" x14ac:dyDescent="0.3">
      <c r="A639" s="22" t="s">
        <v>553</v>
      </c>
      <c r="B639" s="23" t="s">
        <v>8</v>
      </c>
      <c r="C639" s="23" t="s">
        <v>9</v>
      </c>
      <c r="D639" s="24" t="s">
        <v>10</v>
      </c>
      <c r="E639" s="24" t="s">
        <v>42</v>
      </c>
      <c r="F639" s="18">
        <v>0.18679999999999999</v>
      </c>
      <c r="G639" s="19"/>
      <c r="H639" s="20"/>
      <c r="I639" s="21">
        <v>4.4957000000000003</v>
      </c>
      <c r="J639" s="20"/>
      <c r="K639" s="20"/>
      <c r="M639" t="str">
        <f t="shared" si="126"/>
        <v>PAMPERS PURE COCONUT AL.FREE 42 BAG</v>
      </c>
      <c r="N639" s="29" t="str">
        <f t="shared" si="127"/>
        <v xml:space="preserve"> Proctor &amp; Wager</v>
      </c>
      <c r="O639" t="str">
        <f t="shared" si="128"/>
        <v>PAMPERS (PROCTER &amp; GAMBLE)</v>
      </c>
      <c r="P639" t="str">
        <f t="shared" si="130"/>
        <v xml:space="preserve"> Proctor &amp; Wager</v>
      </c>
      <c r="R639" t="str">
        <f t="shared" si="129"/>
        <v>PAMPERS (PROCTER &amp; GAMBLE)</v>
      </c>
      <c r="T639" t="s">
        <v>552</v>
      </c>
      <c r="U639" t="str">
        <f t="shared" si="131"/>
        <v>BAGS</v>
      </c>
      <c r="V639" t="str">
        <f t="shared" si="132"/>
        <v>ALCOHOL FREE</v>
      </c>
      <c r="W639" t="str">
        <f t="shared" si="133"/>
        <v>42.0000</v>
      </c>
      <c r="X639" s="27">
        <f t="shared" si="134"/>
        <v>9.5648</v>
      </c>
      <c r="Y639" s="27">
        <f t="shared" si="135"/>
        <v>36.633899999999997</v>
      </c>
      <c r="Z639" s="27">
        <f t="shared" si="136"/>
        <v>14.959</v>
      </c>
      <c r="AA639" s="27">
        <f t="shared" si="137"/>
        <v>136.73179999999999</v>
      </c>
      <c r="AB639" s="27">
        <f t="shared" si="138"/>
        <v>512.46489999999994</v>
      </c>
      <c r="AC639" s="27">
        <f t="shared" si="139"/>
        <v>178.05029999999999</v>
      </c>
    </row>
    <row r="640" spans="1:29" ht="15" customHeight="1" x14ac:dyDescent="0.3">
      <c r="A640" s="22" t="s">
        <v>554</v>
      </c>
      <c r="B640" s="23" t="s">
        <v>8</v>
      </c>
      <c r="C640" s="23" t="s">
        <v>555</v>
      </c>
      <c r="D640" s="24" t="s">
        <v>64</v>
      </c>
      <c r="E640" s="24" t="s">
        <v>34</v>
      </c>
      <c r="F640" s="18">
        <v>0.2319</v>
      </c>
      <c r="G640" s="19"/>
      <c r="H640" s="20"/>
      <c r="I640" s="21">
        <v>3.4005999999999998</v>
      </c>
      <c r="J640" s="20"/>
      <c r="K640" s="20"/>
      <c r="M640" t="str">
        <f t="shared" si="126"/>
        <v>PAMPERS 72 R BAG</v>
      </c>
      <c r="N640" s="29" t="str">
        <f t="shared" si="127"/>
        <v xml:space="preserve"> Proctor &amp; Wager</v>
      </c>
      <c r="O640" t="str">
        <f t="shared" si="128"/>
        <v>PAMPERS (PROCTER &amp; GAMBLE)</v>
      </c>
      <c r="P640" t="str">
        <f t="shared" si="130"/>
        <v xml:space="preserve"> Proctor &amp; Wager</v>
      </c>
      <c r="R640" t="str">
        <f t="shared" si="129"/>
        <v>PAMPERS (PROCTER &amp; GAMBLE)</v>
      </c>
      <c r="T640" t="s">
        <v>553</v>
      </c>
      <c r="U640" t="str">
        <f t="shared" si="131"/>
        <v>BAGS</v>
      </c>
      <c r="V640" t="str">
        <f t="shared" si="132"/>
        <v>WITHOUT EXTRA PROTECTCARE INDICATION</v>
      </c>
      <c r="W640" t="str">
        <f t="shared" si="133"/>
        <v>72</v>
      </c>
      <c r="X640" s="27">
        <f t="shared" si="134"/>
        <v>0.18679999999999999</v>
      </c>
      <c r="Y640" s="27">
        <f t="shared" si="135"/>
        <v>0</v>
      </c>
      <c r="Z640" s="27">
        <f t="shared" si="136"/>
        <v>0</v>
      </c>
      <c r="AA640" s="27">
        <f t="shared" si="137"/>
        <v>4.4957000000000003</v>
      </c>
      <c r="AB640" s="27">
        <f t="shared" si="138"/>
        <v>0</v>
      </c>
      <c r="AC640" s="27">
        <f t="shared" si="139"/>
        <v>0</v>
      </c>
    </row>
    <row r="641" spans="1:29" ht="15" customHeight="1" x14ac:dyDescent="0.3">
      <c r="A641" s="14" t="s">
        <v>556</v>
      </c>
      <c r="B641" s="15" t="s">
        <v>6</v>
      </c>
      <c r="C641" s="16"/>
      <c r="D641" s="17"/>
      <c r="E641" s="17"/>
      <c r="F641" s="18">
        <v>0.373</v>
      </c>
      <c r="G641" s="19">
        <v>1.12E-2</v>
      </c>
      <c r="H641" s="20"/>
      <c r="I641" s="21">
        <v>7.2888000000000002</v>
      </c>
      <c r="J641" s="20">
        <v>0.2389</v>
      </c>
      <c r="K641" s="20"/>
      <c r="M641" t="str">
        <f t="shared" si="126"/>
        <v>PAMPERS SENSITIVE 56 BOX</v>
      </c>
      <c r="N641" s="29" t="str">
        <f t="shared" si="127"/>
        <v xml:space="preserve"> Proctor &amp; Wager</v>
      </c>
      <c r="O641" t="str">
        <f t="shared" si="128"/>
        <v>PAMPERS (PROCTER &amp; GAMBLE)</v>
      </c>
      <c r="P641" t="str">
        <f t="shared" si="130"/>
        <v xml:space="preserve"> Proctor &amp; Wager</v>
      </c>
      <c r="R641" t="str">
        <f t="shared" si="129"/>
        <v>PAMPERS (PROCTER &amp; GAMBLE)</v>
      </c>
      <c r="T641" t="s">
        <v>554</v>
      </c>
      <c r="U641" t="str">
        <f t="shared" si="131"/>
        <v>BOX</v>
      </c>
      <c r="V641" t="str">
        <f t="shared" si="132"/>
        <v>SENSITIVE</v>
      </c>
      <c r="W641" t="str">
        <f t="shared" si="133"/>
        <v>56</v>
      </c>
      <c r="X641" s="27">
        <f t="shared" si="134"/>
        <v>0.2319</v>
      </c>
      <c r="Y641" s="27">
        <f t="shared" si="135"/>
        <v>0</v>
      </c>
      <c r="Z641" s="27">
        <f t="shared" si="136"/>
        <v>0</v>
      </c>
      <c r="AA641" s="27">
        <f t="shared" si="137"/>
        <v>3.4005999999999998</v>
      </c>
      <c r="AB641" s="27">
        <f t="shared" si="138"/>
        <v>0</v>
      </c>
      <c r="AC641" s="27">
        <f t="shared" si="139"/>
        <v>0</v>
      </c>
    </row>
    <row r="642" spans="1:29" ht="15" customHeight="1" x14ac:dyDescent="0.3">
      <c r="A642" s="22" t="s">
        <v>557</v>
      </c>
      <c r="B642" s="23" t="s">
        <v>8</v>
      </c>
      <c r="C642" s="23" t="s">
        <v>9</v>
      </c>
      <c r="D642" s="24" t="s">
        <v>64</v>
      </c>
      <c r="E642" s="24" t="s">
        <v>34</v>
      </c>
      <c r="F642" s="18">
        <v>0.2671</v>
      </c>
      <c r="G642" s="19"/>
      <c r="H642" s="20"/>
      <c r="I642" s="21">
        <v>5.0296000000000003</v>
      </c>
      <c r="J642" s="20"/>
      <c r="K642" s="20"/>
      <c r="M642" t="str">
        <f t="shared" si="126"/>
        <v/>
      </c>
      <c r="N642" s="29" t="str">
        <f t="shared" si="127"/>
        <v xml:space="preserve"> Proctor &amp; Wager</v>
      </c>
      <c r="O642" t="str">
        <f t="shared" si="128"/>
        <v>PAMPERS (PROCTER &amp; GAMBLE)</v>
      </c>
      <c r="P642" t="str">
        <f t="shared" si="130"/>
        <v/>
      </c>
      <c r="R642" t="str">
        <f t="shared" si="129"/>
        <v/>
      </c>
      <c r="T642" t="s">
        <v>871</v>
      </c>
      <c r="U642" t="str">
        <f t="shared" si="131"/>
        <v/>
      </c>
      <c r="V642" t="str">
        <f t="shared" si="132"/>
        <v/>
      </c>
      <c r="W642" t="str">
        <f t="shared" si="133"/>
        <v/>
      </c>
      <c r="X642" s="27" t="str">
        <f t="shared" si="134"/>
        <v/>
      </c>
      <c r="Y642" s="27" t="str">
        <f t="shared" si="135"/>
        <v/>
      </c>
      <c r="Z642" s="27" t="str">
        <f t="shared" si="136"/>
        <v/>
      </c>
      <c r="AA642" s="27" t="str">
        <f t="shared" si="137"/>
        <v/>
      </c>
      <c r="AB642" s="27" t="str">
        <f t="shared" si="138"/>
        <v/>
      </c>
      <c r="AC642" s="27" t="str">
        <f t="shared" si="139"/>
        <v/>
      </c>
    </row>
    <row r="643" spans="1:29" ht="15" customHeight="1" x14ac:dyDescent="0.3">
      <c r="A643" s="22" t="s">
        <v>825</v>
      </c>
      <c r="B643" s="23" t="s">
        <v>8</v>
      </c>
      <c r="C643" s="23" t="s">
        <v>9</v>
      </c>
      <c r="D643" s="24" t="s">
        <v>10</v>
      </c>
      <c r="E643" s="24" t="s">
        <v>37</v>
      </c>
      <c r="F643" s="18">
        <v>0.10589999999999999</v>
      </c>
      <c r="G643" s="19">
        <v>1.12E-2</v>
      </c>
      <c r="H643" s="20"/>
      <c r="I643" s="21">
        <v>2.2591999999999999</v>
      </c>
      <c r="J643" s="20">
        <v>0.2389</v>
      </c>
      <c r="K643" s="20"/>
      <c r="M643" t="str">
        <f t="shared" si="126"/>
        <v>PRIMA HASSAS CILTLER W 56 BAG</v>
      </c>
      <c r="N643" s="29" t="str">
        <f t="shared" si="127"/>
        <v xml:space="preserve"> Proctor &amp; Wager</v>
      </c>
      <c r="O643" t="str">
        <f t="shared" si="128"/>
        <v>PRIMA (PROCTER &amp; GAMBLE)</v>
      </c>
      <c r="P643" t="str">
        <f t="shared" si="130"/>
        <v xml:space="preserve"> Proctor &amp; Wager</v>
      </c>
      <c r="R643" t="str">
        <f t="shared" si="129"/>
        <v>PRIMA (PROCTER &amp; GAMBLE)</v>
      </c>
      <c r="T643" t="s">
        <v>557</v>
      </c>
      <c r="U643" t="str">
        <f t="shared" si="131"/>
        <v>BAGS</v>
      </c>
      <c r="V643" t="str">
        <f t="shared" si="132"/>
        <v>SENSITIVE</v>
      </c>
      <c r="W643" t="str">
        <f t="shared" si="133"/>
        <v>56</v>
      </c>
      <c r="X643" s="27">
        <f t="shared" si="134"/>
        <v>0.2671</v>
      </c>
      <c r="Y643" s="27">
        <f t="shared" si="135"/>
        <v>0</v>
      </c>
      <c r="Z643" s="27">
        <f t="shared" si="136"/>
        <v>0</v>
      </c>
      <c r="AA643" s="27">
        <f t="shared" si="137"/>
        <v>5.0296000000000003</v>
      </c>
      <c r="AB643" s="27">
        <f t="shared" si="138"/>
        <v>0</v>
      </c>
      <c r="AC643" s="27">
        <f t="shared" si="139"/>
        <v>0</v>
      </c>
    </row>
    <row r="644" spans="1:29" ht="14.25" customHeight="1" x14ac:dyDescent="0.3">
      <c r="A644" s="25" t="s">
        <v>792</v>
      </c>
      <c r="B644" s="4" t="s">
        <v>5</v>
      </c>
      <c r="C644" s="4"/>
      <c r="D644" s="5"/>
      <c r="E644" s="5"/>
      <c r="F644" s="10">
        <v>12.300599999999999</v>
      </c>
      <c r="G644" s="11">
        <v>12.544</v>
      </c>
      <c r="H644" s="12">
        <v>8.6647999999999996</v>
      </c>
      <c r="I644" s="13">
        <v>127.5915</v>
      </c>
      <c r="J644" s="12">
        <v>142.6704</v>
      </c>
      <c r="K644" s="12">
        <v>110.39149999999999</v>
      </c>
      <c r="M644" t="str">
        <f t="shared" si="126"/>
        <v>PRIMA  FreshClean ALOE W 64 BAG</v>
      </c>
      <c r="N644" s="29" t="str">
        <f t="shared" si="127"/>
        <v xml:space="preserve"> Proctor &amp; Wager</v>
      </c>
      <c r="O644" t="str">
        <f t="shared" si="128"/>
        <v>PRIMA (PROCTER &amp; GAMBLE)</v>
      </c>
      <c r="P644" t="str">
        <f t="shared" si="130"/>
        <v xml:space="preserve"> Proctor &amp; Wager</v>
      </c>
      <c r="R644" t="str">
        <f t="shared" si="129"/>
        <v>PRIMA (PROCTER &amp; GAMBLE)</v>
      </c>
      <c r="T644" t="s">
        <v>825</v>
      </c>
      <c r="U644" t="str">
        <f t="shared" si="131"/>
        <v>BAGS</v>
      </c>
      <c r="V644" t="str">
        <f t="shared" si="132"/>
        <v>WITHOUT EXTRA PROTECTCARE INDICATION</v>
      </c>
      <c r="W644" t="str">
        <f t="shared" si="133"/>
        <v>64</v>
      </c>
      <c r="X644" s="27">
        <f t="shared" si="134"/>
        <v>0.10589999999999999</v>
      </c>
      <c r="Y644" s="27">
        <f t="shared" si="135"/>
        <v>1.12E-2</v>
      </c>
      <c r="Z644" s="27">
        <f t="shared" si="136"/>
        <v>0</v>
      </c>
      <c r="AA644" s="27">
        <f t="shared" si="137"/>
        <v>2.2591999999999999</v>
      </c>
      <c r="AB644" s="27">
        <f t="shared" si="138"/>
        <v>0.2389</v>
      </c>
      <c r="AC644" s="27">
        <f t="shared" si="139"/>
        <v>0</v>
      </c>
    </row>
    <row r="645" spans="1:29" ht="15" customHeight="1" x14ac:dyDescent="0.3">
      <c r="A645" s="14" t="s">
        <v>558</v>
      </c>
      <c r="B645" s="15" t="s">
        <v>6</v>
      </c>
      <c r="C645" s="16"/>
      <c r="D645" s="17"/>
      <c r="E645" s="17"/>
      <c r="F645" s="18">
        <v>12.300599999999999</v>
      </c>
      <c r="G645" s="19">
        <v>12.544</v>
      </c>
      <c r="H645" s="20">
        <v>8.6647999999999996</v>
      </c>
      <c r="I645" s="21">
        <v>127.5915</v>
      </c>
      <c r="J645" s="20">
        <v>142.6704</v>
      </c>
      <c r="K645" s="20">
        <v>110.39149999999999</v>
      </c>
      <c r="M645" t="str">
        <f t="shared" ref="M645:M708" si="140">IF(B644="ITEM",A644,"")</f>
        <v/>
      </c>
      <c r="N645" s="29" t="str">
        <f t="shared" si="127"/>
        <v xml:space="preserve"> Proctor &amp; Wager</v>
      </c>
      <c r="O645" t="str">
        <f t="shared" si="128"/>
        <v>PRIMA (PROCTER &amp; GAMBLE)</v>
      </c>
      <c r="P645" t="str">
        <f t="shared" si="130"/>
        <v/>
      </c>
      <c r="R645" t="str">
        <f t="shared" si="129"/>
        <v/>
      </c>
      <c r="T645" t="s">
        <v>871</v>
      </c>
      <c r="U645" t="str">
        <f t="shared" si="131"/>
        <v/>
      </c>
      <c r="V645" t="str">
        <f t="shared" si="132"/>
        <v/>
      </c>
      <c r="W645" t="str">
        <f t="shared" si="133"/>
        <v/>
      </c>
      <c r="X645" s="27" t="str">
        <f t="shared" si="134"/>
        <v/>
      </c>
      <c r="Y645" s="27" t="str">
        <f t="shared" si="135"/>
        <v/>
      </c>
      <c r="Z645" s="27" t="str">
        <f t="shared" si="136"/>
        <v/>
      </c>
      <c r="AA645" s="27" t="str">
        <f t="shared" si="137"/>
        <v/>
      </c>
      <c r="AB645" s="27" t="str">
        <f t="shared" si="138"/>
        <v/>
      </c>
      <c r="AC645" s="27" t="str">
        <f t="shared" si="139"/>
        <v/>
      </c>
    </row>
    <row r="646" spans="1:29" ht="15" customHeight="1" x14ac:dyDescent="0.3">
      <c r="A646" s="22" t="s">
        <v>559</v>
      </c>
      <c r="B646" s="23" t="s">
        <v>8</v>
      </c>
      <c r="C646" s="23" t="s">
        <v>9</v>
      </c>
      <c r="D646" s="24" t="s">
        <v>249</v>
      </c>
      <c r="E646" s="24" t="s">
        <v>103</v>
      </c>
      <c r="F646" s="18">
        <v>2.1598999999999999</v>
      </c>
      <c r="G646" s="19">
        <v>5.1025</v>
      </c>
      <c r="H646" s="20">
        <v>6.3079000000000001</v>
      </c>
      <c r="I646" s="21">
        <v>36.4</v>
      </c>
      <c r="J646" s="20">
        <v>77.862799999999993</v>
      </c>
      <c r="K646" s="20">
        <v>91.042100000000005</v>
      </c>
      <c r="M646" t="str">
        <f t="shared" si="140"/>
        <v/>
      </c>
      <c r="N646" s="29" t="str">
        <f t="shared" si="127"/>
        <v xml:space="preserve"> Proctor &amp; Wager</v>
      </c>
      <c r="O646" t="str">
        <f t="shared" si="128"/>
        <v>PRIMA (PROCTER &amp; GAMBLE)</v>
      </c>
      <c r="P646" t="str">
        <f t="shared" si="130"/>
        <v/>
      </c>
      <c r="R646" t="str">
        <f t="shared" si="129"/>
        <v/>
      </c>
      <c r="T646" t="s">
        <v>871</v>
      </c>
      <c r="U646" t="str">
        <f t="shared" si="131"/>
        <v/>
      </c>
      <c r="V646" t="str">
        <f t="shared" si="132"/>
        <v/>
      </c>
      <c r="W646" t="str">
        <f t="shared" si="133"/>
        <v/>
      </c>
      <c r="X646" s="27" t="str">
        <f t="shared" si="134"/>
        <v/>
      </c>
      <c r="Y646" s="27" t="str">
        <f t="shared" si="135"/>
        <v/>
      </c>
      <c r="Z646" s="27" t="str">
        <f t="shared" si="136"/>
        <v/>
      </c>
      <c r="AA646" s="27" t="str">
        <f t="shared" si="137"/>
        <v/>
      </c>
      <c r="AB646" s="27" t="str">
        <f t="shared" si="138"/>
        <v/>
      </c>
      <c r="AC646" s="27" t="str">
        <f t="shared" si="139"/>
        <v/>
      </c>
    </row>
    <row r="647" spans="1:29" ht="15" customHeight="1" x14ac:dyDescent="0.3">
      <c r="A647" s="22" t="s">
        <v>560</v>
      </c>
      <c r="B647" s="23" t="s">
        <v>8</v>
      </c>
      <c r="C647" s="23" t="s">
        <v>9</v>
      </c>
      <c r="D647" s="24" t="s">
        <v>249</v>
      </c>
      <c r="E647" s="24" t="s">
        <v>103</v>
      </c>
      <c r="F647" s="18">
        <v>10.1408</v>
      </c>
      <c r="G647" s="19">
        <v>7.4416000000000002</v>
      </c>
      <c r="H647" s="20">
        <v>2.3571</v>
      </c>
      <c r="I647" s="21">
        <v>91.191500000000005</v>
      </c>
      <c r="J647" s="20">
        <v>64.807599999999994</v>
      </c>
      <c r="K647" s="20">
        <v>19.349299999999999</v>
      </c>
      <c r="M647" t="str">
        <f t="shared" si="140"/>
        <v>URIAGE BEBE HYPOALERGENIC W 2X70/1FR BAG</v>
      </c>
      <c r="N647" s="29" t="str">
        <f t="shared" ref="N647:N710" si="141">IF(B644="MANUFACTURER",A644,N646)</f>
        <v xml:space="preserve"> PuigPeak</v>
      </c>
      <c r="O647" t="str">
        <f t="shared" ref="O647:O710" si="142">IF(B645="BRAND",A645,O646)</f>
        <v>URIAGE (PUIG)</v>
      </c>
      <c r="P647" t="str">
        <f t="shared" si="130"/>
        <v xml:space="preserve"> PuigPeak</v>
      </c>
      <c r="R647" t="str">
        <f t="shared" ref="R647:R710" si="143">IF(B646="ITEM",O647,"")</f>
        <v>URIAGE (PUIG)</v>
      </c>
      <c r="T647" t="s">
        <v>559</v>
      </c>
      <c r="U647" t="str">
        <f t="shared" si="131"/>
        <v>BAGS</v>
      </c>
      <c r="V647" t="str">
        <f t="shared" si="132"/>
        <v>ALCOHOL FREE &amp; HYPOALLERGENIC</v>
      </c>
      <c r="W647" t="str">
        <f t="shared" si="133"/>
        <v>70</v>
      </c>
      <c r="X647" s="27">
        <f t="shared" si="134"/>
        <v>2.1598999999999999</v>
      </c>
      <c r="Y647" s="27">
        <f t="shared" si="135"/>
        <v>5.1025</v>
      </c>
      <c r="Z647" s="27">
        <f t="shared" si="136"/>
        <v>6.3079000000000001</v>
      </c>
      <c r="AA647" s="27">
        <f t="shared" si="137"/>
        <v>36.4</v>
      </c>
      <c r="AB647" s="27">
        <f t="shared" si="138"/>
        <v>77.862799999999993</v>
      </c>
      <c r="AC647" s="27">
        <f t="shared" si="139"/>
        <v>91.042100000000005</v>
      </c>
    </row>
    <row r="648" spans="1:29" ht="14.25" customHeight="1" x14ac:dyDescent="0.3">
      <c r="A648" s="25" t="s">
        <v>793</v>
      </c>
      <c r="B648" s="4" t="s">
        <v>5</v>
      </c>
      <c r="C648" s="4"/>
      <c r="D648" s="5"/>
      <c r="E648" s="5"/>
      <c r="F648" s="10"/>
      <c r="G648" s="11"/>
      <c r="H648" s="12"/>
      <c r="I648" s="13"/>
      <c r="J648" s="12"/>
      <c r="K648" s="12"/>
      <c r="M648" t="str">
        <f t="shared" si="140"/>
        <v>URIAGE BEBE HYPOALERGENIC W 70 BAG</v>
      </c>
      <c r="N648" s="29" t="str">
        <f t="shared" si="141"/>
        <v xml:space="preserve"> PuigPeak</v>
      </c>
      <c r="O648" t="str">
        <f t="shared" si="142"/>
        <v>URIAGE (PUIG)</v>
      </c>
      <c r="P648" t="str">
        <f t="shared" ref="P648:P711" si="144">IF(B647="ITEM",N648,"")</f>
        <v xml:space="preserve"> PuigPeak</v>
      </c>
      <c r="R648" t="str">
        <f t="shared" si="143"/>
        <v>URIAGE (PUIG)</v>
      </c>
      <c r="T648" t="s">
        <v>560</v>
      </c>
      <c r="U648" t="str">
        <f t="shared" ref="U648:U711" si="145">IF(B647="ITEM",C647,"")</f>
        <v>BAGS</v>
      </c>
      <c r="V648" t="str">
        <f t="shared" ref="V648:V711" si="146">IF(B647="ITEM",D647,"")</f>
        <v>ALCOHOL FREE &amp; HYPOALLERGENIC</v>
      </c>
      <c r="W648" t="str">
        <f t="shared" ref="W648:W711" si="147">IF(B647="ITEM",E647,"")</f>
        <v>70</v>
      </c>
      <c r="X648" s="27">
        <f t="shared" ref="X648:X711" si="148">IF(B647 = "ITEM",F647,"")</f>
        <v>10.1408</v>
      </c>
      <c r="Y648" s="27">
        <f t="shared" ref="Y648:Y711" si="149">IF(B647="ITEM",G647,"")</f>
        <v>7.4416000000000002</v>
      </c>
      <c r="Z648" s="27">
        <f t="shared" ref="Z648:Z711" si="150">IF(B647="ITEM",H647,"")</f>
        <v>2.3571</v>
      </c>
      <c r="AA648" s="27">
        <f t="shared" ref="AA648:AA711" si="151">IF(B647="ITEM",I647,"")</f>
        <v>91.191500000000005</v>
      </c>
      <c r="AB648" s="27">
        <f t="shared" ref="AB648:AB711" si="152">IF(B647="ITEM",J647,"")</f>
        <v>64.807599999999994</v>
      </c>
      <c r="AC648" s="27">
        <f t="shared" ref="AC648:AC711" si="153">IF(B647="ITEM",K647,"")</f>
        <v>19.349299999999999</v>
      </c>
    </row>
    <row r="649" spans="1:29" ht="15" customHeight="1" x14ac:dyDescent="0.3">
      <c r="A649" s="14" t="s">
        <v>561</v>
      </c>
      <c r="B649" s="15" t="s">
        <v>6</v>
      </c>
      <c r="C649" s="16"/>
      <c r="D649" s="17"/>
      <c r="E649" s="17"/>
      <c r="F649" s="18"/>
      <c r="G649" s="19"/>
      <c r="H649" s="20"/>
      <c r="I649" s="21"/>
      <c r="J649" s="20"/>
      <c r="K649" s="20"/>
      <c r="M649" t="str">
        <f t="shared" si="140"/>
        <v/>
      </c>
      <c r="N649" s="29" t="str">
        <f t="shared" si="141"/>
        <v xml:space="preserve"> PuigPeak</v>
      </c>
      <c r="O649" t="str">
        <f t="shared" si="142"/>
        <v>URIAGE (PUIG)</v>
      </c>
      <c r="P649" t="str">
        <f t="shared" si="144"/>
        <v/>
      </c>
      <c r="R649" t="str">
        <f t="shared" si="143"/>
        <v/>
      </c>
      <c r="T649" t="s">
        <v>871</v>
      </c>
      <c r="U649" t="str">
        <f t="shared" si="145"/>
        <v/>
      </c>
      <c r="V649" t="str">
        <f t="shared" si="146"/>
        <v/>
      </c>
      <c r="W649" t="str">
        <f t="shared" si="147"/>
        <v/>
      </c>
      <c r="X649" s="27" t="str">
        <f t="shared" si="148"/>
        <v/>
      </c>
      <c r="Y649" s="27" t="str">
        <f t="shared" si="149"/>
        <v/>
      </c>
      <c r="Z649" s="27" t="str">
        <f t="shared" si="150"/>
        <v/>
      </c>
      <c r="AA649" s="27" t="str">
        <f t="shared" si="151"/>
        <v/>
      </c>
      <c r="AB649" s="27" t="str">
        <f t="shared" si="152"/>
        <v/>
      </c>
      <c r="AC649" s="27" t="str">
        <f t="shared" si="153"/>
        <v/>
      </c>
    </row>
    <row r="650" spans="1:29" ht="15" customHeight="1" x14ac:dyDescent="0.3">
      <c r="A650" s="22" t="s">
        <v>562</v>
      </c>
      <c r="B650" s="23" t="s">
        <v>8</v>
      </c>
      <c r="C650" s="23" t="s">
        <v>9</v>
      </c>
      <c r="D650" s="24" t="s">
        <v>20</v>
      </c>
      <c r="E650" s="24" t="s">
        <v>42</v>
      </c>
      <c r="F650" s="18"/>
      <c r="G650" s="19"/>
      <c r="H650" s="20"/>
      <c r="I650" s="21"/>
      <c r="J650" s="20"/>
      <c r="K650" s="20"/>
      <c r="M650" t="str">
        <f t="shared" si="140"/>
        <v/>
      </c>
      <c r="N650" s="29" t="str">
        <f t="shared" si="141"/>
        <v xml:space="preserve"> PuigPeak</v>
      </c>
      <c r="O650" t="str">
        <f t="shared" si="142"/>
        <v>URIAGE (PUIG)</v>
      </c>
      <c r="P650" t="str">
        <f t="shared" si="144"/>
        <v/>
      </c>
      <c r="R650" t="str">
        <f t="shared" si="143"/>
        <v/>
      </c>
      <c r="T650" t="s">
        <v>871</v>
      </c>
      <c r="U650" t="str">
        <f t="shared" si="145"/>
        <v/>
      </c>
      <c r="V650" t="str">
        <f t="shared" si="146"/>
        <v/>
      </c>
      <c r="W650" t="str">
        <f t="shared" si="147"/>
        <v/>
      </c>
      <c r="X650" s="27" t="str">
        <f t="shared" si="148"/>
        <v/>
      </c>
      <c r="Y650" s="27" t="str">
        <f t="shared" si="149"/>
        <v/>
      </c>
      <c r="Z650" s="27" t="str">
        <f t="shared" si="150"/>
        <v/>
      </c>
      <c r="AA650" s="27" t="str">
        <f t="shared" si="151"/>
        <v/>
      </c>
      <c r="AB650" s="27" t="str">
        <f t="shared" si="152"/>
        <v/>
      </c>
      <c r="AC650" s="27" t="str">
        <f t="shared" si="153"/>
        <v/>
      </c>
    </row>
    <row r="651" spans="1:29" ht="14.25" customHeight="1" x14ac:dyDescent="0.3">
      <c r="A651" s="25" t="s">
        <v>794</v>
      </c>
      <c r="B651" s="4" t="s">
        <v>5</v>
      </c>
      <c r="C651" s="4"/>
      <c r="D651" s="5"/>
      <c r="E651" s="5"/>
      <c r="F651" s="10">
        <v>78.612799999999993</v>
      </c>
      <c r="G651" s="11">
        <v>83.733099999999993</v>
      </c>
      <c r="H651" s="12">
        <v>33.060899999999997</v>
      </c>
      <c r="I651" s="13">
        <v>5148.8362999999999</v>
      </c>
      <c r="J651" s="12">
        <v>5284.2040999999999</v>
      </c>
      <c r="K651" s="12">
        <v>2040.6587</v>
      </c>
      <c r="M651" t="str">
        <f t="shared" si="140"/>
        <v>BEBECAN EXTRASOFT PH5.5 ALC.FREE W 72BAG</v>
      </c>
      <c r="N651" s="29" t="str">
        <f t="shared" si="141"/>
        <v xml:space="preserve"> RameBeauty</v>
      </c>
      <c r="O651" t="str">
        <f t="shared" si="142"/>
        <v>BEBECAN (RAMER KOZMETIK)</v>
      </c>
      <c r="P651" t="str">
        <f t="shared" si="144"/>
        <v xml:space="preserve"> RameBeauty</v>
      </c>
      <c r="R651" t="str">
        <f t="shared" si="143"/>
        <v>BEBECAN (RAMER KOZMETIK)</v>
      </c>
      <c r="T651" t="s">
        <v>562</v>
      </c>
      <c r="U651" t="str">
        <f t="shared" si="145"/>
        <v>BAGS</v>
      </c>
      <c r="V651" t="str">
        <f t="shared" si="146"/>
        <v>PH BALANCED</v>
      </c>
      <c r="W651" t="str">
        <f t="shared" si="147"/>
        <v>72</v>
      </c>
      <c r="X651" s="27">
        <f t="shared" si="148"/>
        <v>0</v>
      </c>
      <c r="Y651" s="27">
        <f t="shared" si="149"/>
        <v>0</v>
      </c>
      <c r="Z651" s="27">
        <f t="shared" si="150"/>
        <v>0</v>
      </c>
      <c r="AA651" s="27">
        <f t="shared" si="151"/>
        <v>0</v>
      </c>
      <c r="AB651" s="27">
        <f t="shared" si="152"/>
        <v>0</v>
      </c>
      <c r="AC651" s="27">
        <f t="shared" si="153"/>
        <v>0</v>
      </c>
    </row>
    <row r="652" spans="1:29" ht="15" customHeight="1" x14ac:dyDescent="0.3">
      <c r="A652" s="14" t="s">
        <v>563</v>
      </c>
      <c r="B652" s="15" t="s">
        <v>6</v>
      </c>
      <c r="C652" s="16"/>
      <c r="D652" s="17"/>
      <c r="E652" s="17"/>
      <c r="F652" s="18">
        <v>12.684200000000001</v>
      </c>
      <c r="G652" s="19"/>
      <c r="H652" s="20"/>
      <c r="I652" s="21">
        <v>511.87400000000002</v>
      </c>
      <c r="J652" s="20"/>
      <c r="K652" s="20"/>
      <c r="M652" t="str">
        <f t="shared" si="140"/>
        <v/>
      </c>
      <c r="N652" s="29" t="str">
        <f t="shared" si="141"/>
        <v xml:space="preserve"> RameBeauty</v>
      </c>
      <c r="O652" t="str">
        <f t="shared" si="142"/>
        <v>BEBECAN (RAMER KOZMETIK)</v>
      </c>
      <c r="P652" t="str">
        <f t="shared" si="144"/>
        <v/>
      </c>
      <c r="R652" t="str">
        <f t="shared" si="143"/>
        <v/>
      </c>
      <c r="T652" t="s">
        <v>871</v>
      </c>
      <c r="U652" t="str">
        <f t="shared" si="145"/>
        <v/>
      </c>
      <c r="V652" t="str">
        <f t="shared" si="146"/>
        <v/>
      </c>
      <c r="W652" t="str">
        <f t="shared" si="147"/>
        <v/>
      </c>
      <c r="X652" s="27" t="str">
        <f t="shared" si="148"/>
        <v/>
      </c>
      <c r="Y652" s="27" t="str">
        <f t="shared" si="149"/>
        <v/>
      </c>
      <c r="Z652" s="27" t="str">
        <f t="shared" si="150"/>
        <v/>
      </c>
      <c r="AA652" s="27" t="str">
        <f t="shared" si="151"/>
        <v/>
      </c>
      <c r="AB652" s="27" t="str">
        <f t="shared" si="152"/>
        <v/>
      </c>
      <c r="AC652" s="27" t="str">
        <f t="shared" si="153"/>
        <v/>
      </c>
    </row>
    <row r="653" spans="1:29" ht="15" customHeight="1" x14ac:dyDescent="0.3">
      <c r="A653" s="22" t="s">
        <v>564</v>
      </c>
      <c r="B653" s="23" t="s">
        <v>8</v>
      </c>
      <c r="C653" s="23" t="s">
        <v>9</v>
      </c>
      <c r="D653" s="24" t="s">
        <v>20</v>
      </c>
      <c r="E653" s="24" t="s">
        <v>17</v>
      </c>
      <c r="F653" s="18">
        <v>2.9045000000000001</v>
      </c>
      <c r="G653" s="19"/>
      <c r="H653" s="20"/>
      <c r="I653" s="21">
        <v>116.9823</v>
      </c>
      <c r="J653" s="20"/>
      <c r="K653" s="20"/>
      <c r="M653" t="str">
        <f t="shared" si="140"/>
        <v/>
      </c>
      <c r="N653" s="29" t="str">
        <f t="shared" si="141"/>
        <v xml:space="preserve"> RameBeauty</v>
      </c>
      <c r="O653" t="str">
        <f t="shared" si="142"/>
        <v>BEBECAN (RAMER KOZMETIK)</v>
      </c>
      <c r="P653" t="str">
        <f t="shared" si="144"/>
        <v/>
      </c>
      <c r="R653" t="str">
        <f t="shared" si="143"/>
        <v/>
      </c>
      <c r="T653" t="s">
        <v>871</v>
      </c>
      <c r="U653" t="str">
        <f t="shared" si="145"/>
        <v/>
      </c>
      <c r="V653" t="str">
        <f t="shared" si="146"/>
        <v/>
      </c>
      <c r="W653" t="str">
        <f t="shared" si="147"/>
        <v/>
      </c>
      <c r="X653" s="27" t="str">
        <f t="shared" si="148"/>
        <v/>
      </c>
      <c r="Y653" s="27" t="str">
        <f t="shared" si="149"/>
        <v/>
      </c>
      <c r="Z653" s="27" t="str">
        <f t="shared" si="150"/>
        <v/>
      </c>
      <c r="AA653" s="27" t="str">
        <f t="shared" si="151"/>
        <v/>
      </c>
      <c r="AB653" s="27" t="str">
        <f t="shared" si="152"/>
        <v/>
      </c>
      <c r="AC653" s="27" t="str">
        <f t="shared" si="153"/>
        <v/>
      </c>
    </row>
    <row r="654" spans="1:29" ht="15" customHeight="1" x14ac:dyDescent="0.3">
      <c r="A654" s="22" t="s">
        <v>565</v>
      </c>
      <c r="B654" s="23" t="s">
        <v>8</v>
      </c>
      <c r="C654" s="23" t="s">
        <v>9</v>
      </c>
      <c r="D654" s="24" t="s">
        <v>10</v>
      </c>
      <c r="E654" s="24" t="s">
        <v>17</v>
      </c>
      <c r="F654" s="18">
        <v>2.9113000000000002</v>
      </c>
      <c r="G654" s="19"/>
      <c r="H654" s="20"/>
      <c r="I654" s="21">
        <v>119.83880000000001</v>
      </c>
      <c r="J654" s="20"/>
      <c r="K654" s="20"/>
      <c r="M654" t="str">
        <f t="shared" si="140"/>
        <v>BIMBO&amp;BIMBA CHAMOMILE&amp;ALOE W 80 BAG</v>
      </c>
      <c r="N654" s="29" t="str">
        <f t="shared" si="141"/>
        <v xml:space="preserve"> QueenTrade LTD</v>
      </c>
      <c r="O654" t="str">
        <f t="shared" si="142"/>
        <v>BIMBO &amp; BIMBA (REGINA TRADING LTD)</v>
      </c>
      <c r="P654" t="str">
        <f t="shared" si="144"/>
        <v xml:space="preserve"> QueenTrade LTD</v>
      </c>
      <c r="R654" t="str">
        <f t="shared" si="143"/>
        <v>BIMBO &amp; BIMBA (REGINA TRADING LTD)</v>
      </c>
      <c r="T654" t="s">
        <v>564</v>
      </c>
      <c r="U654" t="str">
        <f t="shared" si="145"/>
        <v>BAGS</v>
      </c>
      <c r="V654" t="str">
        <f t="shared" si="146"/>
        <v>PH BALANCED</v>
      </c>
      <c r="W654" t="str">
        <f t="shared" si="147"/>
        <v>80</v>
      </c>
      <c r="X654" s="27">
        <f t="shared" si="148"/>
        <v>2.9045000000000001</v>
      </c>
      <c r="Y654" s="27">
        <f t="shared" si="149"/>
        <v>0</v>
      </c>
      <c r="Z654" s="27">
        <f t="shared" si="150"/>
        <v>0</v>
      </c>
      <c r="AA654" s="27">
        <f t="shared" si="151"/>
        <v>116.9823</v>
      </c>
      <c r="AB654" s="27">
        <f t="shared" si="152"/>
        <v>0</v>
      </c>
      <c r="AC654" s="27">
        <f t="shared" si="153"/>
        <v>0</v>
      </c>
    </row>
    <row r="655" spans="1:29" ht="15" customHeight="1" x14ac:dyDescent="0.3">
      <c r="A655" s="22" t="s">
        <v>566</v>
      </c>
      <c r="B655" s="23" t="s">
        <v>8</v>
      </c>
      <c r="C655" s="23" t="s">
        <v>9</v>
      </c>
      <c r="D655" s="24" t="s">
        <v>10</v>
      </c>
      <c r="E655" s="24" t="s">
        <v>17</v>
      </c>
      <c r="F655" s="18">
        <v>4.2324000000000002</v>
      </c>
      <c r="G655" s="19"/>
      <c r="H655" s="20"/>
      <c r="I655" s="21">
        <v>171.05330000000001</v>
      </c>
      <c r="J655" s="20"/>
      <c r="K655" s="20"/>
      <c r="M655" t="str">
        <f t="shared" si="140"/>
        <v>BIMBO&amp;BIMBA CHAMOMILE&amp;CALENDULA W 80 BAG</v>
      </c>
      <c r="N655" s="29" t="str">
        <f t="shared" si="141"/>
        <v xml:space="preserve"> QueenTrade LTD</v>
      </c>
      <c r="O655" t="str">
        <f t="shared" si="142"/>
        <v>BIMBO &amp; BIMBA (REGINA TRADING LTD)</v>
      </c>
      <c r="P655" t="str">
        <f t="shared" si="144"/>
        <v xml:space="preserve"> QueenTrade LTD</v>
      </c>
      <c r="R655" t="str">
        <f t="shared" si="143"/>
        <v>BIMBO &amp; BIMBA (REGINA TRADING LTD)</v>
      </c>
      <c r="T655" t="s">
        <v>565</v>
      </c>
      <c r="U655" t="str">
        <f t="shared" si="145"/>
        <v>BAGS</v>
      </c>
      <c r="V655" t="str">
        <f t="shared" si="146"/>
        <v>WITHOUT EXTRA PROTECTCARE INDICATION</v>
      </c>
      <c r="W655" t="str">
        <f t="shared" si="147"/>
        <v>80</v>
      </c>
      <c r="X655" s="27">
        <f t="shared" si="148"/>
        <v>2.9113000000000002</v>
      </c>
      <c r="Y655" s="27">
        <f t="shared" si="149"/>
        <v>0</v>
      </c>
      <c r="Z655" s="27">
        <f t="shared" si="150"/>
        <v>0</v>
      </c>
      <c r="AA655" s="27">
        <f t="shared" si="151"/>
        <v>119.83880000000001</v>
      </c>
      <c r="AB655" s="27">
        <f t="shared" si="152"/>
        <v>0</v>
      </c>
      <c r="AC655" s="27">
        <f t="shared" si="153"/>
        <v>0</v>
      </c>
    </row>
    <row r="656" spans="1:29" ht="15" customHeight="1" x14ac:dyDescent="0.3">
      <c r="A656" s="22" t="s">
        <v>567</v>
      </c>
      <c r="B656" s="23" t="s">
        <v>8</v>
      </c>
      <c r="C656" s="23" t="s">
        <v>9</v>
      </c>
      <c r="D656" s="24" t="s">
        <v>20</v>
      </c>
      <c r="E656" s="24" t="s">
        <v>17</v>
      </c>
      <c r="F656" s="18">
        <v>2.6360000000000001</v>
      </c>
      <c r="G656" s="19"/>
      <c r="H656" s="20"/>
      <c r="I656" s="21">
        <v>103.9999</v>
      </c>
      <c r="J656" s="20"/>
      <c r="K656" s="20"/>
      <c r="M656" t="str">
        <f t="shared" si="140"/>
        <v>BIMBO&amp;BIMBA CHAMOMILE&amp;LAVENDER W 80 BAG</v>
      </c>
      <c r="N656" s="29" t="str">
        <f t="shared" si="141"/>
        <v xml:space="preserve"> QueenTrade LTD</v>
      </c>
      <c r="O656" t="str">
        <f t="shared" si="142"/>
        <v>BIMBO &amp; BIMBA (REGINA TRADING LTD)</v>
      </c>
      <c r="P656" t="str">
        <f t="shared" si="144"/>
        <v xml:space="preserve"> QueenTrade LTD</v>
      </c>
      <c r="R656" t="str">
        <f t="shared" si="143"/>
        <v>BIMBO &amp; BIMBA (REGINA TRADING LTD)</v>
      </c>
      <c r="T656" t="s">
        <v>566</v>
      </c>
      <c r="U656" t="str">
        <f t="shared" si="145"/>
        <v>BAGS</v>
      </c>
      <c r="V656" t="str">
        <f t="shared" si="146"/>
        <v>WITHOUT EXTRA PROTECTCARE INDICATION</v>
      </c>
      <c r="W656" t="str">
        <f t="shared" si="147"/>
        <v>80</v>
      </c>
      <c r="X656" s="27">
        <f t="shared" si="148"/>
        <v>4.2324000000000002</v>
      </c>
      <c r="Y656" s="27">
        <f t="shared" si="149"/>
        <v>0</v>
      </c>
      <c r="Z656" s="27">
        <f t="shared" si="150"/>
        <v>0</v>
      </c>
      <c r="AA656" s="27">
        <f t="shared" si="151"/>
        <v>171.05330000000001</v>
      </c>
      <c r="AB656" s="27">
        <f t="shared" si="152"/>
        <v>0</v>
      </c>
      <c r="AC656" s="27">
        <f t="shared" si="153"/>
        <v>0</v>
      </c>
    </row>
    <row r="657" spans="1:29" ht="15" customHeight="1" x14ac:dyDescent="0.3">
      <c r="A657" s="14" t="s">
        <v>568</v>
      </c>
      <c r="B657" s="15" t="s">
        <v>6</v>
      </c>
      <c r="C657" s="16"/>
      <c r="D657" s="17"/>
      <c r="E657" s="17"/>
      <c r="F657" s="18">
        <v>65.928700000000006</v>
      </c>
      <c r="G657" s="19">
        <v>83.733099999999993</v>
      </c>
      <c r="H657" s="20">
        <v>33.060899999999997</v>
      </c>
      <c r="I657" s="21">
        <v>4636.9623000000001</v>
      </c>
      <c r="J657" s="20">
        <v>5284.2040999999999</v>
      </c>
      <c r="K657" s="20">
        <v>2040.6587</v>
      </c>
      <c r="M657" t="str">
        <f t="shared" si="140"/>
        <v>BIMBO&amp;BIMBA CHAMOMILE&amp;SMRADLIKA W 80 BAG</v>
      </c>
      <c r="N657" s="29" t="str">
        <f t="shared" si="141"/>
        <v xml:space="preserve"> QueenTrade LTD</v>
      </c>
      <c r="O657" t="str">
        <f t="shared" si="142"/>
        <v>BIMBO &amp; BIMBA (REGINA TRADING LTD)</v>
      </c>
      <c r="P657" t="str">
        <f t="shared" si="144"/>
        <v xml:space="preserve"> QueenTrade LTD</v>
      </c>
      <c r="R657" t="str">
        <f t="shared" si="143"/>
        <v>BIMBO &amp; BIMBA (REGINA TRADING LTD)</v>
      </c>
      <c r="T657" t="s">
        <v>567</v>
      </c>
      <c r="U657" t="str">
        <f t="shared" si="145"/>
        <v>BAGS</v>
      </c>
      <c r="V657" t="str">
        <f t="shared" si="146"/>
        <v>PH BALANCED</v>
      </c>
      <c r="W657" t="str">
        <f t="shared" si="147"/>
        <v>80</v>
      </c>
      <c r="X657" s="27">
        <f t="shared" si="148"/>
        <v>2.6360000000000001</v>
      </c>
      <c r="Y657" s="27">
        <f t="shared" si="149"/>
        <v>0</v>
      </c>
      <c r="Z657" s="27">
        <f t="shared" si="150"/>
        <v>0</v>
      </c>
      <c r="AA657" s="27">
        <f t="shared" si="151"/>
        <v>103.9999</v>
      </c>
      <c r="AB657" s="27">
        <f t="shared" si="152"/>
        <v>0</v>
      </c>
      <c r="AC657" s="27">
        <f t="shared" si="153"/>
        <v>0</v>
      </c>
    </row>
    <row r="658" spans="1:29" ht="15" customHeight="1" x14ac:dyDescent="0.3">
      <c r="A658" s="22" t="s">
        <v>569</v>
      </c>
      <c r="B658" s="23" t="s">
        <v>8</v>
      </c>
      <c r="C658" s="23" t="s">
        <v>9</v>
      </c>
      <c r="D658" s="24" t="s">
        <v>20</v>
      </c>
      <c r="E658" s="24" t="s">
        <v>570</v>
      </c>
      <c r="F658" s="18">
        <v>59.2014</v>
      </c>
      <c r="G658" s="19">
        <v>82.022099999999995</v>
      </c>
      <c r="H658" s="20">
        <v>31.495899999999999</v>
      </c>
      <c r="I658" s="21">
        <v>4163.6220999999996</v>
      </c>
      <c r="J658" s="20">
        <v>5172.0583999999999</v>
      </c>
      <c r="K658" s="20">
        <v>1931.7985000000001</v>
      </c>
      <c r="M658" t="str">
        <f t="shared" si="140"/>
        <v/>
      </c>
      <c r="N658" s="29" t="str">
        <f t="shared" si="141"/>
        <v xml:space="preserve"> QueenTrade LTD</v>
      </c>
      <c r="O658" t="str">
        <f t="shared" si="142"/>
        <v>BIMBO &amp; BIMBA (REGINA TRADING LTD)</v>
      </c>
      <c r="P658" t="str">
        <f t="shared" si="144"/>
        <v/>
      </c>
      <c r="R658" t="str">
        <f t="shared" si="143"/>
        <v/>
      </c>
      <c r="T658" t="s">
        <v>871</v>
      </c>
      <c r="U658" t="str">
        <f t="shared" si="145"/>
        <v/>
      </c>
      <c r="V658" t="str">
        <f t="shared" si="146"/>
        <v/>
      </c>
      <c r="W658" t="str">
        <f t="shared" si="147"/>
        <v/>
      </c>
      <c r="X658" s="27" t="str">
        <f t="shared" si="148"/>
        <v/>
      </c>
      <c r="Y658" s="27" t="str">
        <f t="shared" si="149"/>
        <v/>
      </c>
      <c r="Z658" s="27" t="str">
        <f t="shared" si="150"/>
        <v/>
      </c>
      <c r="AA658" s="27" t="str">
        <f t="shared" si="151"/>
        <v/>
      </c>
      <c r="AB658" s="27" t="str">
        <f t="shared" si="152"/>
        <v/>
      </c>
      <c r="AC658" s="27" t="str">
        <f t="shared" si="153"/>
        <v/>
      </c>
    </row>
    <row r="659" spans="1:29" ht="15" customHeight="1" x14ac:dyDescent="0.3">
      <c r="A659" s="22" t="s">
        <v>571</v>
      </c>
      <c r="B659" s="23" t="s">
        <v>8</v>
      </c>
      <c r="C659" s="23" t="s">
        <v>9</v>
      </c>
      <c r="D659" s="24" t="s">
        <v>20</v>
      </c>
      <c r="E659" s="24" t="s">
        <v>570</v>
      </c>
      <c r="F659" s="18">
        <v>6.7272999999999996</v>
      </c>
      <c r="G659" s="19">
        <v>1.7110000000000001</v>
      </c>
      <c r="H659" s="20">
        <v>1.5649999999999999</v>
      </c>
      <c r="I659" s="21">
        <v>473.34</v>
      </c>
      <c r="J659" s="20">
        <v>112.14570000000001</v>
      </c>
      <c r="K659" s="20">
        <v>108.86020000000001</v>
      </c>
      <c r="M659" t="str">
        <f t="shared" si="140"/>
        <v>VIBELLE BABY RASPBERRY VIT E PH5.5 W 144</v>
      </c>
      <c r="N659" s="29" t="str">
        <f t="shared" si="141"/>
        <v xml:space="preserve"> QueenTrade LTD</v>
      </c>
      <c r="O659" t="str">
        <f t="shared" si="142"/>
        <v>VIBELLE (REGINA TRADING LTD)</v>
      </c>
      <c r="P659" t="str">
        <f t="shared" si="144"/>
        <v xml:space="preserve"> QueenTrade LTD</v>
      </c>
      <c r="R659" t="str">
        <f t="shared" si="143"/>
        <v>VIBELLE (REGINA TRADING LTD)</v>
      </c>
      <c r="T659" t="s">
        <v>569</v>
      </c>
      <c r="U659" t="str">
        <f t="shared" si="145"/>
        <v>BAGS</v>
      </c>
      <c r="V659" t="str">
        <f t="shared" si="146"/>
        <v>PH BALANCED</v>
      </c>
      <c r="W659" t="str">
        <f t="shared" si="147"/>
        <v>144</v>
      </c>
      <c r="X659" s="27">
        <f t="shared" si="148"/>
        <v>59.2014</v>
      </c>
      <c r="Y659" s="27">
        <f t="shared" si="149"/>
        <v>82.022099999999995</v>
      </c>
      <c r="Z659" s="27">
        <f t="shared" si="150"/>
        <v>31.495899999999999</v>
      </c>
      <c r="AA659" s="27">
        <f t="shared" si="151"/>
        <v>4163.6220999999996</v>
      </c>
      <c r="AB659" s="27">
        <f t="shared" si="152"/>
        <v>5172.0583999999999</v>
      </c>
      <c r="AC659" s="27">
        <f t="shared" si="153"/>
        <v>1931.7985000000001</v>
      </c>
    </row>
    <row r="660" spans="1:29" ht="14.25" customHeight="1" x14ac:dyDescent="0.3">
      <c r="A660" s="25" t="s">
        <v>795</v>
      </c>
      <c r="B660" s="4" t="s">
        <v>5</v>
      </c>
      <c r="C660" s="4"/>
      <c r="D660" s="5"/>
      <c r="E660" s="5"/>
      <c r="F660" s="10">
        <v>65.863699999999994</v>
      </c>
      <c r="G660" s="11">
        <v>45.340600000000002</v>
      </c>
      <c r="H660" s="12">
        <v>13.16</v>
      </c>
      <c r="I660" s="13">
        <v>4126.7388000000001</v>
      </c>
      <c r="J660" s="12">
        <v>2357.3103999999998</v>
      </c>
      <c r="K660" s="12">
        <v>741.50080000000003</v>
      </c>
      <c r="M660" t="str">
        <f t="shared" si="140"/>
        <v>VIBELLE BABY ULTRA SENS.ROSE PH5.5 W 144</v>
      </c>
      <c r="N660" s="29" t="str">
        <f t="shared" si="141"/>
        <v xml:space="preserve"> QueenTrade LTD</v>
      </c>
      <c r="O660" t="str">
        <f t="shared" si="142"/>
        <v>VIBELLE (REGINA TRADING LTD)</v>
      </c>
      <c r="P660" t="str">
        <f t="shared" si="144"/>
        <v xml:space="preserve"> QueenTrade LTD</v>
      </c>
      <c r="R660" t="str">
        <f t="shared" si="143"/>
        <v>VIBELLE (REGINA TRADING LTD)</v>
      </c>
      <c r="T660" t="s">
        <v>571</v>
      </c>
      <c r="U660" t="str">
        <f t="shared" si="145"/>
        <v>BAGS</v>
      </c>
      <c r="V660" t="str">
        <f t="shared" si="146"/>
        <v>PH BALANCED</v>
      </c>
      <c r="W660" t="str">
        <f t="shared" si="147"/>
        <v>144</v>
      </c>
      <c r="X660" s="27">
        <f t="shared" si="148"/>
        <v>6.7272999999999996</v>
      </c>
      <c r="Y660" s="27">
        <f t="shared" si="149"/>
        <v>1.7110000000000001</v>
      </c>
      <c r="Z660" s="27">
        <f t="shared" si="150"/>
        <v>1.5649999999999999</v>
      </c>
      <c r="AA660" s="27">
        <f t="shared" si="151"/>
        <v>473.34</v>
      </c>
      <c r="AB660" s="27">
        <f t="shared" si="152"/>
        <v>112.14570000000001</v>
      </c>
      <c r="AC660" s="27">
        <f t="shared" si="153"/>
        <v>108.86020000000001</v>
      </c>
    </row>
    <row r="661" spans="1:29" ht="15" customHeight="1" x14ac:dyDescent="0.3">
      <c r="A661" s="14" t="s">
        <v>572</v>
      </c>
      <c r="B661" s="15" t="s">
        <v>6</v>
      </c>
      <c r="C661" s="16"/>
      <c r="D661" s="17"/>
      <c r="E661" s="17"/>
      <c r="F661" s="18">
        <v>64.446200000000005</v>
      </c>
      <c r="G661" s="19">
        <v>43.039900000000003</v>
      </c>
      <c r="H661" s="20">
        <v>13.16</v>
      </c>
      <c r="I661" s="21">
        <v>4048.3544000000002</v>
      </c>
      <c r="J661" s="20">
        <v>2244.0173</v>
      </c>
      <c r="K661" s="20">
        <v>741.50080000000003</v>
      </c>
      <c r="M661" t="str">
        <f t="shared" si="140"/>
        <v/>
      </c>
      <c r="N661" s="29" t="str">
        <f t="shared" si="141"/>
        <v xml:space="preserve"> QueenTrade LTD</v>
      </c>
      <c r="O661" t="str">
        <f t="shared" si="142"/>
        <v>VIBELLE (REGINA TRADING LTD)</v>
      </c>
      <c r="P661" t="str">
        <f t="shared" si="144"/>
        <v/>
      </c>
      <c r="R661" t="str">
        <f t="shared" si="143"/>
        <v/>
      </c>
      <c r="T661" t="s">
        <v>871</v>
      </c>
      <c r="U661" t="str">
        <f t="shared" si="145"/>
        <v/>
      </c>
      <c r="V661" t="str">
        <f t="shared" si="146"/>
        <v/>
      </c>
      <c r="W661" t="str">
        <f t="shared" si="147"/>
        <v/>
      </c>
      <c r="X661" s="27" t="str">
        <f t="shared" si="148"/>
        <v/>
      </c>
      <c r="Y661" s="27" t="str">
        <f t="shared" si="149"/>
        <v/>
      </c>
      <c r="Z661" s="27" t="str">
        <f t="shared" si="150"/>
        <v/>
      </c>
      <c r="AA661" s="27" t="str">
        <f t="shared" si="151"/>
        <v/>
      </c>
      <c r="AB661" s="27" t="str">
        <f t="shared" si="152"/>
        <v/>
      </c>
      <c r="AC661" s="27" t="str">
        <f t="shared" si="153"/>
        <v/>
      </c>
    </row>
    <row r="662" spans="1:29" ht="15" customHeight="1" x14ac:dyDescent="0.3">
      <c r="A662" s="22" t="s">
        <v>573</v>
      </c>
      <c r="B662" s="23" t="s">
        <v>8</v>
      </c>
      <c r="C662" s="23" t="s">
        <v>9</v>
      </c>
      <c r="D662" s="24" t="s">
        <v>64</v>
      </c>
      <c r="E662" s="24" t="s">
        <v>24</v>
      </c>
      <c r="F662" s="18">
        <v>53.944000000000003</v>
      </c>
      <c r="G662" s="19">
        <v>41.741</v>
      </c>
      <c r="H662" s="20">
        <v>12.7791</v>
      </c>
      <c r="I662" s="21">
        <v>3422.2186000000002</v>
      </c>
      <c r="J662" s="20">
        <v>2176.2671999999998</v>
      </c>
      <c r="K662" s="20">
        <v>723.71550000000002</v>
      </c>
      <c r="M662" t="str">
        <f t="shared" si="140"/>
        <v/>
      </c>
      <c r="N662" s="29" t="str">
        <f t="shared" si="141"/>
        <v xml:space="preserve"> QueenTrade LTD</v>
      </c>
      <c r="O662" t="str">
        <f t="shared" si="142"/>
        <v>VIBELLE (REGINA TRADING LTD)</v>
      </c>
      <c r="P662" t="str">
        <f t="shared" si="144"/>
        <v/>
      </c>
      <c r="R662" t="str">
        <f t="shared" si="143"/>
        <v/>
      </c>
      <c r="T662" t="s">
        <v>871</v>
      </c>
      <c r="U662" t="str">
        <f t="shared" si="145"/>
        <v/>
      </c>
      <c r="V662" t="str">
        <f t="shared" si="146"/>
        <v/>
      </c>
      <c r="W662" t="str">
        <f t="shared" si="147"/>
        <v/>
      </c>
      <c r="X662" s="27" t="str">
        <f t="shared" si="148"/>
        <v/>
      </c>
      <c r="Y662" s="27" t="str">
        <f t="shared" si="149"/>
        <v/>
      </c>
      <c r="Z662" s="27" t="str">
        <f t="shared" si="150"/>
        <v/>
      </c>
      <c r="AA662" s="27" t="str">
        <f t="shared" si="151"/>
        <v/>
      </c>
      <c r="AB662" s="27" t="str">
        <f t="shared" si="152"/>
        <v/>
      </c>
      <c r="AC662" s="27" t="str">
        <f t="shared" si="153"/>
        <v/>
      </c>
    </row>
    <row r="663" spans="1:29" ht="15" customHeight="1" x14ac:dyDescent="0.3">
      <c r="A663" s="22" t="s">
        <v>574</v>
      </c>
      <c r="B663" s="23" t="s">
        <v>8</v>
      </c>
      <c r="C663" s="23" t="s">
        <v>9</v>
      </c>
      <c r="D663" s="24" t="s">
        <v>64</v>
      </c>
      <c r="E663" s="24" t="s">
        <v>42</v>
      </c>
      <c r="F663" s="18">
        <v>10.5024</v>
      </c>
      <c r="G663" s="19">
        <v>1.2988</v>
      </c>
      <c r="H663" s="20">
        <v>0.38090000000000002</v>
      </c>
      <c r="I663" s="21">
        <v>626.13580000000002</v>
      </c>
      <c r="J663" s="20">
        <v>67.750100000000003</v>
      </c>
      <c r="K663" s="20">
        <v>17.785299999999999</v>
      </c>
      <c r="M663" t="str">
        <f t="shared" si="140"/>
        <v>BELUX BABY SENS.CREAM LOTION W 120 BAG</v>
      </c>
      <c r="N663" s="29" t="str">
        <f t="shared" si="141"/>
        <v xml:space="preserve"> ColorSan</v>
      </c>
      <c r="O663" t="str">
        <f t="shared" si="142"/>
        <v>BELUX (RENKSAN)</v>
      </c>
      <c r="P663" t="str">
        <f t="shared" si="144"/>
        <v xml:space="preserve"> ColorSan</v>
      </c>
      <c r="R663" t="str">
        <f t="shared" si="143"/>
        <v>BELUX (RENKSAN)</v>
      </c>
      <c r="T663" t="s">
        <v>573</v>
      </c>
      <c r="U663" t="str">
        <f t="shared" si="145"/>
        <v>BAGS</v>
      </c>
      <c r="V663" t="str">
        <f t="shared" si="146"/>
        <v>SENSITIVE</v>
      </c>
      <c r="W663" t="str">
        <f t="shared" si="147"/>
        <v>120</v>
      </c>
      <c r="X663" s="27">
        <f t="shared" si="148"/>
        <v>53.944000000000003</v>
      </c>
      <c r="Y663" s="27">
        <f t="shared" si="149"/>
        <v>41.741</v>
      </c>
      <c r="Z663" s="27">
        <f t="shared" si="150"/>
        <v>12.7791</v>
      </c>
      <c r="AA663" s="27">
        <f t="shared" si="151"/>
        <v>3422.2186000000002</v>
      </c>
      <c r="AB663" s="27">
        <f t="shared" si="152"/>
        <v>2176.2671999999998</v>
      </c>
      <c r="AC663" s="27">
        <f t="shared" si="153"/>
        <v>723.71550000000002</v>
      </c>
    </row>
    <row r="664" spans="1:29" ht="15" customHeight="1" x14ac:dyDescent="0.3">
      <c r="A664" s="14" t="s">
        <v>575</v>
      </c>
      <c r="B664" s="15" t="s">
        <v>6</v>
      </c>
      <c r="C664" s="16"/>
      <c r="D664" s="17"/>
      <c r="E664" s="17"/>
      <c r="F664" s="18">
        <v>1.4174</v>
      </c>
      <c r="G664" s="19">
        <v>2.3006000000000002</v>
      </c>
      <c r="H664" s="20"/>
      <c r="I664" s="21">
        <v>78.384500000000003</v>
      </c>
      <c r="J664" s="20">
        <v>113.29300000000001</v>
      </c>
      <c r="K664" s="20"/>
      <c r="M664" t="str">
        <f t="shared" si="140"/>
        <v>BELUX ULTRA SENSITIVE W 120/48GRATIS BAG</v>
      </c>
      <c r="N664" s="29" t="str">
        <f t="shared" si="141"/>
        <v xml:space="preserve"> ColorSan</v>
      </c>
      <c r="O664" t="str">
        <f t="shared" si="142"/>
        <v>BELUX (RENKSAN)</v>
      </c>
      <c r="P664" t="str">
        <f t="shared" si="144"/>
        <v xml:space="preserve"> ColorSan</v>
      </c>
      <c r="R664" t="str">
        <f t="shared" si="143"/>
        <v>BELUX (RENKSAN)</v>
      </c>
      <c r="T664" t="s">
        <v>574</v>
      </c>
      <c r="U664" t="str">
        <f t="shared" si="145"/>
        <v>BAGS</v>
      </c>
      <c r="V664" t="str">
        <f t="shared" si="146"/>
        <v>SENSITIVE</v>
      </c>
      <c r="W664" t="str">
        <f t="shared" si="147"/>
        <v>72</v>
      </c>
      <c r="X664" s="27">
        <f t="shared" si="148"/>
        <v>10.5024</v>
      </c>
      <c r="Y664" s="27">
        <f t="shared" si="149"/>
        <v>1.2988</v>
      </c>
      <c r="Z664" s="27">
        <f t="shared" si="150"/>
        <v>0.38090000000000002</v>
      </c>
      <c r="AA664" s="27">
        <f t="shared" si="151"/>
        <v>626.13580000000002</v>
      </c>
      <c r="AB664" s="27">
        <f t="shared" si="152"/>
        <v>67.750100000000003</v>
      </c>
      <c r="AC664" s="27">
        <f t="shared" si="153"/>
        <v>17.785299999999999</v>
      </c>
    </row>
    <row r="665" spans="1:29" ht="15" customHeight="1" x14ac:dyDescent="0.3">
      <c r="A665" s="22" t="s">
        <v>576</v>
      </c>
      <c r="B665" s="23" t="s">
        <v>8</v>
      </c>
      <c r="C665" s="23" t="s">
        <v>9</v>
      </c>
      <c r="D665" s="24" t="s">
        <v>20</v>
      </c>
      <c r="E665" s="24" t="s">
        <v>84</v>
      </c>
      <c r="F665" s="18">
        <v>1.4174</v>
      </c>
      <c r="G665" s="19">
        <v>2.3006000000000002</v>
      </c>
      <c r="H665" s="20"/>
      <c r="I665" s="21">
        <v>78.384500000000003</v>
      </c>
      <c r="J665" s="20">
        <v>113.29300000000001</v>
      </c>
      <c r="K665" s="20"/>
      <c r="M665" t="str">
        <f t="shared" si="140"/>
        <v/>
      </c>
      <c r="N665" s="29" t="str">
        <f t="shared" si="141"/>
        <v xml:space="preserve"> ColorSan</v>
      </c>
      <c r="O665" t="str">
        <f t="shared" si="142"/>
        <v>BELUX (RENKSAN)</v>
      </c>
      <c r="P665" t="str">
        <f t="shared" si="144"/>
        <v/>
      </c>
      <c r="R665" t="str">
        <f t="shared" si="143"/>
        <v/>
      </c>
      <c r="T665" t="s">
        <v>871</v>
      </c>
      <c r="U665" t="str">
        <f t="shared" si="145"/>
        <v/>
      </c>
      <c r="V665" t="str">
        <f t="shared" si="146"/>
        <v/>
      </c>
      <c r="W665" t="str">
        <f t="shared" si="147"/>
        <v/>
      </c>
      <c r="X665" s="27" t="str">
        <f t="shared" si="148"/>
        <v/>
      </c>
      <c r="Y665" s="27" t="str">
        <f t="shared" si="149"/>
        <v/>
      </c>
      <c r="Z665" s="27" t="str">
        <f t="shared" si="150"/>
        <v/>
      </c>
      <c r="AA665" s="27" t="str">
        <f t="shared" si="151"/>
        <v/>
      </c>
      <c r="AB665" s="27" t="str">
        <f t="shared" si="152"/>
        <v/>
      </c>
      <c r="AC665" s="27" t="str">
        <f t="shared" si="153"/>
        <v/>
      </c>
    </row>
    <row r="666" spans="1:29" ht="14.25" customHeight="1" x14ac:dyDescent="0.3">
      <c r="A666" s="25" t="s">
        <v>796</v>
      </c>
      <c r="B666" s="4" t="s">
        <v>5</v>
      </c>
      <c r="C666" s="4"/>
      <c r="D666" s="5"/>
      <c r="E666" s="5"/>
      <c r="F666" s="10">
        <v>2.9096000000000002</v>
      </c>
      <c r="G666" s="11">
        <v>6.0198</v>
      </c>
      <c r="H666" s="12">
        <v>5.5109000000000004</v>
      </c>
      <c r="I666" s="13">
        <v>55.366500000000002</v>
      </c>
      <c r="J666" s="12">
        <v>108.4705</v>
      </c>
      <c r="K666" s="12">
        <v>98.710099999999997</v>
      </c>
      <c r="M666" t="str">
        <f t="shared" si="140"/>
        <v>SECKIN PROVITB5 PH5.5 ALC.FREE W 102 BAG</v>
      </c>
      <c r="N666" s="29" t="str">
        <f t="shared" si="141"/>
        <v xml:space="preserve"> ColorSan</v>
      </c>
      <c r="O666" t="str">
        <f t="shared" si="142"/>
        <v>SECKIN (RENKSAN)</v>
      </c>
      <c r="P666" t="str">
        <f t="shared" si="144"/>
        <v xml:space="preserve"> ColorSan</v>
      </c>
      <c r="R666" t="str">
        <f t="shared" si="143"/>
        <v>SECKIN (RENKSAN)</v>
      </c>
      <c r="T666" t="s">
        <v>576</v>
      </c>
      <c r="U666" t="str">
        <f t="shared" si="145"/>
        <v>BAGS</v>
      </c>
      <c r="V666" t="str">
        <f t="shared" si="146"/>
        <v>PH BALANCED</v>
      </c>
      <c r="W666" t="str">
        <f t="shared" si="147"/>
        <v>102</v>
      </c>
      <c r="X666" s="27">
        <f t="shared" si="148"/>
        <v>1.4174</v>
      </c>
      <c r="Y666" s="27">
        <f t="shared" si="149"/>
        <v>2.3006000000000002</v>
      </c>
      <c r="Z666" s="27">
        <f t="shared" si="150"/>
        <v>0</v>
      </c>
      <c r="AA666" s="27">
        <f t="shared" si="151"/>
        <v>78.384500000000003</v>
      </c>
      <c r="AB666" s="27">
        <f t="shared" si="152"/>
        <v>113.29300000000001</v>
      </c>
      <c r="AC666" s="27">
        <f t="shared" si="153"/>
        <v>0</v>
      </c>
    </row>
    <row r="667" spans="1:29" ht="15" customHeight="1" x14ac:dyDescent="0.3">
      <c r="A667" s="14" t="s">
        <v>577</v>
      </c>
      <c r="B667" s="15" t="s">
        <v>6</v>
      </c>
      <c r="C667" s="16"/>
      <c r="D667" s="17"/>
      <c r="E667" s="17"/>
      <c r="F667" s="18">
        <v>2.9096000000000002</v>
      </c>
      <c r="G667" s="19">
        <v>6.0198</v>
      </c>
      <c r="H667" s="20">
        <v>5.5109000000000004</v>
      </c>
      <c r="I667" s="21">
        <v>55.366500000000002</v>
      </c>
      <c r="J667" s="20">
        <v>108.4705</v>
      </c>
      <c r="K667" s="20">
        <v>98.710099999999997</v>
      </c>
      <c r="M667" t="str">
        <f t="shared" si="140"/>
        <v/>
      </c>
      <c r="N667" s="29" t="str">
        <f t="shared" si="141"/>
        <v xml:space="preserve"> ColorSan</v>
      </c>
      <c r="O667" t="str">
        <f t="shared" si="142"/>
        <v>SECKIN (RENKSAN)</v>
      </c>
      <c r="P667" t="str">
        <f t="shared" si="144"/>
        <v/>
      </c>
      <c r="R667" t="str">
        <f t="shared" si="143"/>
        <v/>
      </c>
      <c r="T667" t="s">
        <v>871</v>
      </c>
      <c r="U667" t="str">
        <f t="shared" si="145"/>
        <v/>
      </c>
      <c r="V667" t="str">
        <f t="shared" si="146"/>
        <v/>
      </c>
      <c r="W667" t="str">
        <f t="shared" si="147"/>
        <v/>
      </c>
      <c r="X667" s="27" t="str">
        <f t="shared" si="148"/>
        <v/>
      </c>
      <c r="Y667" s="27" t="str">
        <f t="shared" si="149"/>
        <v/>
      </c>
      <c r="Z667" s="27" t="str">
        <f t="shared" si="150"/>
        <v/>
      </c>
      <c r="AA667" s="27" t="str">
        <f t="shared" si="151"/>
        <v/>
      </c>
      <c r="AB667" s="27" t="str">
        <f t="shared" si="152"/>
        <v/>
      </c>
      <c r="AC667" s="27" t="str">
        <f t="shared" si="153"/>
        <v/>
      </c>
    </row>
    <row r="668" spans="1:29" ht="15" customHeight="1" x14ac:dyDescent="0.3">
      <c r="A668" s="22" t="s">
        <v>578</v>
      </c>
      <c r="B668" s="23" t="s">
        <v>8</v>
      </c>
      <c r="C668" s="23" t="s">
        <v>9</v>
      </c>
      <c r="D668" s="24" t="s">
        <v>69</v>
      </c>
      <c r="E668" s="24" t="s">
        <v>42</v>
      </c>
      <c r="F668" s="18">
        <v>2.9096000000000002</v>
      </c>
      <c r="G668" s="19">
        <v>6.0198</v>
      </c>
      <c r="H668" s="20">
        <v>5.5109000000000004</v>
      </c>
      <c r="I668" s="21">
        <v>55.366500000000002</v>
      </c>
      <c r="J668" s="20">
        <v>108.4705</v>
      </c>
      <c r="K668" s="20">
        <v>98.710099999999997</v>
      </c>
      <c r="M668" t="str">
        <f t="shared" si="140"/>
        <v/>
      </c>
      <c r="N668" s="29" t="str">
        <f t="shared" si="141"/>
        <v xml:space="preserve"> ColorSan</v>
      </c>
      <c r="O668" t="str">
        <f t="shared" si="142"/>
        <v>SECKIN (RENKSAN)</v>
      </c>
      <c r="P668" t="str">
        <f t="shared" si="144"/>
        <v/>
      </c>
      <c r="R668" t="str">
        <f t="shared" si="143"/>
        <v/>
      </c>
      <c r="T668" t="s">
        <v>871</v>
      </c>
      <c r="U668" t="str">
        <f t="shared" si="145"/>
        <v/>
      </c>
      <c r="V668" t="str">
        <f t="shared" si="146"/>
        <v/>
      </c>
      <c r="W668" t="str">
        <f t="shared" si="147"/>
        <v/>
      </c>
      <c r="X668" s="27" t="str">
        <f t="shared" si="148"/>
        <v/>
      </c>
      <c r="Y668" s="27" t="str">
        <f t="shared" si="149"/>
        <v/>
      </c>
      <c r="Z668" s="27" t="str">
        <f t="shared" si="150"/>
        <v/>
      </c>
      <c r="AA668" s="27" t="str">
        <f t="shared" si="151"/>
        <v/>
      </c>
      <c r="AB668" s="27" t="str">
        <f t="shared" si="152"/>
        <v/>
      </c>
      <c r="AC668" s="27" t="str">
        <f t="shared" si="153"/>
        <v/>
      </c>
    </row>
    <row r="669" spans="1:29" ht="14.25" customHeight="1" x14ac:dyDescent="0.3">
      <c r="A669" s="25" t="s">
        <v>797</v>
      </c>
      <c r="B669" s="4" t="s">
        <v>5</v>
      </c>
      <c r="C669" s="4"/>
      <c r="D669" s="5"/>
      <c r="E669" s="5"/>
      <c r="F669" s="10"/>
      <c r="G669" s="11"/>
      <c r="H669" s="12">
        <v>9.1999999999999998E-3</v>
      </c>
      <c r="I669" s="13"/>
      <c r="J669" s="12"/>
      <c r="K669" s="12">
        <v>0.30320000000000003</v>
      </c>
      <c r="M669" t="str">
        <f t="shared" si="140"/>
        <v>SOFT CARE COTTON VIT ECHAMOMILE W 72 BAG</v>
      </c>
      <c r="N669" s="29" t="str">
        <f t="shared" si="141"/>
        <v xml:space="preserve"> SanHealth LTD</v>
      </c>
      <c r="O669" t="str">
        <f t="shared" si="142"/>
        <v>SOFT CARE (SANO LTD)</v>
      </c>
      <c r="P669" t="str">
        <f t="shared" si="144"/>
        <v xml:space="preserve"> SanHealth LTD</v>
      </c>
      <c r="R669" t="str">
        <f t="shared" si="143"/>
        <v>SOFT CARE (SANO LTD)</v>
      </c>
      <c r="T669" t="s">
        <v>578</v>
      </c>
      <c r="U669" t="str">
        <f t="shared" si="145"/>
        <v>BAGS</v>
      </c>
      <c r="V669" t="str">
        <f t="shared" si="146"/>
        <v>HYPOALLERGENIC</v>
      </c>
      <c r="W669" t="str">
        <f t="shared" si="147"/>
        <v>72</v>
      </c>
      <c r="X669" s="27">
        <f t="shared" si="148"/>
        <v>2.9096000000000002</v>
      </c>
      <c r="Y669" s="27">
        <f t="shared" si="149"/>
        <v>6.0198</v>
      </c>
      <c r="Z669" s="27">
        <f t="shared" si="150"/>
        <v>5.5109000000000004</v>
      </c>
      <c r="AA669" s="27">
        <f t="shared" si="151"/>
        <v>55.366500000000002</v>
      </c>
      <c r="AB669" s="27">
        <f t="shared" si="152"/>
        <v>108.4705</v>
      </c>
      <c r="AC669" s="27">
        <f t="shared" si="153"/>
        <v>98.710099999999997</v>
      </c>
    </row>
    <row r="670" spans="1:29" ht="15" customHeight="1" x14ac:dyDescent="0.3">
      <c r="A670" s="14" t="s">
        <v>579</v>
      </c>
      <c r="B670" s="15" t="s">
        <v>6</v>
      </c>
      <c r="C670" s="16"/>
      <c r="D670" s="17"/>
      <c r="E670" s="17"/>
      <c r="F670" s="18"/>
      <c r="G670" s="19"/>
      <c r="H670" s="20">
        <v>9.1999999999999998E-3</v>
      </c>
      <c r="I670" s="21"/>
      <c r="J670" s="20"/>
      <c r="K670" s="20">
        <v>0.30320000000000003</v>
      </c>
      <c r="M670" t="str">
        <f t="shared" si="140"/>
        <v/>
      </c>
      <c r="N670" s="29" t="str">
        <f t="shared" si="141"/>
        <v xml:space="preserve"> SanHealth LTD</v>
      </c>
      <c r="O670" t="str">
        <f t="shared" si="142"/>
        <v>SOFT CARE (SANO LTD)</v>
      </c>
      <c r="P670" t="str">
        <f t="shared" si="144"/>
        <v/>
      </c>
      <c r="R670" t="str">
        <f t="shared" si="143"/>
        <v/>
      </c>
      <c r="T670" t="s">
        <v>871</v>
      </c>
      <c r="U670" t="str">
        <f t="shared" si="145"/>
        <v/>
      </c>
      <c r="V670" t="str">
        <f t="shared" si="146"/>
        <v/>
      </c>
      <c r="W670" t="str">
        <f t="shared" si="147"/>
        <v/>
      </c>
      <c r="X670" s="27" t="str">
        <f t="shared" si="148"/>
        <v/>
      </c>
      <c r="Y670" s="27" t="str">
        <f t="shared" si="149"/>
        <v/>
      </c>
      <c r="Z670" s="27" t="str">
        <f t="shared" si="150"/>
        <v/>
      </c>
      <c r="AA670" s="27" t="str">
        <f t="shared" si="151"/>
        <v/>
      </c>
      <c r="AB670" s="27" t="str">
        <f t="shared" si="152"/>
        <v/>
      </c>
      <c r="AC670" s="27" t="str">
        <f t="shared" si="153"/>
        <v/>
      </c>
    </row>
    <row r="671" spans="1:29" ht="15" customHeight="1" x14ac:dyDescent="0.3">
      <c r="A671" s="22" t="s">
        <v>580</v>
      </c>
      <c r="B671" s="23" t="s">
        <v>8</v>
      </c>
      <c r="C671" s="23" t="s">
        <v>9</v>
      </c>
      <c r="D671" s="24" t="s">
        <v>20</v>
      </c>
      <c r="E671" s="24" t="s">
        <v>42</v>
      </c>
      <c r="F671" s="18"/>
      <c r="G671" s="19"/>
      <c r="H671" s="20">
        <v>9.1999999999999998E-3</v>
      </c>
      <c r="I671" s="21"/>
      <c r="J671" s="20"/>
      <c r="K671" s="20">
        <v>0.30320000000000003</v>
      </c>
      <c r="M671" t="str">
        <f t="shared" si="140"/>
        <v/>
      </c>
      <c r="N671" s="29" t="str">
        <f t="shared" si="141"/>
        <v xml:space="preserve"> SanHealth LTD</v>
      </c>
      <c r="O671" t="str">
        <f t="shared" si="142"/>
        <v>SOFT CARE (SANO LTD)</v>
      </c>
      <c r="P671" t="str">
        <f t="shared" si="144"/>
        <v/>
      </c>
      <c r="R671" t="str">
        <f t="shared" si="143"/>
        <v/>
      </c>
      <c r="T671" t="s">
        <v>871</v>
      </c>
      <c r="U671" t="str">
        <f t="shared" si="145"/>
        <v/>
      </c>
      <c r="V671" t="str">
        <f t="shared" si="146"/>
        <v/>
      </c>
      <c r="W671" t="str">
        <f t="shared" si="147"/>
        <v/>
      </c>
      <c r="X671" s="27" t="str">
        <f t="shared" si="148"/>
        <v/>
      </c>
      <c r="Y671" s="27" t="str">
        <f t="shared" si="149"/>
        <v/>
      </c>
      <c r="Z671" s="27" t="str">
        <f t="shared" si="150"/>
        <v/>
      </c>
      <c r="AA671" s="27" t="str">
        <f t="shared" si="151"/>
        <v/>
      </c>
      <c r="AB671" s="27" t="str">
        <f t="shared" si="152"/>
        <v/>
      </c>
      <c r="AC671" s="27" t="str">
        <f t="shared" si="153"/>
        <v/>
      </c>
    </row>
    <row r="672" spans="1:29" ht="14.25" customHeight="1" x14ac:dyDescent="0.3">
      <c r="A672" s="25" t="s">
        <v>798</v>
      </c>
      <c r="B672" s="4" t="s">
        <v>5</v>
      </c>
      <c r="C672" s="4"/>
      <c r="D672" s="5"/>
      <c r="E672" s="5"/>
      <c r="F672" s="10"/>
      <c r="G672" s="11"/>
      <c r="H672" s="12"/>
      <c r="I672" s="13"/>
      <c r="J672" s="12"/>
      <c r="K672" s="12"/>
      <c r="M672" t="str">
        <f t="shared" si="140"/>
        <v>HOPS P H5.5 W 90/18BONUS ORANJEVI BAG</v>
      </c>
      <c r="N672" s="29" t="str">
        <f t="shared" si="141"/>
        <v xml:space="preserve"> SaproClean</v>
      </c>
      <c r="O672" t="str">
        <f t="shared" si="142"/>
        <v>HOPS (SAPRO TEMIZLIK)</v>
      </c>
      <c r="P672" t="str">
        <f t="shared" si="144"/>
        <v xml:space="preserve"> SaproClean</v>
      </c>
      <c r="R672" t="str">
        <f t="shared" si="143"/>
        <v>HOPS (SAPRO TEMIZLIK)</v>
      </c>
      <c r="T672" t="s">
        <v>580</v>
      </c>
      <c r="U672" t="str">
        <f t="shared" si="145"/>
        <v>BAGS</v>
      </c>
      <c r="V672" t="str">
        <f t="shared" si="146"/>
        <v>PH BALANCED</v>
      </c>
      <c r="W672" t="str">
        <f t="shared" si="147"/>
        <v>72</v>
      </c>
      <c r="X672" s="27">
        <f t="shared" si="148"/>
        <v>0</v>
      </c>
      <c r="Y672" s="27">
        <f t="shared" si="149"/>
        <v>0</v>
      </c>
      <c r="Z672" s="27">
        <f t="shared" si="150"/>
        <v>9.1999999999999998E-3</v>
      </c>
      <c r="AA672" s="27">
        <f t="shared" si="151"/>
        <v>0</v>
      </c>
      <c r="AB672" s="27">
        <f t="shared" si="152"/>
        <v>0</v>
      </c>
      <c r="AC672" s="27">
        <f t="shared" si="153"/>
        <v>0.30320000000000003</v>
      </c>
    </row>
    <row r="673" spans="1:29" ht="15" customHeight="1" x14ac:dyDescent="0.3">
      <c r="A673" s="14" t="s">
        <v>581</v>
      </c>
      <c r="B673" s="15" t="s">
        <v>6</v>
      </c>
      <c r="C673" s="16"/>
      <c r="D673" s="17"/>
      <c r="E673" s="17"/>
      <c r="F673" s="18"/>
      <c r="G673" s="19"/>
      <c r="H673" s="20"/>
      <c r="I673" s="21"/>
      <c r="J673" s="20"/>
      <c r="K673" s="20"/>
      <c r="M673" t="str">
        <f t="shared" si="140"/>
        <v/>
      </c>
      <c r="N673" s="29" t="str">
        <f t="shared" si="141"/>
        <v xml:space="preserve"> SaproClean</v>
      </c>
      <c r="O673" t="str">
        <f t="shared" si="142"/>
        <v>HOPS (SAPRO TEMIZLIK)</v>
      </c>
      <c r="P673" t="str">
        <f t="shared" si="144"/>
        <v/>
      </c>
      <c r="R673" t="str">
        <f t="shared" si="143"/>
        <v/>
      </c>
      <c r="T673" t="s">
        <v>871</v>
      </c>
      <c r="U673" t="str">
        <f t="shared" si="145"/>
        <v/>
      </c>
      <c r="V673" t="str">
        <f t="shared" si="146"/>
        <v/>
      </c>
      <c r="W673" t="str">
        <f t="shared" si="147"/>
        <v/>
      </c>
      <c r="X673" s="27" t="str">
        <f t="shared" si="148"/>
        <v/>
      </c>
      <c r="Y673" s="27" t="str">
        <f t="shared" si="149"/>
        <v/>
      </c>
      <c r="Z673" s="27" t="str">
        <f t="shared" si="150"/>
        <v/>
      </c>
      <c r="AA673" s="27" t="str">
        <f t="shared" si="151"/>
        <v/>
      </c>
      <c r="AB673" s="27" t="str">
        <f t="shared" si="152"/>
        <v/>
      </c>
      <c r="AC673" s="27" t="str">
        <f t="shared" si="153"/>
        <v/>
      </c>
    </row>
    <row r="674" spans="1:29" ht="15" customHeight="1" x14ac:dyDescent="0.3">
      <c r="A674" s="22" t="s">
        <v>582</v>
      </c>
      <c r="B674" s="23" t="s">
        <v>8</v>
      </c>
      <c r="C674" s="23" t="s">
        <v>9</v>
      </c>
      <c r="D674" s="24" t="s">
        <v>20</v>
      </c>
      <c r="E674" s="24" t="s">
        <v>42</v>
      </c>
      <c r="F674" s="18"/>
      <c r="G674" s="19"/>
      <c r="H674" s="20"/>
      <c r="I674" s="21"/>
      <c r="J674" s="20"/>
      <c r="K674" s="20"/>
      <c r="M674" t="str">
        <f t="shared" si="140"/>
        <v/>
      </c>
      <c r="N674" s="29" t="str">
        <f t="shared" si="141"/>
        <v xml:space="preserve"> SaproClean</v>
      </c>
      <c r="O674" t="str">
        <f t="shared" si="142"/>
        <v>HOPS (SAPRO TEMIZLIK)</v>
      </c>
      <c r="P674" t="str">
        <f t="shared" si="144"/>
        <v/>
      </c>
      <c r="R674" t="str">
        <f t="shared" si="143"/>
        <v/>
      </c>
      <c r="T674" t="s">
        <v>871</v>
      </c>
      <c r="U674" t="str">
        <f t="shared" si="145"/>
        <v/>
      </c>
      <c r="V674" t="str">
        <f t="shared" si="146"/>
        <v/>
      </c>
      <c r="W674" t="str">
        <f t="shared" si="147"/>
        <v/>
      </c>
      <c r="X674" s="27" t="str">
        <f t="shared" si="148"/>
        <v/>
      </c>
      <c r="Y674" s="27" t="str">
        <f t="shared" si="149"/>
        <v/>
      </c>
      <c r="Z674" s="27" t="str">
        <f t="shared" si="150"/>
        <v/>
      </c>
      <c r="AA674" s="27" t="str">
        <f t="shared" si="151"/>
        <v/>
      </c>
      <c r="AB674" s="27" t="str">
        <f t="shared" si="152"/>
        <v/>
      </c>
      <c r="AC674" s="27" t="str">
        <f t="shared" si="153"/>
        <v/>
      </c>
    </row>
    <row r="675" spans="1:29" ht="14.25" customHeight="1" x14ac:dyDescent="0.3">
      <c r="A675" s="25" t="s">
        <v>799</v>
      </c>
      <c r="B675" s="4" t="s">
        <v>5</v>
      </c>
      <c r="C675" s="4"/>
      <c r="D675" s="5"/>
      <c r="E675" s="5"/>
      <c r="F675" s="10">
        <v>60.899500000000003</v>
      </c>
      <c r="G675" s="11">
        <v>35.979399999999998</v>
      </c>
      <c r="H675" s="12">
        <v>13.2829</v>
      </c>
      <c r="I675" s="13">
        <v>1646.9927</v>
      </c>
      <c r="J675" s="12">
        <v>1006.4904</v>
      </c>
      <c r="K675" s="12">
        <v>408.45429999999999</v>
      </c>
      <c r="M675" t="str">
        <f t="shared" si="140"/>
        <v>MAXIMENS VIT E&amp;PRO VIT B5 W 72 BAG</v>
      </c>
      <c r="N675" s="29" t="str">
        <f t="shared" si="141"/>
        <v xml:space="preserve"> YellowHand Cleaners</v>
      </c>
      <c r="O675" t="str">
        <f t="shared" si="142"/>
        <v>MAXIMENS (SARIHAN TEMIZLIK)</v>
      </c>
      <c r="P675" t="str">
        <f t="shared" si="144"/>
        <v xml:space="preserve"> YellowHand Cleaners</v>
      </c>
      <c r="R675" t="str">
        <f t="shared" si="143"/>
        <v>MAXIMENS (SARIHAN TEMIZLIK)</v>
      </c>
      <c r="T675" t="s">
        <v>582</v>
      </c>
      <c r="U675" t="str">
        <f t="shared" si="145"/>
        <v>BAGS</v>
      </c>
      <c r="V675" t="str">
        <f t="shared" si="146"/>
        <v>PH BALANCED</v>
      </c>
      <c r="W675" t="str">
        <f t="shared" si="147"/>
        <v>72</v>
      </c>
      <c r="X675" s="27">
        <f t="shared" si="148"/>
        <v>0</v>
      </c>
      <c r="Y675" s="27">
        <f t="shared" si="149"/>
        <v>0</v>
      </c>
      <c r="Z675" s="27">
        <f t="shared" si="150"/>
        <v>0</v>
      </c>
      <c r="AA675" s="27">
        <f t="shared" si="151"/>
        <v>0</v>
      </c>
      <c r="AB675" s="27">
        <f t="shared" si="152"/>
        <v>0</v>
      </c>
      <c r="AC675" s="27">
        <f t="shared" si="153"/>
        <v>0</v>
      </c>
    </row>
    <row r="676" spans="1:29" ht="15" customHeight="1" x14ac:dyDescent="0.3">
      <c r="A676" s="14" t="s">
        <v>583</v>
      </c>
      <c r="B676" s="15" t="s">
        <v>6</v>
      </c>
      <c r="C676" s="16"/>
      <c r="D676" s="17"/>
      <c r="E676" s="17"/>
      <c r="F676" s="18">
        <v>1.7324999999999999</v>
      </c>
      <c r="G676" s="19">
        <v>2.7699999999999999E-2</v>
      </c>
      <c r="H676" s="20"/>
      <c r="I676" s="21">
        <v>34.565800000000003</v>
      </c>
      <c r="J676" s="20">
        <v>0.64290000000000003</v>
      </c>
      <c r="K676" s="20"/>
      <c r="M676" t="str">
        <f t="shared" si="140"/>
        <v/>
      </c>
      <c r="N676" s="29" t="str">
        <f t="shared" si="141"/>
        <v xml:space="preserve"> YellowHand Cleaners</v>
      </c>
      <c r="O676" t="str">
        <f t="shared" si="142"/>
        <v>MAXIMENS (SARIHAN TEMIZLIK)</v>
      </c>
      <c r="P676" t="str">
        <f t="shared" si="144"/>
        <v/>
      </c>
      <c r="R676" t="str">
        <f t="shared" si="143"/>
        <v/>
      </c>
      <c r="T676" t="s">
        <v>871</v>
      </c>
      <c r="U676" t="str">
        <f t="shared" si="145"/>
        <v/>
      </c>
      <c r="V676" t="str">
        <f t="shared" si="146"/>
        <v/>
      </c>
      <c r="W676" t="str">
        <f t="shared" si="147"/>
        <v/>
      </c>
      <c r="X676" s="27" t="str">
        <f t="shared" si="148"/>
        <v/>
      </c>
      <c r="Y676" s="27" t="str">
        <f t="shared" si="149"/>
        <v/>
      </c>
      <c r="Z676" s="27" t="str">
        <f t="shared" si="150"/>
        <v/>
      </c>
      <c r="AA676" s="27" t="str">
        <f t="shared" si="151"/>
        <v/>
      </c>
      <c r="AB676" s="27" t="str">
        <f t="shared" si="152"/>
        <v/>
      </c>
      <c r="AC676" s="27" t="str">
        <f t="shared" si="153"/>
        <v/>
      </c>
    </row>
    <row r="677" spans="1:29" ht="15" customHeight="1" x14ac:dyDescent="0.3">
      <c r="A677" s="22" t="s">
        <v>584</v>
      </c>
      <c r="B677" s="23" t="s">
        <v>8</v>
      </c>
      <c r="C677" s="23" t="s">
        <v>9</v>
      </c>
      <c r="D677" s="24" t="s">
        <v>20</v>
      </c>
      <c r="E677" s="24" t="s">
        <v>99</v>
      </c>
      <c r="F677" s="18">
        <v>0.35610000000000003</v>
      </c>
      <c r="G677" s="19"/>
      <c r="H677" s="20"/>
      <c r="I677" s="21">
        <v>5.6227</v>
      </c>
      <c r="J677" s="20"/>
      <c r="K677" s="20"/>
      <c r="M677" t="str">
        <f t="shared" si="140"/>
        <v/>
      </c>
      <c r="N677" s="29" t="str">
        <f t="shared" si="141"/>
        <v xml:space="preserve"> YellowHand Cleaners</v>
      </c>
      <c r="O677" t="str">
        <f t="shared" si="142"/>
        <v>MAXIMENS (SARIHAN TEMIZLIK)</v>
      </c>
      <c r="P677" t="str">
        <f t="shared" si="144"/>
        <v/>
      </c>
      <c r="R677" t="str">
        <f t="shared" si="143"/>
        <v/>
      </c>
      <c r="T677" t="s">
        <v>871</v>
      </c>
      <c r="U677" t="str">
        <f t="shared" si="145"/>
        <v/>
      </c>
      <c r="V677" t="str">
        <f t="shared" si="146"/>
        <v/>
      </c>
      <c r="W677" t="str">
        <f t="shared" si="147"/>
        <v/>
      </c>
      <c r="X677" s="27" t="str">
        <f t="shared" si="148"/>
        <v/>
      </c>
      <c r="Y677" s="27" t="str">
        <f t="shared" si="149"/>
        <v/>
      </c>
      <c r="Z677" s="27" t="str">
        <f t="shared" si="150"/>
        <v/>
      </c>
      <c r="AA677" s="27" t="str">
        <f t="shared" si="151"/>
        <v/>
      </c>
      <c r="AB677" s="27" t="str">
        <f t="shared" si="152"/>
        <v/>
      </c>
      <c r="AC677" s="27" t="str">
        <f t="shared" si="153"/>
        <v/>
      </c>
    </row>
    <row r="678" spans="1:29" ht="15" customHeight="1" x14ac:dyDescent="0.3">
      <c r="A678" s="22" t="s">
        <v>585</v>
      </c>
      <c r="B678" s="23" t="s">
        <v>8</v>
      </c>
      <c r="C678" s="23" t="s">
        <v>9</v>
      </c>
      <c r="D678" s="24" t="s">
        <v>10</v>
      </c>
      <c r="E678" s="24" t="s">
        <v>42</v>
      </c>
      <c r="F678" s="18">
        <v>1.3764000000000001</v>
      </c>
      <c r="G678" s="19">
        <v>2.7699999999999999E-2</v>
      </c>
      <c r="H678" s="20"/>
      <c r="I678" s="21">
        <v>28.943100000000001</v>
      </c>
      <c r="J678" s="20">
        <v>0.64290000000000003</v>
      </c>
      <c r="K678" s="20"/>
      <c r="M678" t="str">
        <f t="shared" si="140"/>
        <v>DOCTOR WIPES BABY GRAPES W 60 BAG KAPAK</v>
      </c>
      <c r="N678" s="29" t="str">
        <f t="shared" si="141"/>
        <v xml:space="preserve"> EuroPack Communications SRL</v>
      </c>
      <c r="O678" t="str">
        <f t="shared" si="142"/>
        <v>DOCTOR (SC EUROPACK MEDIA SRL)</v>
      </c>
      <c r="P678" t="str">
        <f t="shared" si="144"/>
        <v xml:space="preserve"> EuroPack Communications SRL</v>
      </c>
      <c r="R678" t="str">
        <f t="shared" si="143"/>
        <v>DOCTOR (SC EUROPACK MEDIA SRL)</v>
      </c>
      <c r="T678" t="s">
        <v>584</v>
      </c>
      <c r="U678" t="str">
        <f t="shared" si="145"/>
        <v>BAGS</v>
      </c>
      <c r="V678" t="str">
        <f t="shared" si="146"/>
        <v>PH BALANCED</v>
      </c>
      <c r="W678" t="str">
        <f t="shared" si="147"/>
        <v>60</v>
      </c>
      <c r="X678" s="27">
        <f t="shared" si="148"/>
        <v>0.35610000000000003</v>
      </c>
      <c r="Y678" s="27">
        <f t="shared" si="149"/>
        <v>0</v>
      </c>
      <c r="Z678" s="27">
        <f t="shared" si="150"/>
        <v>0</v>
      </c>
      <c r="AA678" s="27">
        <f t="shared" si="151"/>
        <v>5.6227</v>
      </c>
      <c r="AB678" s="27">
        <f t="shared" si="152"/>
        <v>0</v>
      </c>
      <c r="AC678" s="27">
        <f t="shared" si="153"/>
        <v>0</v>
      </c>
    </row>
    <row r="679" spans="1:29" ht="15" customHeight="1" x14ac:dyDescent="0.3">
      <c r="A679" s="14" t="s">
        <v>586</v>
      </c>
      <c r="B679" s="15" t="s">
        <v>6</v>
      </c>
      <c r="C679" s="16"/>
      <c r="D679" s="17"/>
      <c r="E679" s="17"/>
      <c r="F679" s="18">
        <v>38.935099999999998</v>
      </c>
      <c r="G679" s="19">
        <v>24.638200000000001</v>
      </c>
      <c r="H679" s="20">
        <v>13.2829</v>
      </c>
      <c r="I679" s="21">
        <v>1028.7485999999999</v>
      </c>
      <c r="J679" s="20">
        <v>660.65030000000002</v>
      </c>
      <c r="K679" s="20">
        <v>408.45429999999999</v>
      </c>
      <c r="M679" t="str">
        <f t="shared" si="140"/>
        <v>DOCTOR WIPES BABY W 72 BAG &amp;&amp;&amp;</v>
      </c>
      <c r="N679" s="29" t="str">
        <f t="shared" si="141"/>
        <v xml:space="preserve"> EuroPack Communications SRL</v>
      </c>
      <c r="O679" t="str">
        <f t="shared" si="142"/>
        <v>DOCTOR (SC EUROPACK MEDIA SRL)</v>
      </c>
      <c r="P679" t="str">
        <f t="shared" si="144"/>
        <v xml:space="preserve"> EuroPack Communications SRL</v>
      </c>
      <c r="R679" t="str">
        <f t="shared" si="143"/>
        <v>DOCTOR (SC EUROPACK MEDIA SRL)</v>
      </c>
      <c r="T679" t="s">
        <v>585</v>
      </c>
      <c r="U679" t="str">
        <f t="shared" si="145"/>
        <v>BAGS</v>
      </c>
      <c r="V679" t="str">
        <f t="shared" si="146"/>
        <v>WITHOUT EXTRA PROTECTCARE INDICATION</v>
      </c>
      <c r="W679" t="str">
        <f t="shared" si="147"/>
        <v>72</v>
      </c>
      <c r="X679" s="27">
        <f t="shared" si="148"/>
        <v>1.3764000000000001</v>
      </c>
      <c r="Y679" s="27">
        <f t="shared" si="149"/>
        <v>2.7699999999999999E-2</v>
      </c>
      <c r="Z679" s="27">
        <f t="shared" si="150"/>
        <v>0</v>
      </c>
      <c r="AA679" s="27">
        <f t="shared" si="151"/>
        <v>28.943100000000001</v>
      </c>
      <c r="AB679" s="27">
        <f t="shared" si="152"/>
        <v>0.64290000000000003</v>
      </c>
      <c r="AC679" s="27">
        <f t="shared" si="153"/>
        <v>0</v>
      </c>
    </row>
    <row r="680" spans="1:29" ht="15" customHeight="1" x14ac:dyDescent="0.3">
      <c r="A680" s="22" t="s">
        <v>587</v>
      </c>
      <c r="B680" s="23" t="s">
        <v>8</v>
      </c>
      <c r="C680" s="23" t="s">
        <v>9</v>
      </c>
      <c r="D680" s="24" t="s">
        <v>30</v>
      </c>
      <c r="E680" s="24" t="s">
        <v>118</v>
      </c>
      <c r="F680" s="18">
        <v>6.7664999999999997</v>
      </c>
      <c r="G680" s="19">
        <v>0.54779999999999995</v>
      </c>
      <c r="H680" s="20"/>
      <c r="I680" s="21">
        <v>162.6651</v>
      </c>
      <c r="J680" s="20">
        <v>12.7288</v>
      </c>
      <c r="K680" s="20"/>
      <c r="M680" t="str">
        <f t="shared" si="140"/>
        <v/>
      </c>
      <c r="N680" s="29" t="str">
        <f t="shared" si="141"/>
        <v xml:space="preserve"> EuroPack Communications SRL</v>
      </c>
      <c r="O680" t="str">
        <f t="shared" si="142"/>
        <v>DOCTOR (SC EUROPACK MEDIA SRL)</v>
      </c>
      <c r="P680" t="str">
        <f t="shared" si="144"/>
        <v/>
      </c>
      <c r="R680" t="str">
        <f t="shared" si="143"/>
        <v/>
      </c>
      <c r="T680" t="s">
        <v>871</v>
      </c>
      <c r="U680" t="str">
        <f t="shared" si="145"/>
        <v/>
      </c>
      <c r="V680" t="str">
        <f t="shared" si="146"/>
        <v/>
      </c>
      <c r="W680" t="str">
        <f t="shared" si="147"/>
        <v/>
      </c>
      <c r="X680" s="27" t="str">
        <f t="shared" si="148"/>
        <v/>
      </c>
      <c r="Y680" s="27" t="str">
        <f t="shared" si="149"/>
        <v/>
      </c>
      <c r="Z680" s="27" t="str">
        <f t="shared" si="150"/>
        <v/>
      </c>
      <c r="AA680" s="27" t="str">
        <f t="shared" si="151"/>
        <v/>
      </c>
      <c r="AB680" s="27" t="str">
        <f t="shared" si="152"/>
        <v/>
      </c>
      <c r="AC680" s="27" t="str">
        <f t="shared" si="153"/>
        <v/>
      </c>
    </row>
    <row r="681" spans="1:29" ht="15" customHeight="1" x14ac:dyDescent="0.3">
      <c r="A681" s="22" t="s">
        <v>588</v>
      </c>
      <c r="B681" s="23" t="s">
        <v>8</v>
      </c>
      <c r="C681" s="23" t="s">
        <v>9</v>
      </c>
      <c r="D681" s="24" t="s">
        <v>30</v>
      </c>
      <c r="E681" s="24" t="s">
        <v>99</v>
      </c>
      <c r="F681" s="18">
        <v>14.513400000000001</v>
      </c>
      <c r="G681" s="19">
        <v>11.551399999999999</v>
      </c>
      <c r="H681" s="20">
        <v>8.6715</v>
      </c>
      <c r="I681" s="21">
        <v>383.46769999999998</v>
      </c>
      <c r="J681" s="20">
        <v>307.81580000000002</v>
      </c>
      <c r="K681" s="20">
        <v>255.3304</v>
      </c>
      <c r="M681" t="str">
        <f t="shared" si="140"/>
        <v>MEDPROFESSIONAL BABYPOWDERARGANOIL W 24</v>
      </c>
      <c r="N681" s="29" t="str">
        <f t="shared" si="141"/>
        <v xml:space="preserve"> EuroPack Communications SRL</v>
      </c>
      <c r="O681" t="str">
        <f t="shared" si="142"/>
        <v>MEDPROFFESIONAL (SC EUROPACK MEDIA SRL)</v>
      </c>
      <c r="P681" t="str">
        <f t="shared" si="144"/>
        <v xml:space="preserve"> EuroPack Communications SRL</v>
      </c>
      <c r="R681" t="str">
        <f t="shared" si="143"/>
        <v>MEDPROFFESIONAL (SC EUROPACK MEDIA SRL)</v>
      </c>
      <c r="T681" t="s">
        <v>587</v>
      </c>
      <c r="U681" t="str">
        <f t="shared" si="145"/>
        <v>BAGS</v>
      </c>
      <c r="V681" t="str">
        <f t="shared" si="146"/>
        <v>ALCOHOL FREE</v>
      </c>
      <c r="W681" t="str">
        <f t="shared" si="147"/>
        <v>24</v>
      </c>
      <c r="X681" s="27">
        <f t="shared" si="148"/>
        <v>6.7664999999999997</v>
      </c>
      <c r="Y681" s="27">
        <f t="shared" si="149"/>
        <v>0.54779999999999995</v>
      </c>
      <c r="Z681" s="27">
        <f t="shared" si="150"/>
        <v>0</v>
      </c>
      <c r="AA681" s="27">
        <f t="shared" si="151"/>
        <v>162.6651</v>
      </c>
      <c r="AB681" s="27">
        <f t="shared" si="152"/>
        <v>12.7288</v>
      </c>
      <c r="AC681" s="27">
        <f t="shared" si="153"/>
        <v>0</v>
      </c>
    </row>
    <row r="682" spans="1:29" ht="15" customHeight="1" x14ac:dyDescent="0.3">
      <c r="A682" s="22" t="s">
        <v>589</v>
      </c>
      <c r="B682" s="23" t="s">
        <v>8</v>
      </c>
      <c r="C682" s="23" t="s">
        <v>9</v>
      </c>
      <c r="D682" s="24" t="s">
        <v>30</v>
      </c>
      <c r="E682" s="24" t="s">
        <v>99</v>
      </c>
      <c r="F682" s="18">
        <v>17.654699999999998</v>
      </c>
      <c r="G682" s="19">
        <v>12.539</v>
      </c>
      <c r="H682" s="20">
        <v>4.6113</v>
      </c>
      <c r="I682" s="21">
        <v>482.61590000000001</v>
      </c>
      <c r="J682" s="20">
        <v>340.10579999999999</v>
      </c>
      <c r="K682" s="20">
        <v>153.12389999999999</v>
      </c>
      <c r="M682" t="str">
        <f t="shared" si="140"/>
        <v>MED PROFESSIONAL BABY ALOE VERA W 60 BAG</v>
      </c>
      <c r="N682" s="29" t="str">
        <f t="shared" si="141"/>
        <v xml:space="preserve"> EuroPack Communications SRL</v>
      </c>
      <c r="O682" t="str">
        <f t="shared" si="142"/>
        <v>MEDPROFFESIONAL (SC EUROPACK MEDIA SRL)</v>
      </c>
      <c r="P682" t="str">
        <f t="shared" si="144"/>
        <v xml:space="preserve"> EuroPack Communications SRL</v>
      </c>
      <c r="R682" t="str">
        <f t="shared" si="143"/>
        <v>MEDPROFFESIONAL (SC EUROPACK MEDIA SRL)</v>
      </c>
      <c r="T682" t="s">
        <v>588</v>
      </c>
      <c r="U682" t="str">
        <f t="shared" si="145"/>
        <v>BAGS</v>
      </c>
      <c r="V682" t="str">
        <f t="shared" si="146"/>
        <v>ALCOHOL FREE</v>
      </c>
      <c r="W682" t="str">
        <f t="shared" si="147"/>
        <v>60</v>
      </c>
      <c r="X682" s="27">
        <f t="shared" si="148"/>
        <v>14.513400000000001</v>
      </c>
      <c r="Y682" s="27">
        <f t="shared" si="149"/>
        <v>11.551399999999999</v>
      </c>
      <c r="Z682" s="27">
        <f t="shared" si="150"/>
        <v>8.6715</v>
      </c>
      <c r="AA682" s="27">
        <f t="shared" si="151"/>
        <v>383.46769999999998</v>
      </c>
      <c r="AB682" s="27">
        <f t="shared" si="152"/>
        <v>307.81580000000002</v>
      </c>
      <c r="AC682" s="27">
        <f t="shared" si="153"/>
        <v>255.3304</v>
      </c>
    </row>
    <row r="683" spans="1:29" ht="15" customHeight="1" x14ac:dyDescent="0.3">
      <c r="A683" s="14" t="s">
        <v>590</v>
      </c>
      <c r="B683" s="15" t="s">
        <v>6</v>
      </c>
      <c r="C683" s="16"/>
      <c r="D683" s="17"/>
      <c r="E683" s="17"/>
      <c r="F683" s="18">
        <v>20.231999999999999</v>
      </c>
      <c r="G683" s="19">
        <v>11.313700000000001</v>
      </c>
      <c r="H683" s="20"/>
      <c r="I683" s="21">
        <v>583.67819999999995</v>
      </c>
      <c r="J683" s="20">
        <v>345.19709999999998</v>
      </c>
      <c r="K683" s="20"/>
      <c r="M683" t="str">
        <f t="shared" si="140"/>
        <v>MEDPROFESSIONAL BABYGRAPESEEDOIL W 60BAG</v>
      </c>
      <c r="N683" s="29" t="str">
        <f t="shared" si="141"/>
        <v xml:space="preserve"> EuroPack Communications SRL</v>
      </c>
      <c r="O683" t="str">
        <f t="shared" si="142"/>
        <v>MEDPROFFESIONAL (SC EUROPACK MEDIA SRL)</v>
      </c>
      <c r="P683" t="str">
        <f t="shared" si="144"/>
        <v xml:space="preserve"> EuroPack Communications SRL</v>
      </c>
      <c r="R683" t="str">
        <f t="shared" si="143"/>
        <v>MEDPROFFESIONAL (SC EUROPACK MEDIA SRL)</v>
      </c>
      <c r="T683" t="s">
        <v>589</v>
      </c>
      <c r="U683" t="str">
        <f t="shared" si="145"/>
        <v>BAGS</v>
      </c>
      <c r="V683" t="str">
        <f t="shared" si="146"/>
        <v>ALCOHOL FREE</v>
      </c>
      <c r="W683" t="str">
        <f t="shared" si="147"/>
        <v>60</v>
      </c>
      <c r="X683" s="27">
        <f t="shared" si="148"/>
        <v>17.654699999999998</v>
      </c>
      <c r="Y683" s="27">
        <f t="shared" si="149"/>
        <v>12.539</v>
      </c>
      <c r="Z683" s="27">
        <f t="shared" si="150"/>
        <v>4.6113</v>
      </c>
      <c r="AA683" s="27">
        <f t="shared" si="151"/>
        <v>482.61590000000001</v>
      </c>
      <c r="AB683" s="27">
        <f t="shared" si="152"/>
        <v>340.10579999999999</v>
      </c>
      <c r="AC683" s="27">
        <f t="shared" si="153"/>
        <v>153.12389999999999</v>
      </c>
    </row>
    <row r="684" spans="1:29" ht="15" customHeight="1" x14ac:dyDescent="0.3">
      <c r="A684" s="22" t="s">
        <v>826</v>
      </c>
      <c r="B684" s="23" t="s">
        <v>8</v>
      </c>
      <c r="C684" s="23" t="s">
        <v>9</v>
      </c>
      <c r="D684" s="24" t="s">
        <v>10</v>
      </c>
      <c r="E684" s="24" t="s">
        <v>24</v>
      </c>
      <c r="F684" s="18">
        <v>20.231999999999999</v>
      </c>
      <c r="G684" s="19">
        <v>11.313700000000001</v>
      </c>
      <c r="H684" s="20"/>
      <c r="I684" s="21">
        <v>583.67819999999995</v>
      </c>
      <c r="J684" s="20">
        <v>345.19709999999998</v>
      </c>
      <c r="K684" s="20"/>
      <c r="M684" t="str">
        <f t="shared" si="140"/>
        <v/>
      </c>
      <c r="N684" s="29" t="str">
        <f t="shared" si="141"/>
        <v xml:space="preserve"> EuroPack Communications SRL</v>
      </c>
      <c r="O684" t="str">
        <f t="shared" si="142"/>
        <v>MEDPROFFESIONAL (SC EUROPACK MEDIA SRL)</v>
      </c>
      <c r="P684" t="str">
        <f t="shared" si="144"/>
        <v/>
      </c>
      <c r="R684" t="str">
        <f t="shared" si="143"/>
        <v/>
      </c>
      <c r="T684" t="s">
        <v>871</v>
      </c>
      <c r="U684" t="str">
        <f t="shared" si="145"/>
        <v/>
      </c>
      <c r="V684" t="str">
        <f t="shared" si="146"/>
        <v/>
      </c>
      <c r="W684" t="str">
        <f t="shared" si="147"/>
        <v/>
      </c>
      <c r="X684" s="27" t="str">
        <f t="shared" si="148"/>
        <v/>
      </c>
      <c r="Y684" s="27" t="str">
        <f t="shared" si="149"/>
        <v/>
      </c>
      <c r="Z684" s="27" t="str">
        <f t="shared" si="150"/>
        <v/>
      </c>
      <c r="AA684" s="27" t="str">
        <f t="shared" si="151"/>
        <v/>
      </c>
      <c r="AB684" s="27" t="str">
        <f t="shared" si="152"/>
        <v/>
      </c>
      <c r="AC684" s="27" t="str">
        <f t="shared" si="153"/>
        <v/>
      </c>
    </row>
    <row r="685" spans="1:29" ht="15" customHeight="1" x14ac:dyDescent="0.3">
      <c r="A685" s="22" t="s">
        <v>591</v>
      </c>
      <c r="B685" s="23" t="s">
        <v>8</v>
      </c>
      <c r="C685" s="23" t="s">
        <v>9</v>
      </c>
      <c r="D685" s="24" t="s">
        <v>20</v>
      </c>
      <c r="E685" s="24" t="s">
        <v>42</v>
      </c>
      <c r="F685" s="18"/>
      <c r="G685" s="19"/>
      <c r="H685" s="20"/>
      <c r="I685" s="21"/>
      <c r="J685" s="20"/>
      <c r="K685" s="20"/>
      <c r="M685" t="str">
        <f t="shared" si="140"/>
        <v>SPRING LINE  FreshClean W 120 BAG &amp;&amp;&amp;</v>
      </c>
      <c r="N685" s="29" t="str">
        <f t="shared" si="141"/>
        <v xml:space="preserve"> EuroPack Communications SRL</v>
      </c>
      <c r="O685" t="str">
        <f t="shared" si="142"/>
        <v>SPRING LINE (SC EUROPACK MEDIA SRL)</v>
      </c>
      <c r="P685" t="str">
        <f t="shared" si="144"/>
        <v xml:space="preserve"> EuroPack Communications SRL</v>
      </c>
      <c r="R685" t="str">
        <f t="shared" si="143"/>
        <v>SPRING LINE (SC EUROPACK MEDIA SRL)</v>
      </c>
      <c r="T685" t="s">
        <v>826</v>
      </c>
      <c r="U685" t="str">
        <f t="shared" si="145"/>
        <v>BAGS</v>
      </c>
      <c r="V685" t="str">
        <f t="shared" si="146"/>
        <v>WITHOUT EXTRA PROTECTCARE INDICATION</v>
      </c>
      <c r="W685" t="str">
        <f t="shared" si="147"/>
        <v>120</v>
      </c>
      <c r="X685" s="27">
        <f t="shared" si="148"/>
        <v>20.231999999999999</v>
      </c>
      <c r="Y685" s="27">
        <f t="shared" si="149"/>
        <v>11.313700000000001</v>
      </c>
      <c r="Z685" s="27">
        <f t="shared" si="150"/>
        <v>0</v>
      </c>
      <c r="AA685" s="27">
        <f t="shared" si="151"/>
        <v>583.67819999999995</v>
      </c>
      <c r="AB685" s="27">
        <f t="shared" si="152"/>
        <v>345.19709999999998</v>
      </c>
      <c r="AC685" s="27">
        <f t="shared" si="153"/>
        <v>0</v>
      </c>
    </row>
    <row r="686" spans="1:29" ht="14.25" customHeight="1" x14ac:dyDescent="0.3">
      <c r="A686" s="25" t="s">
        <v>800</v>
      </c>
      <c r="B686" s="4" t="s">
        <v>5</v>
      </c>
      <c r="C686" s="4"/>
      <c r="D686" s="5"/>
      <c r="E686" s="5"/>
      <c r="F686" s="10">
        <v>26.3474</v>
      </c>
      <c r="G686" s="11">
        <v>72.5916</v>
      </c>
      <c r="H686" s="12">
        <v>62.0075</v>
      </c>
      <c r="I686" s="13">
        <v>920.46799999999996</v>
      </c>
      <c r="J686" s="12">
        <v>3084.2015999999999</v>
      </c>
      <c r="K686" s="12">
        <v>2719.9431</v>
      </c>
      <c r="M686" t="str">
        <f t="shared" si="140"/>
        <v>SPRINGLINE BABY COMPLEX5VITAMINS W 72BAG</v>
      </c>
      <c r="N686" s="29" t="str">
        <f t="shared" si="141"/>
        <v xml:space="preserve"> EuroPack Communications SRL</v>
      </c>
      <c r="O686" t="str">
        <f t="shared" si="142"/>
        <v>SPRING LINE (SC EUROPACK MEDIA SRL)</v>
      </c>
      <c r="P686" t="str">
        <f t="shared" si="144"/>
        <v xml:space="preserve"> EuroPack Communications SRL</v>
      </c>
      <c r="R686" t="str">
        <f t="shared" si="143"/>
        <v>SPRING LINE (SC EUROPACK MEDIA SRL)</v>
      </c>
      <c r="T686" t="s">
        <v>591</v>
      </c>
      <c r="U686" t="str">
        <f t="shared" si="145"/>
        <v>BAGS</v>
      </c>
      <c r="V686" t="str">
        <f t="shared" si="146"/>
        <v>PH BALANCED</v>
      </c>
      <c r="W686" t="str">
        <f t="shared" si="147"/>
        <v>72</v>
      </c>
      <c r="X686" s="27">
        <f t="shared" si="148"/>
        <v>0</v>
      </c>
      <c r="Y686" s="27">
        <f t="shared" si="149"/>
        <v>0</v>
      </c>
      <c r="Z686" s="27">
        <f t="shared" si="150"/>
        <v>0</v>
      </c>
      <c r="AA686" s="27">
        <f t="shared" si="151"/>
        <v>0</v>
      </c>
      <c r="AB686" s="27">
        <f t="shared" si="152"/>
        <v>0</v>
      </c>
      <c r="AC686" s="27">
        <f t="shared" si="153"/>
        <v>0</v>
      </c>
    </row>
    <row r="687" spans="1:29" ht="15" customHeight="1" x14ac:dyDescent="0.3">
      <c r="A687" s="14" t="s">
        <v>592</v>
      </c>
      <c r="B687" s="15" t="s">
        <v>6</v>
      </c>
      <c r="C687" s="16"/>
      <c r="D687" s="17"/>
      <c r="E687" s="17"/>
      <c r="F687" s="18">
        <v>26.3474</v>
      </c>
      <c r="G687" s="19">
        <v>72.5916</v>
      </c>
      <c r="H687" s="20">
        <v>62.0075</v>
      </c>
      <c r="I687" s="21">
        <v>920.46799999999996</v>
      </c>
      <c r="J687" s="20">
        <v>3084.2015999999999</v>
      </c>
      <c r="K687" s="20">
        <v>2719.9431</v>
      </c>
      <c r="M687" t="str">
        <f t="shared" si="140"/>
        <v/>
      </c>
      <c r="N687" s="29" t="str">
        <f t="shared" si="141"/>
        <v xml:space="preserve"> EuroPack Communications SRL</v>
      </c>
      <c r="O687" t="str">
        <f t="shared" si="142"/>
        <v>SPRING LINE (SC EUROPACK MEDIA SRL)</v>
      </c>
      <c r="P687" t="str">
        <f t="shared" si="144"/>
        <v/>
      </c>
      <c r="R687" t="str">
        <f t="shared" si="143"/>
        <v/>
      </c>
      <c r="T687" t="s">
        <v>871</v>
      </c>
      <c r="U687" t="str">
        <f t="shared" si="145"/>
        <v/>
      </c>
      <c r="V687" t="str">
        <f t="shared" si="146"/>
        <v/>
      </c>
      <c r="W687" t="str">
        <f t="shared" si="147"/>
        <v/>
      </c>
      <c r="X687" s="27" t="str">
        <f t="shared" si="148"/>
        <v/>
      </c>
      <c r="Y687" s="27" t="str">
        <f t="shared" si="149"/>
        <v/>
      </c>
      <c r="Z687" s="27" t="str">
        <f t="shared" si="150"/>
        <v/>
      </c>
      <c r="AA687" s="27" t="str">
        <f t="shared" si="151"/>
        <v/>
      </c>
      <c r="AB687" s="27" t="str">
        <f t="shared" si="152"/>
        <v/>
      </c>
      <c r="AC687" s="27" t="str">
        <f t="shared" si="153"/>
        <v/>
      </c>
    </row>
    <row r="688" spans="1:29" ht="15" customHeight="1" x14ac:dyDescent="0.3">
      <c r="A688" s="22" t="s">
        <v>593</v>
      </c>
      <c r="B688" s="23" t="s">
        <v>8</v>
      </c>
      <c r="C688" s="23" t="s">
        <v>9</v>
      </c>
      <c r="D688" s="24" t="s">
        <v>20</v>
      </c>
      <c r="E688" s="24" t="s">
        <v>24</v>
      </c>
      <c r="F688" s="18"/>
      <c r="G688" s="19">
        <v>20.586300000000001</v>
      </c>
      <c r="H688" s="20">
        <v>29.262499999999999</v>
      </c>
      <c r="I688" s="21"/>
      <c r="J688" s="20">
        <v>1265.0245</v>
      </c>
      <c r="K688" s="20">
        <v>1657.2372</v>
      </c>
      <c r="M688" t="str">
        <f t="shared" si="140"/>
        <v/>
      </c>
      <c r="N688" s="29" t="str">
        <f t="shared" si="141"/>
        <v xml:space="preserve"> EuroPack Communications SRL</v>
      </c>
      <c r="O688" t="str">
        <f t="shared" si="142"/>
        <v>SPRING LINE (SC EUROPACK MEDIA SRL)</v>
      </c>
      <c r="P688" t="str">
        <f t="shared" si="144"/>
        <v/>
      </c>
      <c r="R688" t="str">
        <f t="shared" si="143"/>
        <v/>
      </c>
      <c r="T688" t="s">
        <v>871</v>
      </c>
      <c r="U688" t="str">
        <f t="shared" si="145"/>
        <v/>
      </c>
      <c r="V688" t="str">
        <f t="shared" si="146"/>
        <v/>
      </c>
      <c r="W688" t="str">
        <f t="shared" si="147"/>
        <v/>
      </c>
      <c r="X688" s="27" t="str">
        <f t="shared" si="148"/>
        <v/>
      </c>
      <c r="Y688" s="27" t="str">
        <f t="shared" si="149"/>
        <v/>
      </c>
      <c r="Z688" s="27" t="str">
        <f t="shared" si="150"/>
        <v/>
      </c>
      <c r="AA688" s="27" t="str">
        <f t="shared" si="151"/>
        <v/>
      </c>
      <c r="AB688" s="27" t="str">
        <f t="shared" si="152"/>
        <v/>
      </c>
      <c r="AC688" s="27" t="str">
        <f t="shared" si="153"/>
        <v/>
      </c>
    </row>
    <row r="689" spans="1:29" ht="15" customHeight="1" x14ac:dyDescent="0.3">
      <c r="A689" s="22" t="s">
        <v>594</v>
      </c>
      <c r="B689" s="23" t="s">
        <v>8</v>
      </c>
      <c r="C689" s="23" t="s">
        <v>9</v>
      </c>
      <c r="D689" s="24" t="s">
        <v>20</v>
      </c>
      <c r="E689" s="24" t="s">
        <v>42</v>
      </c>
      <c r="F689" s="18">
        <v>26.3474</v>
      </c>
      <c r="G689" s="19">
        <v>52.005499999999998</v>
      </c>
      <c r="H689" s="20">
        <v>32.744900000000001</v>
      </c>
      <c r="I689" s="21">
        <v>920.46799999999996</v>
      </c>
      <c r="J689" s="20">
        <v>1819.1769999999999</v>
      </c>
      <c r="K689" s="20">
        <v>1062.7058999999999</v>
      </c>
      <c r="M689" t="str">
        <f t="shared" si="140"/>
        <v>GIAN BABY CREAM PH5.5 W 120 BAG</v>
      </c>
      <c r="N689" s="29" t="str">
        <f t="shared" si="141"/>
        <v xml:space="preserve"> SigmaKappaZeta Co.</v>
      </c>
      <c r="O689" t="str">
        <f t="shared" si="142"/>
        <v>GIAN (SCK ZETA COMPANY)</v>
      </c>
      <c r="P689" t="str">
        <f t="shared" si="144"/>
        <v xml:space="preserve"> SigmaKappaZeta Co.</v>
      </c>
      <c r="R689" t="str">
        <f t="shared" si="143"/>
        <v>GIAN (SCK ZETA COMPANY)</v>
      </c>
      <c r="T689" t="s">
        <v>593</v>
      </c>
      <c r="U689" t="str">
        <f t="shared" si="145"/>
        <v>BAGS</v>
      </c>
      <c r="V689" t="str">
        <f t="shared" si="146"/>
        <v>PH BALANCED</v>
      </c>
      <c r="W689" t="str">
        <f t="shared" si="147"/>
        <v>120</v>
      </c>
      <c r="X689" s="27">
        <f t="shared" si="148"/>
        <v>0</v>
      </c>
      <c r="Y689" s="27">
        <f t="shared" si="149"/>
        <v>20.586300000000001</v>
      </c>
      <c r="Z689" s="27">
        <f t="shared" si="150"/>
        <v>29.262499999999999</v>
      </c>
      <c r="AA689" s="27">
        <f t="shared" si="151"/>
        <v>0</v>
      </c>
      <c r="AB689" s="27">
        <f t="shared" si="152"/>
        <v>1265.0245</v>
      </c>
      <c r="AC689" s="27">
        <f t="shared" si="153"/>
        <v>1657.2372</v>
      </c>
    </row>
    <row r="690" spans="1:29" ht="14.25" customHeight="1" x14ac:dyDescent="0.3">
      <c r="A690" s="25" t="s">
        <v>801</v>
      </c>
      <c r="B690" s="4" t="s">
        <v>5</v>
      </c>
      <c r="C690" s="4"/>
      <c r="D690" s="5"/>
      <c r="E690" s="5"/>
      <c r="F690" s="10">
        <v>0.97350000000000003</v>
      </c>
      <c r="G690" s="11">
        <v>1.3669</v>
      </c>
      <c r="H690" s="12">
        <v>0.25619999999999998</v>
      </c>
      <c r="I690" s="13">
        <v>4.9279999999999999</v>
      </c>
      <c r="J690" s="12">
        <v>7.3564999999999996</v>
      </c>
      <c r="K690" s="12">
        <v>1.4279999999999999</v>
      </c>
      <c r="M690" t="str">
        <f t="shared" si="140"/>
        <v>GIAN BABY CREAM PH5.5 W 72 BAG</v>
      </c>
      <c r="N690" s="29" t="str">
        <f t="shared" si="141"/>
        <v xml:space="preserve"> SigmaKappaZeta Co.</v>
      </c>
      <c r="O690" t="str">
        <f t="shared" si="142"/>
        <v>GIAN (SCK ZETA COMPANY)</v>
      </c>
      <c r="P690" t="str">
        <f t="shared" si="144"/>
        <v xml:space="preserve"> SigmaKappaZeta Co.</v>
      </c>
      <c r="R690" t="str">
        <f t="shared" si="143"/>
        <v>GIAN (SCK ZETA COMPANY)</v>
      </c>
      <c r="T690" t="s">
        <v>594</v>
      </c>
      <c r="U690" t="str">
        <f t="shared" si="145"/>
        <v>BAGS</v>
      </c>
      <c r="V690" t="str">
        <f t="shared" si="146"/>
        <v>PH BALANCED</v>
      </c>
      <c r="W690" t="str">
        <f t="shared" si="147"/>
        <v>72</v>
      </c>
      <c r="X690" s="27">
        <f t="shared" si="148"/>
        <v>26.3474</v>
      </c>
      <c r="Y690" s="27">
        <f t="shared" si="149"/>
        <v>52.005499999999998</v>
      </c>
      <c r="Z690" s="27">
        <f t="shared" si="150"/>
        <v>32.744900000000001</v>
      </c>
      <c r="AA690" s="27">
        <f t="shared" si="151"/>
        <v>920.46799999999996</v>
      </c>
      <c r="AB690" s="27">
        <f t="shared" si="152"/>
        <v>1819.1769999999999</v>
      </c>
      <c r="AC690" s="27">
        <f t="shared" si="153"/>
        <v>1062.7058999999999</v>
      </c>
    </row>
    <row r="691" spans="1:29" ht="15" customHeight="1" x14ac:dyDescent="0.3">
      <c r="A691" s="14" t="s">
        <v>595</v>
      </c>
      <c r="B691" s="15" t="s">
        <v>6</v>
      </c>
      <c r="C691" s="16"/>
      <c r="D691" s="17"/>
      <c r="E691" s="17"/>
      <c r="F691" s="18">
        <v>0.97350000000000003</v>
      </c>
      <c r="G691" s="19">
        <v>1.3669</v>
      </c>
      <c r="H691" s="20">
        <v>0.25619999999999998</v>
      </c>
      <c r="I691" s="21">
        <v>4.9279999999999999</v>
      </c>
      <c r="J691" s="20">
        <v>7.3564999999999996</v>
      </c>
      <c r="K691" s="20">
        <v>1.4279999999999999</v>
      </c>
      <c r="M691" t="str">
        <f t="shared" si="140"/>
        <v/>
      </c>
      <c r="N691" s="29" t="str">
        <f t="shared" si="141"/>
        <v xml:space="preserve"> SigmaKappaZeta Co.</v>
      </c>
      <c r="O691" t="str">
        <f t="shared" si="142"/>
        <v>GIAN (SCK ZETA COMPANY)</v>
      </c>
      <c r="P691" t="str">
        <f t="shared" si="144"/>
        <v/>
      </c>
      <c r="R691" t="str">
        <f t="shared" si="143"/>
        <v/>
      </c>
      <c r="T691" t="s">
        <v>871</v>
      </c>
      <c r="U691" t="str">
        <f t="shared" si="145"/>
        <v/>
      </c>
      <c r="V691" t="str">
        <f t="shared" si="146"/>
        <v/>
      </c>
      <c r="W691" t="str">
        <f t="shared" si="147"/>
        <v/>
      </c>
      <c r="X691" s="27" t="str">
        <f t="shared" si="148"/>
        <v/>
      </c>
      <c r="Y691" s="27" t="str">
        <f t="shared" si="149"/>
        <v/>
      </c>
      <c r="Z691" s="27" t="str">
        <f t="shared" si="150"/>
        <v/>
      </c>
      <c r="AA691" s="27" t="str">
        <f t="shared" si="151"/>
        <v/>
      </c>
      <c r="AB691" s="27" t="str">
        <f t="shared" si="152"/>
        <v/>
      </c>
      <c r="AC691" s="27" t="str">
        <f t="shared" si="153"/>
        <v/>
      </c>
    </row>
    <row r="692" spans="1:29" ht="15" customHeight="1" x14ac:dyDescent="0.3">
      <c r="A692" s="22" t="s">
        <v>596</v>
      </c>
      <c r="B692" s="23" t="s">
        <v>8</v>
      </c>
      <c r="C692" s="23" t="s">
        <v>9</v>
      </c>
      <c r="D692" s="24" t="s">
        <v>10</v>
      </c>
      <c r="E692" s="24" t="s">
        <v>42</v>
      </c>
      <c r="F692" s="18">
        <v>0.1701</v>
      </c>
      <c r="G692" s="19">
        <v>0.71989999999999998</v>
      </c>
      <c r="H692" s="20">
        <v>4.9299999999999997E-2</v>
      </c>
      <c r="I692" s="21">
        <v>1.008</v>
      </c>
      <c r="J692" s="20">
        <v>3.8765000000000001</v>
      </c>
      <c r="K692" s="20">
        <v>0.28799999999999998</v>
      </c>
      <c r="M692" t="str">
        <f t="shared" si="140"/>
        <v/>
      </c>
      <c r="N692" s="29" t="str">
        <f t="shared" si="141"/>
        <v xml:space="preserve"> SigmaKappaZeta Co.</v>
      </c>
      <c r="O692" t="str">
        <f t="shared" si="142"/>
        <v>GIAN (SCK ZETA COMPANY)</v>
      </c>
      <c r="P692" t="str">
        <f t="shared" si="144"/>
        <v/>
      </c>
      <c r="R692" t="str">
        <f t="shared" si="143"/>
        <v/>
      </c>
      <c r="T692" t="s">
        <v>871</v>
      </c>
      <c r="U692" t="str">
        <f t="shared" si="145"/>
        <v/>
      </c>
      <c r="V692" t="str">
        <f t="shared" si="146"/>
        <v/>
      </c>
      <c r="W692" t="str">
        <f t="shared" si="147"/>
        <v/>
      </c>
      <c r="X692" s="27" t="str">
        <f t="shared" si="148"/>
        <v/>
      </c>
      <c r="Y692" s="27" t="str">
        <f t="shared" si="149"/>
        <v/>
      </c>
      <c r="Z692" s="27" t="str">
        <f t="shared" si="150"/>
        <v/>
      </c>
      <c r="AA692" s="27" t="str">
        <f t="shared" si="151"/>
        <v/>
      </c>
      <c r="AB692" s="27" t="str">
        <f t="shared" si="152"/>
        <v/>
      </c>
      <c r="AC692" s="27" t="str">
        <f t="shared" si="153"/>
        <v/>
      </c>
    </row>
    <row r="693" spans="1:29" ht="15" customHeight="1" x14ac:dyDescent="0.3">
      <c r="A693" s="22" t="s">
        <v>597</v>
      </c>
      <c r="B693" s="23" t="s">
        <v>8</v>
      </c>
      <c r="C693" s="23" t="s">
        <v>555</v>
      </c>
      <c r="D693" s="24" t="s">
        <v>10</v>
      </c>
      <c r="E693" s="24" t="s">
        <v>103</v>
      </c>
      <c r="F693" s="18">
        <v>0.8034</v>
      </c>
      <c r="G693" s="19">
        <v>0.64690000000000003</v>
      </c>
      <c r="H693" s="20">
        <v>0.2069</v>
      </c>
      <c r="I693" s="21">
        <v>3.92</v>
      </c>
      <c r="J693" s="20">
        <v>3.48</v>
      </c>
      <c r="K693" s="20">
        <v>1.1399999999999999</v>
      </c>
      <c r="M693" t="str">
        <f t="shared" si="140"/>
        <v>SEBAMED BABYCLEANSING EXTRASOFT W 72 BAG</v>
      </c>
      <c r="N693" s="29" t="str">
        <f t="shared" si="141"/>
        <v xml:space="preserve"> SebaMedicines</v>
      </c>
      <c r="O693" t="str">
        <f t="shared" si="142"/>
        <v>SEBAMED (SEBAPHARMA)</v>
      </c>
      <c r="P693" t="str">
        <f t="shared" si="144"/>
        <v xml:space="preserve"> SebaMedicines</v>
      </c>
      <c r="R693" t="str">
        <f t="shared" si="143"/>
        <v>SEBAMED (SEBAPHARMA)</v>
      </c>
      <c r="T693" t="s">
        <v>596</v>
      </c>
      <c r="U693" t="str">
        <f t="shared" si="145"/>
        <v>BAGS</v>
      </c>
      <c r="V693" t="str">
        <f t="shared" si="146"/>
        <v>WITHOUT EXTRA PROTECTCARE INDICATION</v>
      </c>
      <c r="W693" t="str">
        <f t="shared" si="147"/>
        <v>72</v>
      </c>
      <c r="X693" s="27">
        <f t="shared" si="148"/>
        <v>0.1701</v>
      </c>
      <c r="Y693" s="27">
        <f t="shared" si="149"/>
        <v>0.71989999999999998</v>
      </c>
      <c r="Z693" s="27">
        <f t="shared" si="150"/>
        <v>4.9299999999999997E-2</v>
      </c>
      <c r="AA693" s="27">
        <f t="shared" si="151"/>
        <v>1.008</v>
      </c>
      <c r="AB693" s="27">
        <f t="shared" si="152"/>
        <v>3.8765000000000001</v>
      </c>
      <c r="AC693" s="27">
        <f t="shared" si="153"/>
        <v>0.28799999999999998</v>
      </c>
    </row>
    <row r="694" spans="1:29" ht="14.25" customHeight="1" x14ac:dyDescent="0.3">
      <c r="A694" s="25" t="s">
        <v>802</v>
      </c>
      <c r="B694" s="4" t="s">
        <v>5</v>
      </c>
      <c r="C694" s="4"/>
      <c r="D694" s="5"/>
      <c r="E694" s="5"/>
      <c r="F694" s="10">
        <v>18.511199999999999</v>
      </c>
      <c r="G694" s="11">
        <v>14.1861</v>
      </c>
      <c r="H694" s="12">
        <v>5.5843999999999996</v>
      </c>
      <c r="I694" s="13">
        <v>978.4941</v>
      </c>
      <c r="J694" s="12">
        <v>734.42629999999997</v>
      </c>
      <c r="K694" s="12">
        <v>305.17070000000001</v>
      </c>
      <c r="M694" t="str">
        <f t="shared" si="140"/>
        <v>SEBAMED BABY OIL WIPES W 70 BOX</v>
      </c>
      <c r="N694" s="29" t="str">
        <f t="shared" si="141"/>
        <v xml:space="preserve"> SebaMedicines</v>
      </c>
      <c r="O694" t="str">
        <f t="shared" si="142"/>
        <v>SEBAMED (SEBAPHARMA)</v>
      </c>
      <c r="P694" t="str">
        <f t="shared" si="144"/>
        <v xml:space="preserve"> SebaMedicines</v>
      </c>
      <c r="R694" t="str">
        <f t="shared" si="143"/>
        <v>SEBAMED (SEBAPHARMA)</v>
      </c>
      <c r="T694" t="s">
        <v>597</v>
      </c>
      <c r="U694" t="str">
        <f t="shared" si="145"/>
        <v>BOX</v>
      </c>
      <c r="V694" t="str">
        <f t="shared" si="146"/>
        <v>WITHOUT EXTRA PROTECTCARE INDICATION</v>
      </c>
      <c r="W694" t="str">
        <f t="shared" si="147"/>
        <v>70</v>
      </c>
      <c r="X694" s="27">
        <f t="shared" si="148"/>
        <v>0.8034</v>
      </c>
      <c r="Y694" s="27">
        <f t="shared" si="149"/>
        <v>0.64690000000000003</v>
      </c>
      <c r="Z694" s="27">
        <f t="shared" si="150"/>
        <v>0.2069</v>
      </c>
      <c r="AA694" s="27">
        <f t="shared" si="151"/>
        <v>3.92</v>
      </c>
      <c r="AB694" s="27">
        <f t="shared" si="152"/>
        <v>3.48</v>
      </c>
      <c r="AC694" s="27">
        <f t="shared" si="153"/>
        <v>1.1399999999999999</v>
      </c>
    </row>
    <row r="695" spans="1:29" ht="15" customHeight="1" x14ac:dyDescent="0.3">
      <c r="A695" s="14" t="s">
        <v>598</v>
      </c>
      <c r="B695" s="15" t="s">
        <v>6</v>
      </c>
      <c r="C695" s="16"/>
      <c r="D695" s="17"/>
      <c r="E695" s="17"/>
      <c r="F695" s="18">
        <v>18.511199999999999</v>
      </c>
      <c r="G695" s="19">
        <v>14.1861</v>
      </c>
      <c r="H695" s="20">
        <v>5.5843999999999996</v>
      </c>
      <c r="I695" s="21">
        <v>978.4941</v>
      </c>
      <c r="J695" s="20">
        <v>734.42629999999997</v>
      </c>
      <c r="K695" s="20">
        <v>305.17070000000001</v>
      </c>
      <c r="M695" t="str">
        <f t="shared" si="140"/>
        <v/>
      </c>
      <c r="N695" s="29" t="str">
        <f t="shared" si="141"/>
        <v xml:space="preserve"> SebaMedicines</v>
      </c>
      <c r="O695" t="str">
        <f t="shared" si="142"/>
        <v>SEBAMED (SEBAPHARMA)</v>
      </c>
      <c r="P695" t="str">
        <f t="shared" si="144"/>
        <v/>
      </c>
      <c r="R695" t="str">
        <f t="shared" si="143"/>
        <v/>
      </c>
      <c r="T695" t="s">
        <v>871</v>
      </c>
      <c r="U695" t="str">
        <f t="shared" si="145"/>
        <v/>
      </c>
      <c r="V695" t="str">
        <f t="shared" si="146"/>
        <v/>
      </c>
      <c r="W695" t="str">
        <f t="shared" si="147"/>
        <v/>
      </c>
      <c r="X695" s="27" t="str">
        <f t="shared" si="148"/>
        <v/>
      </c>
      <c r="Y695" s="27" t="str">
        <f t="shared" si="149"/>
        <v/>
      </c>
      <c r="Z695" s="27" t="str">
        <f t="shared" si="150"/>
        <v/>
      </c>
      <c r="AA695" s="27" t="str">
        <f t="shared" si="151"/>
        <v/>
      </c>
      <c r="AB695" s="27" t="str">
        <f t="shared" si="152"/>
        <v/>
      </c>
      <c r="AC695" s="27" t="str">
        <f t="shared" si="153"/>
        <v/>
      </c>
    </row>
    <row r="696" spans="1:29" ht="15" customHeight="1" x14ac:dyDescent="0.3">
      <c r="A696" s="22" t="s">
        <v>599</v>
      </c>
      <c r="B696" s="23" t="s">
        <v>8</v>
      </c>
      <c r="C696" s="23" t="s">
        <v>9</v>
      </c>
      <c r="D696" s="24" t="s">
        <v>20</v>
      </c>
      <c r="E696" s="24" t="s">
        <v>42</v>
      </c>
      <c r="F696" s="18">
        <v>16.393699999999999</v>
      </c>
      <c r="G696" s="19">
        <v>13.5199</v>
      </c>
      <c r="H696" s="20">
        <v>5.5843999999999996</v>
      </c>
      <c r="I696" s="21">
        <v>841.14940000000001</v>
      </c>
      <c r="J696" s="20">
        <v>693.07759999999996</v>
      </c>
      <c r="K696" s="20">
        <v>305.17070000000001</v>
      </c>
      <c r="M696" t="str">
        <f t="shared" si="140"/>
        <v/>
      </c>
      <c r="N696" s="29" t="str">
        <f t="shared" si="141"/>
        <v xml:space="preserve"> SebaMedicines</v>
      </c>
      <c r="O696" t="str">
        <f t="shared" si="142"/>
        <v>SEBAMED (SEBAPHARMA)</v>
      </c>
      <c r="P696" t="str">
        <f t="shared" si="144"/>
        <v/>
      </c>
      <c r="R696" t="str">
        <f t="shared" si="143"/>
        <v/>
      </c>
      <c r="T696" t="s">
        <v>871</v>
      </c>
      <c r="U696" t="str">
        <f t="shared" si="145"/>
        <v/>
      </c>
      <c r="V696" t="str">
        <f t="shared" si="146"/>
        <v/>
      </c>
      <c r="W696" t="str">
        <f t="shared" si="147"/>
        <v/>
      </c>
      <c r="X696" s="27" t="str">
        <f t="shared" si="148"/>
        <v/>
      </c>
      <c r="Y696" s="27" t="str">
        <f t="shared" si="149"/>
        <v/>
      </c>
      <c r="Z696" s="27" t="str">
        <f t="shared" si="150"/>
        <v/>
      </c>
      <c r="AA696" s="27" t="str">
        <f t="shared" si="151"/>
        <v/>
      </c>
      <c r="AB696" s="27" t="str">
        <f t="shared" si="152"/>
        <v/>
      </c>
      <c r="AC696" s="27" t="str">
        <f t="shared" si="153"/>
        <v/>
      </c>
    </row>
    <row r="697" spans="1:29" ht="15" customHeight="1" x14ac:dyDescent="0.3">
      <c r="A697" s="22" t="s">
        <v>600</v>
      </c>
      <c r="B697" s="23" t="s">
        <v>8</v>
      </c>
      <c r="C697" s="23" t="s">
        <v>9</v>
      </c>
      <c r="D697" s="24" t="s">
        <v>20</v>
      </c>
      <c r="E697" s="24" t="s">
        <v>42</v>
      </c>
      <c r="F697" s="18">
        <v>2.1175000000000002</v>
      </c>
      <c r="G697" s="19">
        <v>0.66620000000000001</v>
      </c>
      <c r="H697" s="20"/>
      <c r="I697" s="21">
        <v>137.34479999999999</v>
      </c>
      <c r="J697" s="20">
        <v>41.348700000000001</v>
      </c>
      <c r="K697" s="20"/>
      <c r="M697" t="str">
        <f t="shared" si="140"/>
        <v>MAMMI PH5.5 ALC.FREE W 72 BAG SINI</v>
      </c>
      <c r="N697" s="29" t="str">
        <f t="shared" si="141"/>
        <v xml:space="preserve"> SignalTrade</v>
      </c>
      <c r="O697" t="str">
        <f t="shared" si="142"/>
        <v>MAMMI (SEMA TREYD ODD)</v>
      </c>
      <c r="P697" t="str">
        <f t="shared" si="144"/>
        <v xml:space="preserve"> SignalTrade</v>
      </c>
      <c r="R697" t="str">
        <f t="shared" si="143"/>
        <v>MAMMI (SEMA TREYD ODD)</v>
      </c>
      <c r="T697" t="s">
        <v>599</v>
      </c>
      <c r="U697" t="str">
        <f t="shared" si="145"/>
        <v>BAGS</v>
      </c>
      <c r="V697" t="str">
        <f t="shared" si="146"/>
        <v>PH BALANCED</v>
      </c>
      <c r="W697" t="str">
        <f t="shared" si="147"/>
        <v>72</v>
      </c>
      <c r="X697" s="27">
        <f t="shared" si="148"/>
        <v>16.393699999999999</v>
      </c>
      <c r="Y697" s="27">
        <f t="shared" si="149"/>
        <v>13.5199</v>
      </c>
      <c r="Z697" s="27">
        <f t="shared" si="150"/>
        <v>5.5843999999999996</v>
      </c>
      <c r="AA697" s="27">
        <f t="shared" si="151"/>
        <v>841.14940000000001</v>
      </c>
      <c r="AB697" s="27">
        <f t="shared" si="152"/>
        <v>693.07759999999996</v>
      </c>
      <c r="AC697" s="27">
        <f t="shared" si="153"/>
        <v>305.17070000000001</v>
      </c>
    </row>
    <row r="698" spans="1:29" ht="14.25" customHeight="1" x14ac:dyDescent="0.3">
      <c r="A698" s="25" t="s">
        <v>803</v>
      </c>
      <c r="B698" s="4" t="s">
        <v>5</v>
      </c>
      <c r="C698" s="4"/>
      <c r="D698" s="5"/>
      <c r="E698" s="5"/>
      <c r="F698" s="10">
        <v>632.96190000000001</v>
      </c>
      <c r="G698" s="11">
        <v>529.41039999999998</v>
      </c>
      <c r="H698" s="12">
        <v>262.13749999999999</v>
      </c>
      <c r="I698" s="13">
        <v>36136.764000000003</v>
      </c>
      <c r="J698" s="12">
        <v>28913.011500000001</v>
      </c>
      <c r="K698" s="12">
        <v>13646.2943</v>
      </c>
      <c r="M698" t="str">
        <f t="shared" si="140"/>
        <v>MAMMI PH5.5 ALC.FREE W 72 BAG ZELENI</v>
      </c>
      <c r="N698" s="29" t="str">
        <f t="shared" si="141"/>
        <v xml:space="preserve"> SignalTrade</v>
      </c>
      <c r="O698" t="str">
        <f t="shared" si="142"/>
        <v>MAMMI (SEMA TREYD ODD)</v>
      </c>
      <c r="P698" t="str">
        <f t="shared" si="144"/>
        <v xml:space="preserve"> SignalTrade</v>
      </c>
      <c r="R698" t="str">
        <f t="shared" si="143"/>
        <v>MAMMI (SEMA TREYD ODD)</v>
      </c>
      <c r="T698" t="s">
        <v>600</v>
      </c>
      <c r="U698" t="str">
        <f t="shared" si="145"/>
        <v>BAGS</v>
      </c>
      <c r="V698" t="str">
        <f t="shared" si="146"/>
        <v>PH BALANCED</v>
      </c>
      <c r="W698" t="str">
        <f t="shared" si="147"/>
        <v>72</v>
      </c>
      <c r="X698" s="27">
        <f t="shared" si="148"/>
        <v>2.1175000000000002</v>
      </c>
      <c r="Y698" s="27">
        <f t="shared" si="149"/>
        <v>0.66620000000000001</v>
      </c>
      <c r="Z698" s="27">
        <f t="shared" si="150"/>
        <v>0</v>
      </c>
      <c r="AA698" s="27">
        <f t="shared" si="151"/>
        <v>137.34479999999999</v>
      </c>
      <c r="AB698" s="27">
        <f t="shared" si="152"/>
        <v>41.348700000000001</v>
      </c>
      <c r="AC698" s="27">
        <f t="shared" si="153"/>
        <v>0</v>
      </c>
    </row>
    <row r="699" spans="1:29" ht="15" customHeight="1" x14ac:dyDescent="0.3">
      <c r="A699" s="14" t="s">
        <v>601</v>
      </c>
      <c r="B699" s="15" t="s">
        <v>6</v>
      </c>
      <c r="C699" s="16"/>
      <c r="D699" s="17"/>
      <c r="E699" s="17"/>
      <c r="F699" s="18">
        <v>1.9984999999999999</v>
      </c>
      <c r="G699" s="19">
        <v>3.2300000000000002E-2</v>
      </c>
      <c r="H699" s="20"/>
      <c r="I699" s="21">
        <v>141.71469999999999</v>
      </c>
      <c r="J699" s="20">
        <v>1.9971000000000001</v>
      </c>
      <c r="K699" s="20"/>
      <c r="M699" t="str">
        <f t="shared" si="140"/>
        <v/>
      </c>
      <c r="N699" s="29" t="str">
        <f t="shared" si="141"/>
        <v xml:space="preserve"> SignalTrade</v>
      </c>
      <c r="O699" t="str">
        <f t="shared" si="142"/>
        <v>MAMMI (SEMA TREYD ODD)</v>
      </c>
      <c r="P699" t="str">
        <f t="shared" si="144"/>
        <v/>
      </c>
      <c r="R699" t="str">
        <f t="shared" si="143"/>
        <v/>
      </c>
      <c r="T699" t="s">
        <v>871</v>
      </c>
      <c r="U699" t="str">
        <f t="shared" si="145"/>
        <v/>
      </c>
      <c r="V699" t="str">
        <f t="shared" si="146"/>
        <v/>
      </c>
      <c r="W699" t="str">
        <f t="shared" si="147"/>
        <v/>
      </c>
      <c r="X699" s="27" t="str">
        <f t="shared" si="148"/>
        <v/>
      </c>
      <c r="Y699" s="27" t="str">
        <f t="shared" si="149"/>
        <v/>
      </c>
      <c r="Z699" s="27" t="str">
        <f t="shared" si="150"/>
        <v/>
      </c>
      <c r="AA699" s="27" t="str">
        <f t="shared" si="151"/>
        <v/>
      </c>
      <c r="AB699" s="27" t="str">
        <f t="shared" si="152"/>
        <v/>
      </c>
      <c r="AC699" s="27" t="str">
        <f t="shared" si="153"/>
        <v/>
      </c>
    </row>
    <row r="700" spans="1:29" ht="15" customHeight="1" x14ac:dyDescent="0.3">
      <c r="A700" s="22" t="s">
        <v>602</v>
      </c>
      <c r="B700" s="23" t="s">
        <v>8</v>
      </c>
      <c r="C700" s="23" t="s">
        <v>9</v>
      </c>
      <c r="D700" s="24" t="s">
        <v>20</v>
      </c>
      <c r="E700" s="24" t="s">
        <v>24</v>
      </c>
      <c r="F700" s="18">
        <v>1.9984999999999999</v>
      </c>
      <c r="G700" s="19">
        <v>3.2300000000000002E-2</v>
      </c>
      <c r="H700" s="20"/>
      <c r="I700" s="21">
        <v>141.71469999999999</v>
      </c>
      <c r="J700" s="20">
        <v>1.9971000000000001</v>
      </c>
      <c r="K700" s="20"/>
      <c r="M700" t="str">
        <f t="shared" si="140"/>
        <v/>
      </c>
      <c r="N700" s="29" t="str">
        <f t="shared" si="141"/>
        <v xml:space="preserve"> SignalTrade</v>
      </c>
      <c r="O700" t="str">
        <f t="shared" si="142"/>
        <v>MAMMI (SEMA TREYD ODD)</v>
      </c>
      <c r="P700" t="str">
        <f t="shared" si="144"/>
        <v/>
      </c>
      <c r="R700" t="str">
        <f t="shared" si="143"/>
        <v/>
      </c>
      <c r="T700" t="s">
        <v>871</v>
      </c>
      <c r="U700" t="str">
        <f t="shared" si="145"/>
        <v/>
      </c>
      <c r="V700" t="str">
        <f t="shared" si="146"/>
        <v/>
      </c>
      <c r="W700" t="str">
        <f t="shared" si="147"/>
        <v/>
      </c>
      <c r="X700" s="27" t="str">
        <f t="shared" si="148"/>
        <v/>
      </c>
      <c r="Y700" s="27" t="str">
        <f t="shared" si="149"/>
        <v/>
      </c>
      <c r="Z700" s="27" t="str">
        <f t="shared" si="150"/>
        <v/>
      </c>
      <c r="AA700" s="27" t="str">
        <f t="shared" si="151"/>
        <v/>
      </c>
      <c r="AB700" s="27" t="str">
        <f t="shared" si="152"/>
        <v/>
      </c>
      <c r="AC700" s="27" t="str">
        <f t="shared" si="153"/>
        <v/>
      </c>
    </row>
    <row r="701" spans="1:29" ht="15" customHeight="1" x14ac:dyDescent="0.3">
      <c r="A701" s="14" t="s">
        <v>603</v>
      </c>
      <c r="B701" s="15" t="s">
        <v>6</v>
      </c>
      <c r="C701" s="16"/>
      <c r="D701" s="17"/>
      <c r="E701" s="17"/>
      <c r="F701" s="18">
        <v>306.92559999999997</v>
      </c>
      <c r="G701" s="19">
        <v>309.65649999999999</v>
      </c>
      <c r="H701" s="20">
        <v>149.7295</v>
      </c>
      <c r="I701" s="21">
        <v>16220.671399999999</v>
      </c>
      <c r="J701" s="20">
        <v>15817.5867</v>
      </c>
      <c r="K701" s="20">
        <v>7239.5672999999997</v>
      </c>
      <c r="M701" t="str">
        <f t="shared" si="140"/>
        <v>ASALI BABY ULTRA SOFT VIT.E W 120 BAG</v>
      </c>
      <c r="N701" s="29" t="str">
        <f t="shared" si="141"/>
        <v xml:space="preserve"> SepaTextiles</v>
      </c>
      <c r="O701" t="str">
        <f t="shared" si="142"/>
        <v>ASALI (SEPA MENSUCAT)</v>
      </c>
      <c r="P701" t="str">
        <f t="shared" si="144"/>
        <v xml:space="preserve"> SepaTextiles</v>
      </c>
      <c r="R701" t="str">
        <f t="shared" si="143"/>
        <v>ASALI (SEPA MENSUCAT)</v>
      </c>
      <c r="T701" t="s">
        <v>602</v>
      </c>
      <c r="U701" t="str">
        <f t="shared" si="145"/>
        <v>BAGS</v>
      </c>
      <c r="V701" t="str">
        <f t="shared" si="146"/>
        <v>PH BALANCED</v>
      </c>
      <c r="W701" t="str">
        <f t="shared" si="147"/>
        <v>120</v>
      </c>
      <c r="X701" s="27">
        <f t="shared" si="148"/>
        <v>1.9984999999999999</v>
      </c>
      <c r="Y701" s="27">
        <f t="shared" si="149"/>
        <v>3.2300000000000002E-2</v>
      </c>
      <c r="Z701" s="27">
        <f t="shared" si="150"/>
        <v>0</v>
      </c>
      <c r="AA701" s="27">
        <f t="shared" si="151"/>
        <v>141.71469999999999</v>
      </c>
      <c r="AB701" s="27">
        <f t="shared" si="152"/>
        <v>1.9971000000000001</v>
      </c>
      <c r="AC701" s="27">
        <f t="shared" si="153"/>
        <v>0</v>
      </c>
    </row>
    <row r="702" spans="1:29" ht="15" customHeight="1" x14ac:dyDescent="0.3">
      <c r="A702" s="22" t="s">
        <v>604</v>
      </c>
      <c r="B702" s="23" t="s">
        <v>8</v>
      </c>
      <c r="C702" s="23" t="s">
        <v>9</v>
      </c>
      <c r="D702" s="24" t="s">
        <v>30</v>
      </c>
      <c r="E702" s="24" t="s">
        <v>21</v>
      </c>
      <c r="F702" s="18">
        <v>136.17420000000001</v>
      </c>
      <c r="G702" s="19">
        <v>152.24180000000001</v>
      </c>
      <c r="H702" s="20">
        <v>70.924899999999994</v>
      </c>
      <c r="I702" s="21">
        <v>7155.8876</v>
      </c>
      <c r="J702" s="20">
        <v>7606.2596000000003</v>
      </c>
      <c r="K702" s="20">
        <v>3236.7058000000002</v>
      </c>
      <c r="M702" t="str">
        <f t="shared" si="140"/>
        <v/>
      </c>
      <c r="N702" s="29" t="str">
        <f t="shared" si="141"/>
        <v xml:space="preserve"> SepaTextiles</v>
      </c>
      <c r="O702" t="str">
        <f t="shared" si="142"/>
        <v>ASALI (SEPA MENSUCAT)</v>
      </c>
      <c r="P702" t="str">
        <f t="shared" si="144"/>
        <v/>
      </c>
      <c r="R702" t="str">
        <f t="shared" si="143"/>
        <v/>
      </c>
      <c r="T702" t="s">
        <v>871</v>
      </c>
      <c r="U702" t="str">
        <f t="shared" si="145"/>
        <v/>
      </c>
      <c r="V702" t="str">
        <f t="shared" si="146"/>
        <v/>
      </c>
      <c r="W702" t="str">
        <f t="shared" si="147"/>
        <v/>
      </c>
      <c r="X702" s="27" t="str">
        <f t="shared" si="148"/>
        <v/>
      </c>
      <c r="Y702" s="27" t="str">
        <f t="shared" si="149"/>
        <v/>
      </c>
      <c r="Z702" s="27" t="str">
        <f t="shared" si="150"/>
        <v/>
      </c>
      <c r="AA702" s="27" t="str">
        <f t="shared" si="151"/>
        <v/>
      </c>
      <c r="AB702" s="27" t="str">
        <f t="shared" si="152"/>
        <v/>
      </c>
      <c r="AC702" s="27" t="str">
        <f t="shared" si="153"/>
        <v/>
      </c>
    </row>
    <row r="703" spans="1:29" ht="15" customHeight="1" x14ac:dyDescent="0.3">
      <c r="A703" s="22" t="s">
        <v>605</v>
      </c>
      <c r="B703" s="23" t="s">
        <v>8</v>
      </c>
      <c r="C703" s="23" t="s">
        <v>9</v>
      </c>
      <c r="D703" s="24" t="s">
        <v>20</v>
      </c>
      <c r="E703" s="24" t="s">
        <v>24</v>
      </c>
      <c r="F703" s="18">
        <v>166.38550000000001</v>
      </c>
      <c r="G703" s="19">
        <v>154.19909999999999</v>
      </c>
      <c r="H703" s="20">
        <v>78.409199999999998</v>
      </c>
      <c r="I703" s="21">
        <v>8805.9477000000006</v>
      </c>
      <c r="J703" s="20">
        <v>8032.0802000000003</v>
      </c>
      <c r="K703" s="20">
        <v>3983.7687000000001</v>
      </c>
      <c r="M703" t="str">
        <f t="shared" si="140"/>
        <v>COTTON SOFT CHAMOMILE ALC.FREE W 100 BAG</v>
      </c>
      <c r="N703" s="29" t="str">
        <f t="shared" si="141"/>
        <v xml:space="preserve"> SepaTextiles</v>
      </c>
      <c r="O703" t="str">
        <f t="shared" si="142"/>
        <v>COTTON SOFT (SEPA MENSUCAT)</v>
      </c>
      <c r="P703" t="str">
        <f t="shared" si="144"/>
        <v xml:space="preserve"> SepaTextiles</v>
      </c>
      <c r="R703" t="str">
        <f t="shared" si="143"/>
        <v>COTTON SOFT (SEPA MENSUCAT)</v>
      </c>
      <c r="T703" t="s">
        <v>604</v>
      </c>
      <c r="U703" t="str">
        <f t="shared" si="145"/>
        <v>BAGS</v>
      </c>
      <c r="V703" t="str">
        <f t="shared" si="146"/>
        <v>ALCOHOL FREE</v>
      </c>
      <c r="W703" t="str">
        <f t="shared" si="147"/>
        <v>100</v>
      </c>
      <c r="X703" s="27">
        <f t="shared" si="148"/>
        <v>136.17420000000001</v>
      </c>
      <c r="Y703" s="27">
        <f t="shared" si="149"/>
        <v>152.24180000000001</v>
      </c>
      <c r="Z703" s="27">
        <f t="shared" si="150"/>
        <v>70.924899999999994</v>
      </c>
      <c r="AA703" s="27">
        <f t="shared" si="151"/>
        <v>7155.8876</v>
      </c>
      <c r="AB703" s="27">
        <f t="shared" si="152"/>
        <v>7606.2596000000003</v>
      </c>
      <c r="AC703" s="27">
        <f t="shared" si="153"/>
        <v>3236.7058000000002</v>
      </c>
    </row>
    <row r="704" spans="1:29" ht="15" customHeight="1" x14ac:dyDescent="0.3">
      <c r="A704" s="22" t="s">
        <v>606</v>
      </c>
      <c r="B704" s="23" t="s">
        <v>8</v>
      </c>
      <c r="C704" s="23" t="s">
        <v>9</v>
      </c>
      <c r="D704" s="24" t="s">
        <v>20</v>
      </c>
      <c r="E704" s="24" t="s">
        <v>42</v>
      </c>
      <c r="F704" s="18">
        <v>7.4499999999999997E-2</v>
      </c>
      <c r="G704" s="19"/>
      <c r="H704" s="20"/>
      <c r="I704" s="21">
        <v>5.2851999999999997</v>
      </c>
      <c r="J704" s="20"/>
      <c r="K704" s="20"/>
      <c r="M704" t="str">
        <f t="shared" si="140"/>
        <v>COTTON SOFT PH5.5 W 120 BAG KAPAK</v>
      </c>
      <c r="N704" s="29" t="str">
        <f t="shared" si="141"/>
        <v xml:space="preserve"> SepaTextiles</v>
      </c>
      <c r="O704" t="str">
        <f t="shared" si="142"/>
        <v>COTTON SOFT (SEPA MENSUCAT)</v>
      </c>
      <c r="P704" t="str">
        <f t="shared" si="144"/>
        <v xml:space="preserve"> SepaTextiles</v>
      </c>
      <c r="R704" t="str">
        <f t="shared" si="143"/>
        <v>COTTON SOFT (SEPA MENSUCAT)</v>
      </c>
      <c r="T704" t="s">
        <v>605</v>
      </c>
      <c r="U704" t="str">
        <f t="shared" si="145"/>
        <v>BAGS</v>
      </c>
      <c r="V704" t="str">
        <f t="shared" si="146"/>
        <v>PH BALANCED</v>
      </c>
      <c r="W704" t="str">
        <f t="shared" si="147"/>
        <v>120</v>
      </c>
      <c r="X704" s="27">
        <f t="shared" si="148"/>
        <v>166.38550000000001</v>
      </c>
      <c r="Y704" s="27">
        <f t="shared" si="149"/>
        <v>154.19909999999999</v>
      </c>
      <c r="Z704" s="27">
        <f t="shared" si="150"/>
        <v>78.409199999999998</v>
      </c>
      <c r="AA704" s="27">
        <f t="shared" si="151"/>
        <v>8805.9477000000006</v>
      </c>
      <c r="AB704" s="27">
        <f t="shared" si="152"/>
        <v>8032.0802000000003</v>
      </c>
      <c r="AC704" s="27">
        <f t="shared" si="153"/>
        <v>3983.7687000000001</v>
      </c>
    </row>
    <row r="705" spans="1:29" ht="15" customHeight="1" x14ac:dyDescent="0.3">
      <c r="A705" s="22" t="s">
        <v>607</v>
      </c>
      <c r="B705" s="23" t="s">
        <v>8</v>
      </c>
      <c r="C705" s="23" t="s">
        <v>9</v>
      </c>
      <c r="D705" s="24" t="s">
        <v>10</v>
      </c>
      <c r="E705" s="24" t="s">
        <v>42</v>
      </c>
      <c r="F705" s="18">
        <v>4.2912999999999997</v>
      </c>
      <c r="G705" s="19">
        <v>3.2158000000000002</v>
      </c>
      <c r="H705" s="20">
        <v>0.39529999999999998</v>
      </c>
      <c r="I705" s="21">
        <v>253.55109999999999</v>
      </c>
      <c r="J705" s="20">
        <v>179.24690000000001</v>
      </c>
      <c r="K705" s="20">
        <v>19.092600000000001</v>
      </c>
      <c r="M705" t="str">
        <f t="shared" si="140"/>
        <v>COTTON SOFT PH5.5 W 72 BAG KAPAK</v>
      </c>
      <c r="N705" s="29" t="str">
        <f t="shared" si="141"/>
        <v xml:space="preserve"> SepaTextiles</v>
      </c>
      <c r="O705" t="str">
        <f t="shared" si="142"/>
        <v>COTTON SOFT (SEPA MENSUCAT)</v>
      </c>
      <c r="P705" t="str">
        <f t="shared" si="144"/>
        <v xml:space="preserve"> SepaTextiles</v>
      </c>
      <c r="R705" t="str">
        <f t="shared" si="143"/>
        <v>COTTON SOFT (SEPA MENSUCAT)</v>
      </c>
      <c r="T705" t="s">
        <v>606</v>
      </c>
      <c r="U705" t="str">
        <f t="shared" si="145"/>
        <v>BAGS</v>
      </c>
      <c r="V705" t="str">
        <f t="shared" si="146"/>
        <v>PH BALANCED</v>
      </c>
      <c r="W705" t="str">
        <f t="shared" si="147"/>
        <v>72</v>
      </c>
      <c r="X705" s="27">
        <f t="shared" si="148"/>
        <v>7.4499999999999997E-2</v>
      </c>
      <c r="Y705" s="27">
        <f t="shared" si="149"/>
        <v>0</v>
      </c>
      <c r="Z705" s="27">
        <f t="shared" si="150"/>
        <v>0</v>
      </c>
      <c r="AA705" s="27">
        <f t="shared" si="151"/>
        <v>5.2851999999999997</v>
      </c>
      <c r="AB705" s="27">
        <f t="shared" si="152"/>
        <v>0</v>
      </c>
      <c r="AC705" s="27">
        <f t="shared" si="153"/>
        <v>0</v>
      </c>
    </row>
    <row r="706" spans="1:29" ht="15" customHeight="1" x14ac:dyDescent="0.3">
      <c r="A706" s="14" t="s">
        <v>608</v>
      </c>
      <c r="B706" s="15" t="s">
        <v>6</v>
      </c>
      <c r="C706" s="16"/>
      <c r="D706" s="17"/>
      <c r="E706" s="17"/>
      <c r="F706" s="18">
        <v>53.159100000000002</v>
      </c>
      <c r="G706" s="19">
        <v>28.811599999999999</v>
      </c>
      <c r="H706" s="20">
        <v>10.3498</v>
      </c>
      <c r="I706" s="21">
        <v>3425.3593000000001</v>
      </c>
      <c r="J706" s="20">
        <v>1685.9922999999999</v>
      </c>
      <c r="K706" s="20">
        <v>587.04769999999996</v>
      </c>
      <c r="M706" t="str">
        <f t="shared" si="140"/>
        <v>COTTON SOFT W 72 BAG</v>
      </c>
      <c r="N706" s="29" t="str">
        <f t="shared" si="141"/>
        <v xml:space="preserve"> SepaTextiles</v>
      </c>
      <c r="O706" t="str">
        <f t="shared" si="142"/>
        <v>COTTON SOFT (SEPA MENSUCAT)</v>
      </c>
      <c r="P706" t="str">
        <f t="shared" si="144"/>
        <v xml:space="preserve"> SepaTextiles</v>
      </c>
      <c r="R706" t="str">
        <f t="shared" si="143"/>
        <v>COTTON SOFT (SEPA MENSUCAT)</v>
      </c>
      <c r="T706" t="s">
        <v>607</v>
      </c>
      <c r="U706" t="str">
        <f t="shared" si="145"/>
        <v>BAGS</v>
      </c>
      <c r="V706" t="str">
        <f t="shared" si="146"/>
        <v>WITHOUT EXTRA PROTECTCARE INDICATION</v>
      </c>
      <c r="W706" t="str">
        <f t="shared" si="147"/>
        <v>72</v>
      </c>
      <c r="X706" s="27">
        <f t="shared" si="148"/>
        <v>4.2912999999999997</v>
      </c>
      <c r="Y706" s="27">
        <f t="shared" si="149"/>
        <v>3.2158000000000002</v>
      </c>
      <c r="Z706" s="27">
        <f t="shared" si="150"/>
        <v>0.39529999999999998</v>
      </c>
      <c r="AA706" s="27">
        <f t="shared" si="151"/>
        <v>253.55109999999999</v>
      </c>
      <c r="AB706" s="27">
        <f t="shared" si="152"/>
        <v>179.24690000000001</v>
      </c>
      <c r="AC706" s="27">
        <f t="shared" si="153"/>
        <v>19.092600000000001</v>
      </c>
    </row>
    <row r="707" spans="1:29" ht="15" customHeight="1" x14ac:dyDescent="0.3">
      <c r="A707" s="22" t="s">
        <v>609</v>
      </c>
      <c r="B707" s="23" t="s">
        <v>8</v>
      </c>
      <c r="C707" s="23" t="s">
        <v>9</v>
      </c>
      <c r="D707" s="24" t="s">
        <v>64</v>
      </c>
      <c r="E707" s="24" t="s">
        <v>24</v>
      </c>
      <c r="F707" s="18">
        <v>12.5473</v>
      </c>
      <c r="G707" s="19">
        <v>21.5989</v>
      </c>
      <c r="H707" s="20">
        <v>10.3498</v>
      </c>
      <c r="I707" s="21">
        <v>734.85479999999995</v>
      </c>
      <c r="J707" s="20">
        <v>1234.4389000000001</v>
      </c>
      <c r="K707" s="20">
        <v>587.04769999999996</v>
      </c>
      <c r="M707" t="str">
        <f t="shared" si="140"/>
        <v/>
      </c>
      <c r="N707" s="29" t="str">
        <f t="shared" si="141"/>
        <v xml:space="preserve"> SepaTextiles</v>
      </c>
      <c r="O707" t="str">
        <f t="shared" si="142"/>
        <v>COTTON SOFT (SEPA MENSUCAT)</v>
      </c>
      <c r="P707" t="str">
        <f t="shared" si="144"/>
        <v/>
      </c>
      <c r="R707" t="str">
        <f t="shared" si="143"/>
        <v/>
      </c>
      <c r="T707" t="s">
        <v>871</v>
      </c>
      <c r="U707" t="str">
        <f t="shared" si="145"/>
        <v/>
      </c>
      <c r="V707" t="str">
        <f t="shared" si="146"/>
        <v/>
      </c>
      <c r="W707" t="str">
        <f t="shared" si="147"/>
        <v/>
      </c>
      <c r="X707" s="27" t="str">
        <f t="shared" si="148"/>
        <v/>
      </c>
      <c r="Y707" s="27" t="str">
        <f t="shared" si="149"/>
        <v/>
      </c>
      <c r="Z707" s="27" t="str">
        <f t="shared" si="150"/>
        <v/>
      </c>
      <c r="AA707" s="27" t="str">
        <f t="shared" si="151"/>
        <v/>
      </c>
      <c r="AB707" s="27" t="str">
        <f t="shared" si="152"/>
        <v/>
      </c>
      <c r="AC707" s="27" t="str">
        <f t="shared" si="153"/>
        <v/>
      </c>
    </row>
    <row r="708" spans="1:29" ht="15" customHeight="1" x14ac:dyDescent="0.3">
      <c r="A708" s="22" t="s">
        <v>610</v>
      </c>
      <c r="B708" s="23" t="s">
        <v>8</v>
      </c>
      <c r="C708" s="23" t="s">
        <v>9</v>
      </c>
      <c r="D708" s="24" t="s">
        <v>64</v>
      </c>
      <c r="E708" s="24" t="s">
        <v>103</v>
      </c>
      <c r="F708" s="18">
        <v>0.68669999999999998</v>
      </c>
      <c r="G708" s="19"/>
      <c r="H708" s="20"/>
      <c r="I708" s="21">
        <v>52.465899999999998</v>
      </c>
      <c r="J708" s="20"/>
      <c r="K708" s="20"/>
      <c r="M708" t="str">
        <f t="shared" si="140"/>
        <v>ELVIM BABY JUMBO SENSITIVE W 120 BAG</v>
      </c>
      <c r="N708" s="29" t="str">
        <f t="shared" si="141"/>
        <v xml:space="preserve"> SepaTextiles</v>
      </c>
      <c r="O708" t="str">
        <f t="shared" si="142"/>
        <v>ELVIM (SEPA MENSUCAT)</v>
      </c>
      <c r="P708" t="str">
        <f t="shared" si="144"/>
        <v xml:space="preserve"> SepaTextiles</v>
      </c>
      <c r="R708" t="str">
        <f t="shared" si="143"/>
        <v>ELVIM (SEPA MENSUCAT)</v>
      </c>
      <c r="T708" t="s">
        <v>609</v>
      </c>
      <c r="U708" t="str">
        <f t="shared" si="145"/>
        <v>BAGS</v>
      </c>
      <c r="V708" t="str">
        <f t="shared" si="146"/>
        <v>SENSITIVE</v>
      </c>
      <c r="W708" t="str">
        <f t="shared" si="147"/>
        <v>120</v>
      </c>
      <c r="X708" s="27">
        <f t="shared" si="148"/>
        <v>12.5473</v>
      </c>
      <c r="Y708" s="27">
        <f t="shared" si="149"/>
        <v>21.5989</v>
      </c>
      <c r="Z708" s="27">
        <f t="shared" si="150"/>
        <v>10.3498</v>
      </c>
      <c r="AA708" s="27">
        <f t="shared" si="151"/>
        <v>734.85479999999995</v>
      </c>
      <c r="AB708" s="27">
        <f t="shared" si="152"/>
        <v>1234.4389000000001</v>
      </c>
      <c r="AC708" s="27">
        <f t="shared" si="153"/>
        <v>587.04769999999996</v>
      </c>
    </row>
    <row r="709" spans="1:29" ht="15" customHeight="1" x14ac:dyDescent="0.3">
      <c r="A709" s="22" t="s">
        <v>611</v>
      </c>
      <c r="B709" s="23" t="s">
        <v>8</v>
      </c>
      <c r="C709" s="23" t="s">
        <v>9</v>
      </c>
      <c r="D709" s="24" t="s">
        <v>20</v>
      </c>
      <c r="E709" s="24" t="s">
        <v>42</v>
      </c>
      <c r="F709" s="18"/>
      <c r="G709" s="19"/>
      <c r="H709" s="20"/>
      <c r="I709" s="21"/>
      <c r="J709" s="20"/>
      <c r="K709" s="20"/>
      <c r="M709" t="str">
        <f t="shared" ref="M709:M772" si="154">IF(B708="ITEM",A708,"")</f>
        <v>ELVIM ULTRA SENSITIVE VIT E&amp;B5 W 70 BAG</v>
      </c>
      <c r="N709" s="29" t="str">
        <f t="shared" si="141"/>
        <v xml:space="preserve"> SepaTextiles</v>
      </c>
      <c r="O709" t="str">
        <f t="shared" si="142"/>
        <v>ELVIM (SEPA MENSUCAT)</v>
      </c>
      <c r="P709" t="str">
        <f t="shared" si="144"/>
        <v xml:space="preserve"> SepaTextiles</v>
      </c>
      <c r="R709" t="str">
        <f t="shared" si="143"/>
        <v>ELVIM (SEPA MENSUCAT)</v>
      </c>
      <c r="T709" t="s">
        <v>610</v>
      </c>
      <c r="U709" t="str">
        <f t="shared" si="145"/>
        <v>BAGS</v>
      </c>
      <c r="V709" t="str">
        <f t="shared" si="146"/>
        <v>SENSITIVE</v>
      </c>
      <c r="W709" t="str">
        <f t="shared" si="147"/>
        <v>70</v>
      </c>
      <c r="X709" s="27">
        <f t="shared" si="148"/>
        <v>0.68669999999999998</v>
      </c>
      <c r="Y709" s="27">
        <f t="shared" si="149"/>
        <v>0</v>
      </c>
      <c r="Z709" s="27">
        <f t="shared" si="150"/>
        <v>0</v>
      </c>
      <c r="AA709" s="27">
        <f t="shared" si="151"/>
        <v>52.465899999999998</v>
      </c>
      <c r="AB709" s="27">
        <f t="shared" si="152"/>
        <v>0</v>
      </c>
      <c r="AC709" s="27">
        <f t="shared" si="153"/>
        <v>0</v>
      </c>
    </row>
    <row r="710" spans="1:29" ht="15" customHeight="1" x14ac:dyDescent="0.3">
      <c r="A710" s="22" t="s">
        <v>612</v>
      </c>
      <c r="B710" s="23" t="s">
        <v>8</v>
      </c>
      <c r="C710" s="23" t="s">
        <v>9</v>
      </c>
      <c r="D710" s="24" t="s">
        <v>64</v>
      </c>
      <c r="E710" s="24" t="s">
        <v>42</v>
      </c>
      <c r="F710" s="18">
        <v>37.213999999999999</v>
      </c>
      <c r="G710" s="19">
        <v>7.2126999999999999</v>
      </c>
      <c r="H710" s="20"/>
      <c r="I710" s="21">
        <v>2501.2190000000001</v>
      </c>
      <c r="J710" s="20">
        <v>451.55340000000001</v>
      </c>
      <c r="K710" s="20"/>
      <c r="M710" t="str">
        <f t="shared" si="154"/>
        <v>ELVIM BABY PH5.5 ALC.FREE W 72 BAG</v>
      </c>
      <c r="N710" s="29" t="str">
        <f t="shared" si="141"/>
        <v xml:space="preserve"> SepaTextiles</v>
      </c>
      <c r="O710" t="str">
        <f t="shared" si="142"/>
        <v>ELVIM (SEPA MENSUCAT)</v>
      </c>
      <c r="P710" t="str">
        <f t="shared" si="144"/>
        <v xml:space="preserve"> SepaTextiles</v>
      </c>
      <c r="R710" t="str">
        <f t="shared" si="143"/>
        <v>ELVIM (SEPA MENSUCAT)</v>
      </c>
      <c r="T710" t="s">
        <v>611</v>
      </c>
      <c r="U710" t="str">
        <f t="shared" si="145"/>
        <v>BAGS</v>
      </c>
      <c r="V710" t="str">
        <f t="shared" si="146"/>
        <v>PH BALANCED</v>
      </c>
      <c r="W710" t="str">
        <f t="shared" si="147"/>
        <v>72</v>
      </c>
      <c r="X710" s="27">
        <f t="shared" si="148"/>
        <v>0</v>
      </c>
      <c r="Y710" s="27">
        <f t="shared" si="149"/>
        <v>0</v>
      </c>
      <c r="Z710" s="27">
        <f t="shared" si="150"/>
        <v>0</v>
      </c>
      <c r="AA710" s="27">
        <f t="shared" si="151"/>
        <v>0</v>
      </c>
      <c r="AB710" s="27">
        <f t="shared" si="152"/>
        <v>0</v>
      </c>
      <c r="AC710" s="27">
        <f t="shared" si="153"/>
        <v>0</v>
      </c>
    </row>
    <row r="711" spans="1:29" ht="15" customHeight="1" x14ac:dyDescent="0.3">
      <c r="A711" s="22" t="s">
        <v>613</v>
      </c>
      <c r="B711" s="23" t="s">
        <v>8</v>
      </c>
      <c r="C711" s="23" t="s">
        <v>9</v>
      </c>
      <c r="D711" s="24" t="s">
        <v>64</v>
      </c>
      <c r="E711" s="24" t="s">
        <v>68</v>
      </c>
      <c r="F711" s="18">
        <v>2.7111999999999998</v>
      </c>
      <c r="G711" s="19"/>
      <c r="H711" s="20"/>
      <c r="I711" s="21">
        <v>136.8194</v>
      </c>
      <c r="J711" s="20"/>
      <c r="K711" s="20"/>
      <c r="M711" t="str">
        <f t="shared" si="154"/>
        <v>ELVIM BABY ULTRASENSITIVE LOTION&amp;VITE 72</v>
      </c>
      <c r="N711" s="29" t="str">
        <f t="shared" ref="N711:N774" si="155">IF(B708="MANUFACTURER",A708,N710)</f>
        <v xml:space="preserve"> SepaTextiles</v>
      </c>
      <c r="O711" t="str">
        <f t="shared" ref="O711:O774" si="156">IF(B709="BRAND",A709,O710)</f>
        <v>ELVIM (SEPA MENSUCAT)</v>
      </c>
      <c r="P711" t="str">
        <f t="shared" si="144"/>
        <v xml:space="preserve"> SepaTextiles</v>
      </c>
      <c r="R711" t="str">
        <f t="shared" ref="R711:R774" si="157">IF(B710="ITEM",O711,"")</f>
        <v>ELVIM (SEPA MENSUCAT)</v>
      </c>
      <c r="T711" t="s">
        <v>612</v>
      </c>
      <c r="U711" t="str">
        <f t="shared" si="145"/>
        <v>BAGS</v>
      </c>
      <c r="V711" t="str">
        <f t="shared" si="146"/>
        <v>SENSITIVE</v>
      </c>
      <c r="W711" t="str">
        <f t="shared" si="147"/>
        <v>72</v>
      </c>
      <c r="X711" s="27">
        <f t="shared" si="148"/>
        <v>37.213999999999999</v>
      </c>
      <c r="Y711" s="27">
        <f t="shared" si="149"/>
        <v>7.2126999999999999</v>
      </c>
      <c r="Z711" s="27">
        <f t="shared" si="150"/>
        <v>0</v>
      </c>
      <c r="AA711" s="27">
        <f t="shared" si="151"/>
        <v>2501.2190000000001</v>
      </c>
      <c r="AB711" s="27">
        <f t="shared" si="152"/>
        <v>451.55340000000001</v>
      </c>
      <c r="AC711" s="27">
        <f t="shared" si="153"/>
        <v>0</v>
      </c>
    </row>
    <row r="712" spans="1:29" ht="15" customHeight="1" x14ac:dyDescent="0.3">
      <c r="A712" s="14" t="s">
        <v>614</v>
      </c>
      <c r="B712" s="15" t="s">
        <v>6</v>
      </c>
      <c r="C712" s="16"/>
      <c r="D712" s="17"/>
      <c r="E712" s="17"/>
      <c r="F712" s="18"/>
      <c r="G712" s="19">
        <v>19.032699999999998</v>
      </c>
      <c r="H712" s="20">
        <v>19.713699999999999</v>
      </c>
      <c r="I712" s="21"/>
      <c r="J712" s="20">
        <v>1111.0531000000001</v>
      </c>
      <c r="K712" s="20">
        <v>1063.3096</v>
      </c>
      <c r="M712" t="str">
        <f t="shared" si="154"/>
        <v>ELVIM BABY ULTRASENSITIVE LOTION&amp;VITE 90</v>
      </c>
      <c r="N712" s="29" t="str">
        <f t="shared" si="155"/>
        <v xml:space="preserve"> SepaTextiles</v>
      </c>
      <c r="O712" t="str">
        <f t="shared" si="156"/>
        <v>ELVIM (SEPA MENSUCAT)</v>
      </c>
      <c r="P712" t="str">
        <f t="shared" ref="P712:P775" si="158">IF(B711="ITEM",N712,"")</f>
        <v xml:space="preserve"> SepaTextiles</v>
      </c>
      <c r="R712" t="str">
        <f t="shared" si="157"/>
        <v>ELVIM (SEPA MENSUCAT)</v>
      </c>
      <c r="T712" t="s">
        <v>613</v>
      </c>
      <c r="U712" t="str">
        <f t="shared" ref="U712:U775" si="159">IF(B711="ITEM",C711,"")</f>
        <v>BAGS</v>
      </c>
      <c r="V712" t="str">
        <f t="shared" ref="V712:V775" si="160">IF(B711="ITEM",D711,"")</f>
        <v>SENSITIVE</v>
      </c>
      <c r="W712" t="str">
        <f t="shared" ref="W712:W775" si="161">IF(B711="ITEM",E711,"")</f>
        <v>90</v>
      </c>
      <c r="X712" s="27">
        <f t="shared" ref="X712:X775" si="162">IF(B711 = "ITEM",F711,"")</f>
        <v>2.7111999999999998</v>
      </c>
      <c r="Y712" s="27">
        <f t="shared" ref="Y712:Y775" si="163">IF(B711="ITEM",G711,"")</f>
        <v>0</v>
      </c>
      <c r="Z712" s="27">
        <f t="shared" ref="Z712:Z775" si="164">IF(B711="ITEM",H711,"")</f>
        <v>0</v>
      </c>
      <c r="AA712" s="27">
        <f t="shared" ref="AA712:AA775" si="165">IF(B711="ITEM",I711,"")</f>
        <v>136.8194</v>
      </c>
      <c r="AB712" s="27">
        <f t="shared" ref="AB712:AB775" si="166">IF(B711="ITEM",J711,"")</f>
        <v>0</v>
      </c>
      <c r="AC712" s="27">
        <f t="shared" ref="AC712:AC775" si="167">IF(B711="ITEM",K711,"")</f>
        <v>0</v>
      </c>
    </row>
    <row r="713" spans="1:29" ht="15" customHeight="1" x14ac:dyDescent="0.3">
      <c r="A713" s="22" t="s">
        <v>615</v>
      </c>
      <c r="B713" s="23" t="s">
        <v>8</v>
      </c>
      <c r="C713" s="23" t="s">
        <v>9</v>
      </c>
      <c r="D713" s="24" t="s">
        <v>64</v>
      </c>
      <c r="E713" s="24" t="s">
        <v>103</v>
      </c>
      <c r="F713" s="18"/>
      <c r="G713" s="19">
        <v>19.032699999999998</v>
      </c>
      <c r="H713" s="20">
        <v>19.713699999999999</v>
      </c>
      <c r="I713" s="21"/>
      <c r="J713" s="20">
        <v>1111.0531000000001</v>
      </c>
      <c r="K713" s="20">
        <v>1063.3096</v>
      </c>
      <c r="M713" t="str">
        <f t="shared" si="154"/>
        <v/>
      </c>
      <c r="N713" s="29" t="str">
        <f t="shared" si="155"/>
        <v xml:space="preserve"> SepaTextiles</v>
      </c>
      <c r="O713" t="str">
        <f t="shared" si="156"/>
        <v>ELVIM (SEPA MENSUCAT)</v>
      </c>
      <c r="P713" t="str">
        <f t="shared" si="158"/>
        <v/>
      </c>
      <c r="R713" t="str">
        <f t="shared" si="157"/>
        <v/>
      </c>
      <c r="T713" t="s">
        <v>871</v>
      </c>
      <c r="U713" t="str">
        <f t="shared" si="159"/>
        <v/>
      </c>
      <c r="V713" t="str">
        <f t="shared" si="160"/>
        <v/>
      </c>
      <c r="W713" t="str">
        <f t="shared" si="161"/>
        <v/>
      </c>
      <c r="X713" s="27" t="str">
        <f t="shared" si="162"/>
        <v/>
      </c>
      <c r="Y713" s="27" t="str">
        <f t="shared" si="163"/>
        <v/>
      </c>
      <c r="Z713" s="27" t="str">
        <f t="shared" si="164"/>
        <v/>
      </c>
      <c r="AA713" s="27" t="str">
        <f t="shared" si="165"/>
        <v/>
      </c>
      <c r="AB713" s="27" t="str">
        <f t="shared" si="166"/>
        <v/>
      </c>
      <c r="AC713" s="27" t="str">
        <f t="shared" si="167"/>
        <v/>
      </c>
    </row>
    <row r="714" spans="1:29" ht="15" customHeight="1" x14ac:dyDescent="0.3">
      <c r="A714" s="14" t="s">
        <v>616</v>
      </c>
      <c r="B714" s="15" t="s">
        <v>6</v>
      </c>
      <c r="C714" s="16"/>
      <c r="D714" s="17"/>
      <c r="E714" s="17"/>
      <c r="F714" s="18">
        <v>270.87889999999999</v>
      </c>
      <c r="G714" s="19">
        <v>171.8775</v>
      </c>
      <c r="H714" s="20">
        <v>82.344399999999993</v>
      </c>
      <c r="I714" s="21">
        <v>16349.0191</v>
      </c>
      <c r="J714" s="20">
        <v>10296.382799999999</v>
      </c>
      <c r="K714" s="20">
        <v>4756.37</v>
      </c>
      <c r="M714" t="str">
        <f t="shared" si="154"/>
        <v>FLAMINGO BABY ULTRASENS.LOTION&amp;VITE 70 B</v>
      </c>
      <c r="N714" s="29" t="str">
        <f t="shared" si="155"/>
        <v xml:space="preserve"> SepaTextiles</v>
      </c>
      <c r="O714" t="str">
        <f t="shared" si="156"/>
        <v>FLAMINGO (SEPA MENSUCAT)</v>
      </c>
      <c r="P714" t="str">
        <f t="shared" si="158"/>
        <v xml:space="preserve"> SepaTextiles</v>
      </c>
      <c r="R714" t="str">
        <f t="shared" si="157"/>
        <v>FLAMINGO (SEPA MENSUCAT)</v>
      </c>
      <c r="T714" t="s">
        <v>615</v>
      </c>
      <c r="U714" t="str">
        <f t="shared" si="159"/>
        <v>BAGS</v>
      </c>
      <c r="V714" t="str">
        <f t="shared" si="160"/>
        <v>SENSITIVE</v>
      </c>
      <c r="W714" t="str">
        <f t="shared" si="161"/>
        <v>70</v>
      </c>
      <c r="X714" s="27">
        <f t="shared" si="162"/>
        <v>0</v>
      </c>
      <c r="Y714" s="27">
        <f t="shared" si="163"/>
        <v>19.032699999999998</v>
      </c>
      <c r="Z714" s="27">
        <f t="shared" si="164"/>
        <v>19.713699999999999</v>
      </c>
      <c r="AA714" s="27">
        <f t="shared" si="165"/>
        <v>0</v>
      </c>
      <c r="AB714" s="27">
        <f t="shared" si="166"/>
        <v>1111.0531000000001</v>
      </c>
      <c r="AC714" s="27">
        <f t="shared" si="167"/>
        <v>1063.3096</v>
      </c>
    </row>
    <row r="715" spans="1:29" ht="15" customHeight="1" x14ac:dyDescent="0.3">
      <c r="A715" s="22" t="s">
        <v>617</v>
      </c>
      <c r="B715" s="23" t="s">
        <v>8</v>
      </c>
      <c r="C715" s="23" t="s">
        <v>9</v>
      </c>
      <c r="D715" s="24" t="s">
        <v>30</v>
      </c>
      <c r="E715" s="24" t="s">
        <v>21</v>
      </c>
      <c r="F715" s="18">
        <v>1.0042</v>
      </c>
      <c r="G715" s="19"/>
      <c r="H715" s="20"/>
      <c r="I715" s="21">
        <v>76.638000000000005</v>
      </c>
      <c r="J715" s="20"/>
      <c r="K715" s="20"/>
      <c r="M715" t="str">
        <f t="shared" si="154"/>
        <v/>
      </c>
      <c r="N715" s="29" t="str">
        <f t="shared" si="155"/>
        <v xml:space="preserve"> SepaTextiles</v>
      </c>
      <c r="O715" t="str">
        <f t="shared" si="156"/>
        <v>FLAMINGO (SEPA MENSUCAT)</v>
      </c>
      <c r="P715" t="str">
        <f t="shared" si="158"/>
        <v/>
      </c>
      <c r="R715" t="str">
        <f t="shared" si="157"/>
        <v/>
      </c>
      <c r="T715" t="s">
        <v>871</v>
      </c>
      <c r="U715" t="str">
        <f t="shared" si="159"/>
        <v/>
      </c>
      <c r="V715" t="str">
        <f t="shared" si="160"/>
        <v/>
      </c>
      <c r="W715" t="str">
        <f t="shared" si="161"/>
        <v/>
      </c>
      <c r="X715" s="27" t="str">
        <f t="shared" si="162"/>
        <v/>
      </c>
      <c r="Y715" s="27" t="str">
        <f t="shared" si="163"/>
        <v/>
      </c>
      <c r="Z715" s="27" t="str">
        <f t="shared" si="164"/>
        <v/>
      </c>
      <c r="AA715" s="27" t="str">
        <f t="shared" si="165"/>
        <v/>
      </c>
      <c r="AB715" s="27" t="str">
        <f t="shared" si="166"/>
        <v/>
      </c>
      <c r="AC715" s="27" t="str">
        <f t="shared" si="167"/>
        <v/>
      </c>
    </row>
    <row r="716" spans="1:29" ht="15" customHeight="1" x14ac:dyDescent="0.3">
      <c r="A716" s="22" t="s">
        <v>618</v>
      </c>
      <c r="B716" s="23" t="s">
        <v>8</v>
      </c>
      <c r="C716" s="23" t="s">
        <v>9</v>
      </c>
      <c r="D716" s="24" t="s">
        <v>20</v>
      </c>
      <c r="E716" s="24" t="s">
        <v>24</v>
      </c>
      <c r="F716" s="18">
        <v>251.465</v>
      </c>
      <c r="G716" s="19">
        <v>145.75579999999999</v>
      </c>
      <c r="H716" s="20">
        <v>77.822699999999998</v>
      </c>
      <c r="I716" s="21">
        <v>15122.0514</v>
      </c>
      <c r="J716" s="20">
        <v>8717.0684000000001</v>
      </c>
      <c r="K716" s="20">
        <v>4462.7493999999997</v>
      </c>
      <c r="M716" t="str">
        <f t="shared" si="154"/>
        <v>INCI FRESH VITE&amp;PROVITB5 ALC.FREE W 100</v>
      </c>
      <c r="N716" s="29" t="str">
        <f t="shared" si="155"/>
        <v xml:space="preserve"> SepaTextiles</v>
      </c>
      <c r="O716" t="str">
        <f t="shared" si="156"/>
        <v>INCI (SEPA MENSUCAT)</v>
      </c>
      <c r="P716" t="str">
        <f t="shared" si="158"/>
        <v xml:space="preserve"> SepaTextiles</v>
      </c>
      <c r="R716" t="str">
        <f t="shared" si="157"/>
        <v>INCI (SEPA MENSUCAT)</v>
      </c>
      <c r="T716" t="s">
        <v>617</v>
      </c>
      <c r="U716" t="str">
        <f t="shared" si="159"/>
        <v>BAGS</v>
      </c>
      <c r="V716" t="str">
        <f t="shared" si="160"/>
        <v>ALCOHOL FREE</v>
      </c>
      <c r="W716" t="str">
        <f t="shared" si="161"/>
        <v>100</v>
      </c>
      <c r="X716" s="27">
        <f t="shared" si="162"/>
        <v>1.0042</v>
      </c>
      <c r="Y716" s="27">
        <f t="shared" si="163"/>
        <v>0</v>
      </c>
      <c r="Z716" s="27">
        <f t="shared" si="164"/>
        <v>0</v>
      </c>
      <c r="AA716" s="27">
        <f t="shared" si="165"/>
        <v>76.638000000000005</v>
      </c>
      <c r="AB716" s="27">
        <f t="shared" si="166"/>
        <v>0</v>
      </c>
      <c r="AC716" s="27">
        <f t="shared" si="167"/>
        <v>0</v>
      </c>
    </row>
    <row r="717" spans="1:29" ht="15" customHeight="1" x14ac:dyDescent="0.3">
      <c r="A717" s="22" t="s">
        <v>619</v>
      </c>
      <c r="B717" s="23" t="s">
        <v>8</v>
      </c>
      <c r="C717" s="23" t="s">
        <v>9</v>
      </c>
      <c r="D717" s="24" t="s">
        <v>30</v>
      </c>
      <c r="E717" s="24" t="s">
        <v>570</v>
      </c>
      <c r="F717" s="18">
        <v>15.856</v>
      </c>
      <c r="G717" s="19">
        <v>22.015000000000001</v>
      </c>
      <c r="H717" s="20">
        <v>3.4060000000000001</v>
      </c>
      <c r="I717" s="21">
        <v>1023.9475</v>
      </c>
      <c r="J717" s="20">
        <v>1391.8684000000001</v>
      </c>
      <c r="K717" s="20">
        <v>229.50649999999999</v>
      </c>
      <c r="M717" t="str">
        <f t="shared" si="154"/>
        <v>INCI FRESH VITE&amp;PROVITB5 PH5.5 W 120 BAG</v>
      </c>
      <c r="N717" s="29" t="str">
        <f t="shared" si="155"/>
        <v xml:space="preserve"> SepaTextiles</v>
      </c>
      <c r="O717" t="str">
        <f t="shared" si="156"/>
        <v>INCI (SEPA MENSUCAT)</v>
      </c>
      <c r="P717" t="str">
        <f t="shared" si="158"/>
        <v xml:space="preserve"> SepaTextiles</v>
      </c>
      <c r="R717" t="str">
        <f t="shared" si="157"/>
        <v>INCI (SEPA MENSUCAT)</v>
      </c>
      <c r="T717" t="s">
        <v>618</v>
      </c>
      <c r="U717" t="str">
        <f t="shared" si="159"/>
        <v>BAGS</v>
      </c>
      <c r="V717" t="str">
        <f t="shared" si="160"/>
        <v>PH BALANCED</v>
      </c>
      <c r="W717" t="str">
        <f t="shared" si="161"/>
        <v>120</v>
      </c>
      <c r="X717" s="27">
        <f t="shared" si="162"/>
        <v>251.465</v>
      </c>
      <c r="Y717" s="27">
        <f t="shared" si="163"/>
        <v>145.75579999999999</v>
      </c>
      <c r="Z717" s="27">
        <f t="shared" si="164"/>
        <v>77.822699999999998</v>
      </c>
      <c r="AA717" s="27">
        <f t="shared" si="165"/>
        <v>15122.0514</v>
      </c>
      <c r="AB717" s="27">
        <f t="shared" si="166"/>
        <v>8717.0684000000001</v>
      </c>
      <c r="AC717" s="27">
        <f t="shared" si="167"/>
        <v>4462.7493999999997</v>
      </c>
    </row>
    <row r="718" spans="1:29" ht="15" customHeight="1" x14ac:dyDescent="0.3">
      <c r="A718" s="22" t="s">
        <v>620</v>
      </c>
      <c r="B718" s="23" t="s">
        <v>8</v>
      </c>
      <c r="C718" s="23" t="s">
        <v>9</v>
      </c>
      <c r="D718" s="24" t="s">
        <v>20</v>
      </c>
      <c r="E718" s="24" t="s">
        <v>99</v>
      </c>
      <c r="F718" s="18"/>
      <c r="G718" s="19"/>
      <c r="H718" s="20">
        <v>0.28920000000000001</v>
      </c>
      <c r="I718" s="21"/>
      <c r="J718" s="20"/>
      <c r="K718" s="20">
        <v>17.3521</v>
      </c>
      <c r="M718" t="str">
        <f t="shared" si="154"/>
        <v>INCI FRESH ULTRASOFT VITE&amp;PROVITB5 W 144</v>
      </c>
      <c r="N718" s="29" t="str">
        <f t="shared" si="155"/>
        <v xml:space="preserve"> SepaTextiles</v>
      </c>
      <c r="O718" t="str">
        <f t="shared" si="156"/>
        <v>INCI (SEPA MENSUCAT)</v>
      </c>
      <c r="P718" t="str">
        <f t="shared" si="158"/>
        <v xml:space="preserve"> SepaTextiles</v>
      </c>
      <c r="R718" t="str">
        <f t="shared" si="157"/>
        <v>INCI (SEPA MENSUCAT)</v>
      </c>
      <c r="T718" t="s">
        <v>619</v>
      </c>
      <c r="U718" t="str">
        <f t="shared" si="159"/>
        <v>BAGS</v>
      </c>
      <c r="V718" t="str">
        <f t="shared" si="160"/>
        <v>ALCOHOL FREE</v>
      </c>
      <c r="W718" t="str">
        <f t="shared" si="161"/>
        <v>144</v>
      </c>
      <c r="X718" s="27">
        <f t="shared" si="162"/>
        <v>15.856</v>
      </c>
      <c r="Y718" s="27">
        <f t="shared" si="163"/>
        <v>22.015000000000001</v>
      </c>
      <c r="Z718" s="27">
        <f t="shared" si="164"/>
        <v>3.4060000000000001</v>
      </c>
      <c r="AA718" s="27">
        <f t="shared" si="165"/>
        <v>1023.9475</v>
      </c>
      <c r="AB718" s="27">
        <f t="shared" si="166"/>
        <v>1391.8684000000001</v>
      </c>
      <c r="AC718" s="27">
        <f t="shared" si="167"/>
        <v>229.50649999999999</v>
      </c>
    </row>
    <row r="719" spans="1:29" ht="15" customHeight="1" x14ac:dyDescent="0.3">
      <c r="A719" s="22" t="s">
        <v>621</v>
      </c>
      <c r="B719" s="23" t="s">
        <v>8</v>
      </c>
      <c r="C719" s="23" t="s">
        <v>9</v>
      </c>
      <c r="D719" s="24" t="s">
        <v>20</v>
      </c>
      <c r="E719" s="24" t="s">
        <v>42</v>
      </c>
      <c r="F719" s="18">
        <v>2.5535999999999999</v>
      </c>
      <c r="G719" s="19">
        <v>3.8500999999999999</v>
      </c>
      <c r="H719" s="20">
        <v>0.82650000000000001</v>
      </c>
      <c r="I719" s="21">
        <v>126.3817</v>
      </c>
      <c r="J719" s="20">
        <v>174.249</v>
      </c>
      <c r="K719" s="20">
        <v>46.762</v>
      </c>
      <c r="M719" t="str">
        <f t="shared" si="154"/>
        <v>INCI FRESH VITE&amp;PROVITB5 PH5.5 W 60 BAG</v>
      </c>
      <c r="N719" s="29" t="str">
        <f t="shared" si="155"/>
        <v xml:space="preserve"> SepaTextiles</v>
      </c>
      <c r="O719" t="str">
        <f t="shared" si="156"/>
        <v>INCI (SEPA MENSUCAT)</v>
      </c>
      <c r="P719" t="str">
        <f t="shared" si="158"/>
        <v xml:space="preserve"> SepaTextiles</v>
      </c>
      <c r="R719" t="str">
        <f t="shared" si="157"/>
        <v>INCI (SEPA MENSUCAT)</v>
      </c>
      <c r="T719" t="s">
        <v>620</v>
      </c>
      <c r="U719" t="str">
        <f t="shared" si="159"/>
        <v>BAGS</v>
      </c>
      <c r="V719" t="str">
        <f t="shared" si="160"/>
        <v>PH BALANCED</v>
      </c>
      <c r="W719" t="str">
        <f t="shared" si="161"/>
        <v>60</v>
      </c>
      <c r="X719" s="27">
        <f t="shared" si="162"/>
        <v>0</v>
      </c>
      <c r="Y719" s="27">
        <f t="shared" si="163"/>
        <v>0</v>
      </c>
      <c r="Z719" s="27">
        <f t="shared" si="164"/>
        <v>0.28920000000000001</v>
      </c>
      <c r="AA719" s="27">
        <f t="shared" si="165"/>
        <v>0</v>
      </c>
      <c r="AB719" s="27">
        <f t="shared" si="166"/>
        <v>0</v>
      </c>
      <c r="AC719" s="27">
        <f t="shared" si="167"/>
        <v>17.3521</v>
      </c>
    </row>
    <row r="720" spans="1:29" ht="15" customHeight="1" x14ac:dyDescent="0.3">
      <c r="A720" s="22" t="s">
        <v>622</v>
      </c>
      <c r="B720" s="23" t="s">
        <v>8</v>
      </c>
      <c r="C720" s="23" t="s">
        <v>9</v>
      </c>
      <c r="D720" s="24" t="s">
        <v>20</v>
      </c>
      <c r="E720" s="24" t="s">
        <v>42</v>
      </c>
      <c r="F720" s="18"/>
      <c r="G720" s="19">
        <v>0.25659999999999999</v>
      </c>
      <c r="H720" s="20"/>
      <c r="I720" s="21"/>
      <c r="J720" s="20">
        <v>13.196899999999999</v>
      </c>
      <c r="K720" s="20"/>
      <c r="M720" t="str">
        <f t="shared" si="154"/>
        <v>INCI FRESH VITE&amp;PROVITB5 PH5.5 W 72 BAG</v>
      </c>
      <c r="N720" s="29" t="str">
        <f t="shared" si="155"/>
        <v xml:space="preserve"> SepaTextiles</v>
      </c>
      <c r="O720" t="str">
        <f t="shared" si="156"/>
        <v>INCI (SEPA MENSUCAT)</v>
      </c>
      <c r="P720" t="str">
        <f t="shared" si="158"/>
        <v xml:space="preserve"> SepaTextiles</v>
      </c>
      <c r="R720" t="str">
        <f t="shared" si="157"/>
        <v>INCI (SEPA MENSUCAT)</v>
      </c>
      <c r="T720" t="s">
        <v>621</v>
      </c>
      <c r="U720" t="str">
        <f t="shared" si="159"/>
        <v>BAGS</v>
      </c>
      <c r="V720" t="str">
        <f t="shared" si="160"/>
        <v>PH BALANCED</v>
      </c>
      <c r="W720" t="str">
        <f t="shared" si="161"/>
        <v>72</v>
      </c>
      <c r="X720" s="27">
        <f t="shared" si="162"/>
        <v>2.5535999999999999</v>
      </c>
      <c r="Y720" s="27">
        <f t="shared" si="163"/>
        <v>3.8500999999999999</v>
      </c>
      <c r="Z720" s="27">
        <f t="shared" si="164"/>
        <v>0.82650000000000001</v>
      </c>
      <c r="AA720" s="27">
        <f t="shared" si="165"/>
        <v>126.3817</v>
      </c>
      <c r="AB720" s="27">
        <f t="shared" si="166"/>
        <v>174.249</v>
      </c>
      <c r="AC720" s="27">
        <f t="shared" si="167"/>
        <v>46.762</v>
      </c>
    </row>
    <row r="721" spans="1:29" ht="14.25" customHeight="1" x14ac:dyDescent="0.3">
      <c r="A721" s="25" t="s">
        <v>804</v>
      </c>
      <c r="B721" s="4" t="s">
        <v>5</v>
      </c>
      <c r="C721" s="4"/>
      <c r="D721" s="5"/>
      <c r="E721" s="5"/>
      <c r="F721" s="10">
        <v>154.93469999999999</v>
      </c>
      <c r="G721" s="11">
        <v>154.98240000000001</v>
      </c>
      <c r="H721" s="12">
        <v>45.514299999999999</v>
      </c>
      <c r="I721" s="13">
        <v>4738.4238999999998</v>
      </c>
      <c r="J721" s="12">
        <v>5792.3320000000003</v>
      </c>
      <c r="K721" s="12">
        <v>1599.6686</v>
      </c>
      <c r="M721" t="str">
        <f t="shared" si="154"/>
        <v>INCI FRESH VITE&amp;PROVITB5 PH5.5 W 90/18FR</v>
      </c>
      <c r="N721" s="29" t="str">
        <f t="shared" si="155"/>
        <v xml:space="preserve"> SepaTextiles</v>
      </c>
      <c r="O721" t="str">
        <f t="shared" si="156"/>
        <v>INCI (SEPA MENSUCAT)</v>
      </c>
      <c r="P721" t="str">
        <f t="shared" si="158"/>
        <v xml:space="preserve"> SepaTextiles</v>
      </c>
      <c r="R721" t="str">
        <f t="shared" si="157"/>
        <v>INCI (SEPA MENSUCAT)</v>
      </c>
      <c r="T721" t="s">
        <v>622</v>
      </c>
      <c r="U721" t="str">
        <f t="shared" si="159"/>
        <v>BAGS</v>
      </c>
      <c r="V721" t="str">
        <f t="shared" si="160"/>
        <v>PH BALANCED</v>
      </c>
      <c r="W721" t="str">
        <f t="shared" si="161"/>
        <v>72</v>
      </c>
      <c r="X721" s="27">
        <f t="shared" si="162"/>
        <v>0</v>
      </c>
      <c r="Y721" s="27">
        <f t="shared" si="163"/>
        <v>0.25659999999999999</v>
      </c>
      <c r="Z721" s="27">
        <f t="shared" si="164"/>
        <v>0</v>
      </c>
      <c r="AA721" s="27">
        <f t="shared" si="165"/>
        <v>0</v>
      </c>
      <c r="AB721" s="27">
        <f t="shared" si="166"/>
        <v>13.196899999999999</v>
      </c>
      <c r="AC721" s="27">
        <f t="shared" si="167"/>
        <v>0</v>
      </c>
    </row>
    <row r="722" spans="1:29" ht="15" customHeight="1" x14ac:dyDescent="0.3">
      <c r="A722" s="14" t="s">
        <v>623</v>
      </c>
      <c r="B722" s="15" t="s">
        <v>6</v>
      </c>
      <c r="C722" s="16"/>
      <c r="D722" s="17"/>
      <c r="E722" s="17"/>
      <c r="F722" s="18">
        <v>154.93469999999999</v>
      </c>
      <c r="G722" s="19">
        <v>154.98240000000001</v>
      </c>
      <c r="H722" s="20">
        <v>45.514299999999999</v>
      </c>
      <c r="I722" s="21">
        <v>4738.4238999999998</v>
      </c>
      <c r="J722" s="20">
        <v>5792.3320000000003</v>
      </c>
      <c r="K722" s="20">
        <v>1599.6686</v>
      </c>
      <c r="M722" t="str">
        <f t="shared" si="154"/>
        <v/>
      </c>
      <c r="N722" s="29" t="str">
        <f t="shared" si="155"/>
        <v xml:space="preserve"> SepaTextiles</v>
      </c>
      <c r="O722" t="str">
        <f t="shared" si="156"/>
        <v>INCI (SEPA MENSUCAT)</v>
      </c>
      <c r="P722" t="str">
        <f t="shared" si="158"/>
        <v/>
      </c>
      <c r="R722" t="str">
        <f t="shared" si="157"/>
        <v/>
      </c>
      <c r="T722" t="s">
        <v>871</v>
      </c>
      <c r="U722" t="str">
        <f t="shared" si="159"/>
        <v/>
      </c>
      <c r="V722" t="str">
        <f t="shared" si="160"/>
        <v/>
      </c>
      <c r="W722" t="str">
        <f t="shared" si="161"/>
        <v/>
      </c>
      <c r="X722" s="27" t="str">
        <f t="shared" si="162"/>
        <v/>
      </c>
      <c r="Y722" s="27" t="str">
        <f t="shared" si="163"/>
        <v/>
      </c>
      <c r="Z722" s="27" t="str">
        <f t="shared" si="164"/>
        <v/>
      </c>
      <c r="AA722" s="27" t="str">
        <f t="shared" si="165"/>
        <v/>
      </c>
      <c r="AB722" s="27" t="str">
        <f t="shared" si="166"/>
        <v/>
      </c>
      <c r="AC722" s="27" t="str">
        <f t="shared" si="167"/>
        <v/>
      </c>
    </row>
    <row r="723" spans="1:29" ht="15" customHeight="1" x14ac:dyDescent="0.3">
      <c r="A723" s="22" t="s">
        <v>624</v>
      </c>
      <c r="B723" s="23" t="s">
        <v>8</v>
      </c>
      <c r="C723" s="23" t="s">
        <v>9</v>
      </c>
      <c r="D723" s="24" t="s">
        <v>30</v>
      </c>
      <c r="E723" s="24" t="s">
        <v>376</v>
      </c>
      <c r="F723" s="18"/>
      <c r="G723" s="19">
        <v>0.5504</v>
      </c>
      <c r="H723" s="20">
        <v>0.74670000000000003</v>
      </c>
      <c r="I723" s="21"/>
      <c r="J723" s="20">
        <v>6.7556000000000003</v>
      </c>
      <c r="K723" s="20">
        <v>9.0073000000000008</v>
      </c>
      <c r="M723" t="str">
        <f t="shared" si="154"/>
        <v/>
      </c>
      <c r="N723" s="29" t="str">
        <f t="shared" si="155"/>
        <v xml:space="preserve"> SepaTextiles</v>
      </c>
      <c r="O723" t="str">
        <f t="shared" si="156"/>
        <v>INCI (SEPA MENSUCAT)</v>
      </c>
      <c r="P723" t="str">
        <f t="shared" si="158"/>
        <v/>
      </c>
      <c r="R723" t="str">
        <f t="shared" si="157"/>
        <v/>
      </c>
      <c r="T723" t="s">
        <v>871</v>
      </c>
      <c r="U723" t="str">
        <f t="shared" si="159"/>
        <v/>
      </c>
      <c r="V723" t="str">
        <f t="shared" si="160"/>
        <v/>
      </c>
      <c r="W723" t="str">
        <f t="shared" si="161"/>
        <v/>
      </c>
      <c r="X723" s="27" t="str">
        <f t="shared" si="162"/>
        <v/>
      </c>
      <c r="Y723" s="27" t="str">
        <f t="shared" si="163"/>
        <v/>
      </c>
      <c r="Z723" s="27" t="str">
        <f t="shared" si="164"/>
        <v/>
      </c>
      <c r="AA723" s="27" t="str">
        <f t="shared" si="165"/>
        <v/>
      </c>
      <c r="AB723" s="27" t="str">
        <f t="shared" si="166"/>
        <v/>
      </c>
      <c r="AC723" s="27" t="str">
        <f t="shared" si="167"/>
        <v/>
      </c>
    </row>
    <row r="724" spans="1:29" ht="15" customHeight="1" x14ac:dyDescent="0.3">
      <c r="A724" s="22" t="s">
        <v>625</v>
      </c>
      <c r="B724" s="23" t="s">
        <v>8</v>
      </c>
      <c r="C724" s="23" t="s">
        <v>9</v>
      </c>
      <c r="D724" s="24" t="s">
        <v>30</v>
      </c>
      <c r="E724" s="24" t="s">
        <v>11</v>
      </c>
      <c r="F724" s="18">
        <v>4.7511999999999999</v>
      </c>
      <c r="G724" s="19">
        <v>3.7549000000000001</v>
      </c>
      <c r="H724" s="20">
        <v>1.1405000000000001</v>
      </c>
      <c r="I724" s="21">
        <v>70.328999999999994</v>
      </c>
      <c r="J724" s="20">
        <v>55.465600000000002</v>
      </c>
      <c r="K724" s="20">
        <v>16.475899999999999</v>
      </c>
      <c r="M724" t="str">
        <f t="shared" si="154"/>
        <v>SEPTONA CALM NCARE CHAMOM BABY 12 W BAG</v>
      </c>
      <c r="N724" s="29" t="str">
        <f t="shared" si="155"/>
        <v xml:space="preserve"> SeptOn SA</v>
      </c>
      <c r="O724" t="str">
        <f t="shared" si="156"/>
        <v>SEPTONA (SEPTONA SA)</v>
      </c>
      <c r="P724" t="str">
        <f t="shared" si="158"/>
        <v xml:space="preserve"> SeptOn SA</v>
      </c>
      <c r="R724" t="str">
        <f t="shared" si="157"/>
        <v>SEPTONA (SEPTONA SA)</v>
      </c>
      <c r="T724" t="s">
        <v>624</v>
      </c>
      <c r="U724" t="str">
        <f t="shared" si="159"/>
        <v>BAGS</v>
      </c>
      <c r="V724" t="str">
        <f t="shared" si="160"/>
        <v>ALCOHOL FREE</v>
      </c>
      <c r="W724" t="str">
        <f t="shared" si="161"/>
        <v>12</v>
      </c>
      <c r="X724" s="27">
        <f t="shared" si="162"/>
        <v>0</v>
      </c>
      <c r="Y724" s="27">
        <f t="shared" si="163"/>
        <v>0.5504</v>
      </c>
      <c r="Z724" s="27">
        <f t="shared" si="164"/>
        <v>0.74670000000000003</v>
      </c>
      <c r="AA724" s="27">
        <f t="shared" si="165"/>
        <v>0</v>
      </c>
      <c r="AB724" s="27">
        <f t="shared" si="166"/>
        <v>6.7556000000000003</v>
      </c>
      <c r="AC724" s="27">
        <f t="shared" si="167"/>
        <v>9.0073000000000008</v>
      </c>
    </row>
    <row r="725" spans="1:29" ht="15" customHeight="1" x14ac:dyDescent="0.3">
      <c r="A725" s="22" t="s">
        <v>626</v>
      </c>
      <c r="B725" s="23" t="s">
        <v>8</v>
      </c>
      <c r="C725" s="23" t="s">
        <v>9</v>
      </c>
      <c r="D725" s="24" t="s">
        <v>10</v>
      </c>
      <c r="E725" s="24" t="s">
        <v>11</v>
      </c>
      <c r="F725" s="18">
        <v>1.23E-2</v>
      </c>
      <c r="G725" s="19">
        <v>2.7799999999999998E-2</v>
      </c>
      <c r="H725" s="20"/>
      <c r="I725" s="21">
        <v>0.18</v>
      </c>
      <c r="J725" s="20">
        <v>0.46179999999999999</v>
      </c>
      <c r="K725" s="20"/>
      <c r="M725" t="str">
        <f t="shared" si="154"/>
        <v>SEPTONA ALOE VERA BABY ALC.FREE 20 BAG</v>
      </c>
      <c r="N725" s="29" t="str">
        <f t="shared" si="155"/>
        <v xml:space="preserve"> SeptOn SA</v>
      </c>
      <c r="O725" t="str">
        <f t="shared" si="156"/>
        <v>SEPTONA (SEPTONA SA)</v>
      </c>
      <c r="P725" t="str">
        <f t="shared" si="158"/>
        <v xml:space="preserve"> SeptOn SA</v>
      </c>
      <c r="R725" t="str">
        <f t="shared" si="157"/>
        <v>SEPTONA (SEPTONA SA)</v>
      </c>
      <c r="T725" t="s">
        <v>625</v>
      </c>
      <c r="U725" t="str">
        <f t="shared" si="159"/>
        <v>BAGS</v>
      </c>
      <c r="V725" t="str">
        <f t="shared" si="160"/>
        <v>ALCOHOL FREE</v>
      </c>
      <c r="W725" t="str">
        <f t="shared" si="161"/>
        <v>20</v>
      </c>
      <c r="X725" s="27">
        <f t="shared" si="162"/>
        <v>4.7511999999999999</v>
      </c>
      <c r="Y725" s="27">
        <f t="shared" si="163"/>
        <v>3.7549000000000001</v>
      </c>
      <c r="Z725" s="27">
        <f t="shared" si="164"/>
        <v>1.1405000000000001</v>
      </c>
      <c r="AA725" s="27">
        <f t="shared" si="165"/>
        <v>70.328999999999994</v>
      </c>
      <c r="AB725" s="27">
        <f t="shared" si="166"/>
        <v>55.465600000000002</v>
      </c>
      <c r="AC725" s="27">
        <f t="shared" si="167"/>
        <v>16.475899999999999</v>
      </c>
    </row>
    <row r="726" spans="1:29" ht="15" customHeight="1" x14ac:dyDescent="0.3">
      <c r="A726" s="22" t="s">
        <v>627</v>
      </c>
      <c r="B726" s="23" t="s">
        <v>8</v>
      </c>
      <c r="C726" s="23" t="s">
        <v>9</v>
      </c>
      <c r="D726" s="24" t="s">
        <v>64</v>
      </c>
      <c r="E726" s="24" t="s">
        <v>11</v>
      </c>
      <c r="F726" s="18">
        <v>11.1968</v>
      </c>
      <c r="G726" s="19">
        <v>6.3734000000000002</v>
      </c>
      <c r="H726" s="20">
        <v>1.3038000000000001</v>
      </c>
      <c r="I726" s="21">
        <v>170.3914</v>
      </c>
      <c r="J726" s="20">
        <v>94.576999999999998</v>
      </c>
      <c r="K726" s="20">
        <v>19.252400000000002</v>
      </c>
      <c r="M726" t="str">
        <f t="shared" si="154"/>
        <v>SEPTONA CHAMOMILE BABY 20 W BAG</v>
      </c>
      <c r="N726" s="29" t="str">
        <f t="shared" si="155"/>
        <v xml:space="preserve"> SeptOn SA</v>
      </c>
      <c r="O726" t="str">
        <f t="shared" si="156"/>
        <v>SEPTONA (SEPTONA SA)</v>
      </c>
      <c r="P726" t="str">
        <f t="shared" si="158"/>
        <v xml:space="preserve"> SeptOn SA</v>
      </c>
      <c r="R726" t="str">
        <f t="shared" si="157"/>
        <v>SEPTONA (SEPTONA SA)</v>
      </c>
      <c r="T726" t="s">
        <v>626</v>
      </c>
      <c r="U726" t="str">
        <f t="shared" si="159"/>
        <v>BAGS</v>
      </c>
      <c r="V726" t="str">
        <f t="shared" si="160"/>
        <v>WITHOUT EXTRA PROTECTCARE INDICATION</v>
      </c>
      <c r="W726" t="str">
        <f t="shared" si="161"/>
        <v>20</v>
      </c>
      <c r="X726" s="27">
        <f t="shared" si="162"/>
        <v>1.23E-2</v>
      </c>
      <c r="Y726" s="27">
        <f t="shared" si="163"/>
        <v>2.7799999999999998E-2</v>
      </c>
      <c r="Z726" s="27">
        <f t="shared" si="164"/>
        <v>0</v>
      </c>
      <c r="AA726" s="27">
        <f t="shared" si="165"/>
        <v>0.18</v>
      </c>
      <c r="AB726" s="27">
        <f t="shared" si="166"/>
        <v>0.46179999999999999</v>
      </c>
      <c r="AC726" s="27">
        <f t="shared" si="167"/>
        <v>0</v>
      </c>
    </row>
    <row r="727" spans="1:29" ht="15" customHeight="1" x14ac:dyDescent="0.3">
      <c r="A727" s="22" t="s">
        <v>628</v>
      </c>
      <c r="B727" s="23" t="s">
        <v>8</v>
      </c>
      <c r="C727" s="23" t="s">
        <v>9</v>
      </c>
      <c r="D727" s="24" t="s">
        <v>64</v>
      </c>
      <c r="E727" s="24" t="s">
        <v>363</v>
      </c>
      <c r="F727" s="18"/>
      <c r="G727" s="19">
        <v>0.89970000000000006</v>
      </c>
      <c r="H727" s="20">
        <v>2.4813999999999998</v>
      </c>
      <c r="I727" s="21"/>
      <c r="J727" s="20">
        <v>21.057300000000001</v>
      </c>
      <c r="K727" s="20">
        <v>55.505499999999998</v>
      </c>
      <c r="M727" t="str">
        <f t="shared" si="154"/>
        <v>SEPTONA SENSITIVE ALMOND&amp;MILK W 20 BAG</v>
      </c>
      <c r="N727" s="29" t="str">
        <f t="shared" si="155"/>
        <v xml:space="preserve"> SeptOn SA</v>
      </c>
      <c r="O727" t="str">
        <f t="shared" si="156"/>
        <v>SEPTONA (SEPTONA SA)</v>
      </c>
      <c r="P727" t="str">
        <f t="shared" si="158"/>
        <v xml:space="preserve"> SeptOn SA</v>
      </c>
      <c r="R727" t="str">
        <f t="shared" si="157"/>
        <v>SEPTONA (SEPTONA SA)</v>
      </c>
      <c r="T727" t="s">
        <v>627</v>
      </c>
      <c r="U727" t="str">
        <f t="shared" si="159"/>
        <v>BAGS</v>
      </c>
      <c r="V727" t="str">
        <f t="shared" si="160"/>
        <v>SENSITIVE</v>
      </c>
      <c r="W727" t="str">
        <f t="shared" si="161"/>
        <v>20</v>
      </c>
      <c r="X727" s="27">
        <f t="shared" si="162"/>
        <v>11.1968</v>
      </c>
      <c r="Y727" s="27">
        <f t="shared" si="163"/>
        <v>6.3734000000000002</v>
      </c>
      <c r="Z727" s="27">
        <f t="shared" si="164"/>
        <v>1.3038000000000001</v>
      </c>
      <c r="AA727" s="27">
        <f t="shared" si="165"/>
        <v>170.3914</v>
      </c>
      <c r="AB727" s="27">
        <f t="shared" si="166"/>
        <v>94.576999999999998</v>
      </c>
      <c r="AC727" s="27">
        <f t="shared" si="167"/>
        <v>19.252400000000002</v>
      </c>
    </row>
    <row r="728" spans="1:29" ht="15" customHeight="1" x14ac:dyDescent="0.3">
      <c r="A728" s="22" t="s">
        <v>629</v>
      </c>
      <c r="B728" s="23" t="s">
        <v>8</v>
      </c>
      <c r="C728" s="23" t="s">
        <v>9</v>
      </c>
      <c r="D728" s="24" t="s">
        <v>30</v>
      </c>
      <c r="E728" s="24" t="s">
        <v>630</v>
      </c>
      <c r="F728" s="18">
        <v>2.3999999999999998E-3</v>
      </c>
      <c r="G728" s="19"/>
      <c r="H728" s="20"/>
      <c r="I728" s="21">
        <v>5.7000000000000002E-2</v>
      </c>
      <c r="J728" s="20"/>
      <c r="K728" s="20"/>
      <c r="M728" t="str">
        <f t="shared" si="154"/>
        <v>SEPTONA SENSITIVE CALMN CARE W 54 BAG</v>
      </c>
      <c r="N728" s="29" t="str">
        <f t="shared" si="155"/>
        <v xml:space="preserve"> SeptOn SA</v>
      </c>
      <c r="O728" t="str">
        <f t="shared" si="156"/>
        <v>SEPTONA (SEPTONA SA)</v>
      </c>
      <c r="P728" t="str">
        <f t="shared" si="158"/>
        <v xml:space="preserve"> SeptOn SA</v>
      </c>
      <c r="R728" t="str">
        <f t="shared" si="157"/>
        <v>SEPTONA (SEPTONA SA)</v>
      </c>
      <c r="T728" t="s">
        <v>628</v>
      </c>
      <c r="U728" t="str">
        <f t="shared" si="159"/>
        <v>BAGS</v>
      </c>
      <c r="V728" t="str">
        <f t="shared" si="160"/>
        <v>SENSITIVE</v>
      </c>
      <c r="W728" t="str">
        <f t="shared" si="161"/>
        <v>54</v>
      </c>
      <c r="X728" s="27">
        <f t="shared" si="162"/>
        <v>0</v>
      </c>
      <c r="Y728" s="27">
        <f t="shared" si="163"/>
        <v>0.89970000000000006</v>
      </c>
      <c r="Z728" s="27">
        <f t="shared" si="164"/>
        <v>2.4813999999999998</v>
      </c>
      <c r="AA728" s="27">
        <f t="shared" si="165"/>
        <v>0</v>
      </c>
      <c r="AB728" s="27">
        <f t="shared" si="166"/>
        <v>21.057300000000001</v>
      </c>
      <c r="AC728" s="27">
        <f t="shared" si="167"/>
        <v>55.505499999999998</v>
      </c>
    </row>
    <row r="729" spans="1:29" ht="15" customHeight="1" x14ac:dyDescent="0.3">
      <c r="A729" s="22" t="s">
        <v>631</v>
      </c>
      <c r="B729" s="23" t="s">
        <v>8</v>
      </c>
      <c r="C729" s="23" t="s">
        <v>9</v>
      </c>
      <c r="D729" s="24" t="s">
        <v>10</v>
      </c>
      <c r="E729" s="24" t="s">
        <v>37</v>
      </c>
      <c r="F729" s="18">
        <v>0.22650000000000001</v>
      </c>
      <c r="G729" s="19"/>
      <c r="H729" s="20"/>
      <c r="I729" s="21">
        <v>7.2465999999999999</v>
      </c>
      <c r="J729" s="20"/>
      <c r="K729" s="20"/>
      <c r="M729" t="str">
        <f t="shared" si="154"/>
        <v>SEPTONA CALM NCARE PANTENOL W 57 BAG</v>
      </c>
      <c r="N729" s="29" t="str">
        <f t="shared" si="155"/>
        <v xml:space="preserve"> SeptOn SA</v>
      </c>
      <c r="O729" t="str">
        <f t="shared" si="156"/>
        <v>SEPTONA (SEPTONA SA)</v>
      </c>
      <c r="P729" t="str">
        <f t="shared" si="158"/>
        <v xml:space="preserve"> SeptOn SA</v>
      </c>
      <c r="R729" t="str">
        <f t="shared" si="157"/>
        <v>SEPTONA (SEPTONA SA)</v>
      </c>
      <c r="T729" t="s">
        <v>629</v>
      </c>
      <c r="U729" t="str">
        <f t="shared" si="159"/>
        <v>BAGS</v>
      </c>
      <c r="V729" t="str">
        <f t="shared" si="160"/>
        <v>ALCOHOL FREE</v>
      </c>
      <c r="W729" t="str">
        <f t="shared" si="161"/>
        <v>57</v>
      </c>
      <c r="X729" s="27">
        <f t="shared" si="162"/>
        <v>2.3999999999999998E-3</v>
      </c>
      <c r="Y729" s="27">
        <f t="shared" si="163"/>
        <v>0</v>
      </c>
      <c r="Z729" s="27">
        <f t="shared" si="164"/>
        <v>0</v>
      </c>
      <c r="AA729" s="27">
        <f t="shared" si="165"/>
        <v>5.7000000000000002E-2</v>
      </c>
      <c r="AB729" s="27">
        <f t="shared" si="166"/>
        <v>0</v>
      </c>
      <c r="AC729" s="27">
        <f t="shared" si="167"/>
        <v>0</v>
      </c>
    </row>
    <row r="730" spans="1:29" ht="15" customHeight="1" x14ac:dyDescent="0.3">
      <c r="A730" s="22" t="s">
        <v>632</v>
      </c>
      <c r="B730" s="23" t="s">
        <v>8</v>
      </c>
      <c r="C730" s="23" t="s">
        <v>9</v>
      </c>
      <c r="D730" s="24" t="s">
        <v>20</v>
      </c>
      <c r="E730" s="24" t="s">
        <v>37</v>
      </c>
      <c r="F730" s="18">
        <v>0.74809999999999999</v>
      </c>
      <c r="G730" s="19"/>
      <c r="H730" s="20"/>
      <c r="I730" s="21">
        <v>25.650500000000001</v>
      </c>
      <c r="J730" s="20"/>
      <c r="K730" s="20"/>
      <c r="M730" t="str">
        <f t="shared" si="154"/>
        <v>SEPTONA ALOE VERA BABY 64 BAG</v>
      </c>
      <c r="N730" s="29" t="str">
        <f t="shared" si="155"/>
        <v xml:space="preserve"> SeptOn SA</v>
      </c>
      <c r="O730" t="str">
        <f t="shared" si="156"/>
        <v>SEPTONA (SEPTONA SA)</v>
      </c>
      <c r="P730" t="str">
        <f t="shared" si="158"/>
        <v xml:space="preserve"> SeptOn SA</v>
      </c>
      <c r="R730" t="str">
        <f t="shared" si="157"/>
        <v>SEPTONA (SEPTONA SA)</v>
      </c>
      <c r="T730" t="s">
        <v>631</v>
      </c>
      <c r="U730" t="str">
        <f t="shared" si="159"/>
        <v>BAGS</v>
      </c>
      <c r="V730" t="str">
        <f t="shared" si="160"/>
        <v>WITHOUT EXTRA PROTECTCARE INDICATION</v>
      </c>
      <c r="W730" t="str">
        <f t="shared" si="161"/>
        <v>64</v>
      </c>
      <c r="X730" s="27">
        <f t="shared" si="162"/>
        <v>0.22650000000000001</v>
      </c>
      <c r="Y730" s="27">
        <f t="shared" si="163"/>
        <v>0</v>
      </c>
      <c r="Z730" s="27">
        <f t="shared" si="164"/>
        <v>0</v>
      </c>
      <c r="AA730" s="27">
        <f t="shared" si="165"/>
        <v>7.2465999999999999</v>
      </c>
      <c r="AB730" s="27">
        <f t="shared" si="166"/>
        <v>0</v>
      </c>
      <c r="AC730" s="27">
        <f t="shared" si="167"/>
        <v>0</v>
      </c>
    </row>
    <row r="731" spans="1:29" ht="15" customHeight="1" x14ac:dyDescent="0.3">
      <c r="A731" s="22" t="s">
        <v>633</v>
      </c>
      <c r="B731" s="23" t="s">
        <v>8</v>
      </c>
      <c r="C731" s="23" t="s">
        <v>9</v>
      </c>
      <c r="D731" s="24" t="s">
        <v>20</v>
      </c>
      <c r="E731" s="24" t="s">
        <v>37</v>
      </c>
      <c r="F731" s="18">
        <v>7.1352000000000002</v>
      </c>
      <c r="G731" s="19">
        <v>0.98229999999999995</v>
      </c>
      <c r="H731" s="20">
        <v>0.17499999999999999</v>
      </c>
      <c r="I731" s="21">
        <v>199.79089999999999</v>
      </c>
      <c r="J731" s="20">
        <v>31.398199999999999</v>
      </c>
      <c r="K731" s="20">
        <v>5.5553999999999997</v>
      </c>
      <c r="M731" t="str">
        <f t="shared" si="154"/>
        <v>SEPTONA CHAMOMILE BABY 3X64/1GR W BAG</v>
      </c>
      <c r="N731" s="29" t="str">
        <f t="shared" si="155"/>
        <v xml:space="preserve"> SeptOn SA</v>
      </c>
      <c r="O731" t="str">
        <f t="shared" si="156"/>
        <v>SEPTONA (SEPTONA SA)</v>
      </c>
      <c r="P731" t="str">
        <f t="shared" si="158"/>
        <v xml:space="preserve"> SeptOn SA</v>
      </c>
      <c r="R731" t="str">
        <f t="shared" si="157"/>
        <v>SEPTONA (SEPTONA SA)</v>
      </c>
      <c r="T731" t="s">
        <v>632</v>
      </c>
      <c r="U731" t="str">
        <f t="shared" si="159"/>
        <v>BAGS</v>
      </c>
      <c r="V731" t="str">
        <f t="shared" si="160"/>
        <v>PH BALANCED</v>
      </c>
      <c r="W731" t="str">
        <f t="shared" si="161"/>
        <v>64</v>
      </c>
      <c r="X731" s="27">
        <f t="shared" si="162"/>
        <v>0.74809999999999999</v>
      </c>
      <c r="Y731" s="27">
        <f t="shared" si="163"/>
        <v>0</v>
      </c>
      <c r="Z731" s="27">
        <f t="shared" si="164"/>
        <v>0</v>
      </c>
      <c r="AA731" s="27">
        <f t="shared" si="165"/>
        <v>25.650500000000001</v>
      </c>
      <c r="AB731" s="27">
        <f t="shared" si="166"/>
        <v>0</v>
      </c>
      <c r="AC731" s="27">
        <f t="shared" si="167"/>
        <v>0</v>
      </c>
    </row>
    <row r="732" spans="1:29" ht="15" customHeight="1" x14ac:dyDescent="0.3">
      <c r="A732" s="22" t="s">
        <v>634</v>
      </c>
      <c r="B732" s="23" t="s">
        <v>8</v>
      </c>
      <c r="C732" s="23" t="s">
        <v>9</v>
      </c>
      <c r="D732" s="24" t="s">
        <v>20</v>
      </c>
      <c r="E732" s="24" t="s">
        <v>37</v>
      </c>
      <c r="F732" s="18">
        <v>38.636499999999998</v>
      </c>
      <c r="G732" s="19">
        <v>25.403500000000001</v>
      </c>
      <c r="H732" s="20">
        <v>9.4920000000000009</v>
      </c>
      <c r="I732" s="21">
        <v>1064.7156</v>
      </c>
      <c r="J732" s="20">
        <v>712.85350000000005</v>
      </c>
      <c r="K732" s="20">
        <v>244.268</v>
      </c>
      <c r="M732" t="str">
        <f t="shared" si="154"/>
        <v>SEPTONA CHAMOMILE BABY 64 W BAG</v>
      </c>
      <c r="N732" s="29" t="str">
        <f t="shared" si="155"/>
        <v xml:space="preserve"> SeptOn SA</v>
      </c>
      <c r="O732" t="str">
        <f t="shared" si="156"/>
        <v>SEPTONA (SEPTONA SA)</v>
      </c>
      <c r="P732" t="str">
        <f t="shared" si="158"/>
        <v xml:space="preserve"> SeptOn SA</v>
      </c>
      <c r="R732" t="str">
        <f t="shared" si="157"/>
        <v>SEPTONA (SEPTONA SA)</v>
      </c>
      <c r="T732" t="s">
        <v>633</v>
      </c>
      <c r="U732" t="str">
        <f t="shared" si="159"/>
        <v>BAGS</v>
      </c>
      <c r="V732" t="str">
        <f t="shared" si="160"/>
        <v>PH BALANCED</v>
      </c>
      <c r="W732" t="str">
        <f t="shared" si="161"/>
        <v>64</v>
      </c>
      <c r="X732" s="27">
        <f t="shared" si="162"/>
        <v>7.1352000000000002</v>
      </c>
      <c r="Y732" s="27">
        <f t="shared" si="163"/>
        <v>0.98229999999999995</v>
      </c>
      <c r="Z732" s="27">
        <f t="shared" si="164"/>
        <v>0.17499999999999999</v>
      </c>
      <c r="AA732" s="27">
        <f t="shared" si="165"/>
        <v>199.79089999999999</v>
      </c>
      <c r="AB732" s="27">
        <f t="shared" si="166"/>
        <v>31.398199999999999</v>
      </c>
      <c r="AC732" s="27">
        <f t="shared" si="167"/>
        <v>5.5553999999999997</v>
      </c>
    </row>
    <row r="733" spans="1:29" ht="15" customHeight="1" x14ac:dyDescent="0.3">
      <c r="A733" s="22" t="s">
        <v>635</v>
      </c>
      <c r="B733" s="23" t="s">
        <v>8</v>
      </c>
      <c r="C733" s="23" t="s">
        <v>9</v>
      </c>
      <c r="D733" s="24" t="s">
        <v>64</v>
      </c>
      <c r="E733" s="24" t="s">
        <v>37</v>
      </c>
      <c r="F733" s="18"/>
      <c r="G733" s="19"/>
      <c r="H733" s="20"/>
      <c r="I733" s="21"/>
      <c r="J733" s="20"/>
      <c r="K733" s="20"/>
      <c r="M733" t="str">
        <f t="shared" si="154"/>
        <v>SEPTONA CHAMOMILE BABY 64 W BAG KAPAK</v>
      </c>
      <c r="N733" s="29" t="str">
        <f t="shared" si="155"/>
        <v xml:space="preserve"> SeptOn SA</v>
      </c>
      <c r="O733" t="str">
        <f t="shared" si="156"/>
        <v>SEPTONA (SEPTONA SA)</v>
      </c>
      <c r="P733" t="str">
        <f t="shared" si="158"/>
        <v xml:space="preserve"> SeptOn SA</v>
      </c>
      <c r="R733" t="str">
        <f t="shared" si="157"/>
        <v>SEPTONA (SEPTONA SA)</v>
      </c>
      <c r="T733" t="s">
        <v>634</v>
      </c>
      <c r="U733" t="str">
        <f t="shared" si="159"/>
        <v>BAGS</v>
      </c>
      <c r="V733" t="str">
        <f t="shared" si="160"/>
        <v>PH BALANCED</v>
      </c>
      <c r="W733" t="str">
        <f t="shared" si="161"/>
        <v>64</v>
      </c>
      <c r="X733" s="27">
        <f t="shared" si="162"/>
        <v>38.636499999999998</v>
      </c>
      <c r="Y733" s="27">
        <f t="shared" si="163"/>
        <v>25.403500000000001</v>
      </c>
      <c r="Z733" s="27">
        <f t="shared" si="164"/>
        <v>9.4920000000000009</v>
      </c>
      <c r="AA733" s="27">
        <f t="shared" si="165"/>
        <v>1064.7156</v>
      </c>
      <c r="AB733" s="27">
        <f t="shared" si="166"/>
        <v>712.85350000000005</v>
      </c>
      <c r="AC733" s="27">
        <f t="shared" si="167"/>
        <v>244.268</v>
      </c>
    </row>
    <row r="734" spans="1:29" ht="15" customHeight="1" x14ac:dyDescent="0.3">
      <c r="A734" s="22" t="s">
        <v>636</v>
      </c>
      <c r="B734" s="23" t="s">
        <v>8</v>
      </c>
      <c r="C734" s="23" t="s">
        <v>9</v>
      </c>
      <c r="D734" s="24" t="s">
        <v>64</v>
      </c>
      <c r="E734" s="24" t="s">
        <v>37</v>
      </c>
      <c r="F734" s="18">
        <v>3.0739999999999998</v>
      </c>
      <c r="G734" s="19">
        <v>0.314</v>
      </c>
      <c r="H734" s="20">
        <v>6.4199999999999993E-2</v>
      </c>
      <c r="I734" s="21">
        <v>79.571700000000007</v>
      </c>
      <c r="J734" s="20">
        <v>7.3994999999999997</v>
      </c>
      <c r="K734" s="20">
        <v>1.5809</v>
      </c>
      <c r="M734" t="str">
        <f t="shared" si="154"/>
        <v>SEPTONA SENSITIVE ALMOND&amp;MILK W 3X64/1FR</v>
      </c>
      <c r="N734" s="29" t="str">
        <f t="shared" si="155"/>
        <v xml:space="preserve"> SeptOn SA</v>
      </c>
      <c r="O734" t="str">
        <f t="shared" si="156"/>
        <v>SEPTONA (SEPTONA SA)</v>
      </c>
      <c r="P734" t="str">
        <f t="shared" si="158"/>
        <v xml:space="preserve"> SeptOn SA</v>
      </c>
      <c r="R734" t="str">
        <f t="shared" si="157"/>
        <v>SEPTONA (SEPTONA SA)</v>
      </c>
      <c r="T734" t="s">
        <v>635</v>
      </c>
      <c r="U734" t="str">
        <f t="shared" si="159"/>
        <v>BAGS</v>
      </c>
      <c r="V734" t="str">
        <f t="shared" si="160"/>
        <v>SENSITIVE</v>
      </c>
      <c r="W734" t="str">
        <f t="shared" si="161"/>
        <v>64</v>
      </c>
      <c r="X734" s="27">
        <f t="shared" si="162"/>
        <v>0</v>
      </c>
      <c r="Y734" s="27">
        <f t="shared" si="163"/>
        <v>0</v>
      </c>
      <c r="Z734" s="27">
        <f t="shared" si="164"/>
        <v>0</v>
      </c>
      <c r="AA734" s="27">
        <f t="shared" si="165"/>
        <v>0</v>
      </c>
      <c r="AB734" s="27">
        <f t="shared" si="166"/>
        <v>0</v>
      </c>
      <c r="AC734" s="27">
        <f t="shared" si="167"/>
        <v>0</v>
      </c>
    </row>
    <row r="735" spans="1:29" ht="15" customHeight="1" x14ac:dyDescent="0.3">
      <c r="A735" s="22" t="s">
        <v>637</v>
      </c>
      <c r="B735" s="23" t="s">
        <v>8</v>
      </c>
      <c r="C735" s="23" t="s">
        <v>9</v>
      </c>
      <c r="D735" s="24" t="s">
        <v>64</v>
      </c>
      <c r="E735" s="24" t="s">
        <v>37</v>
      </c>
      <c r="F735" s="18">
        <v>57.373899999999999</v>
      </c>
      <c r="G735" s="19">
        <v>28.978999999999999</v>
      </c>
      <c r="H735" s="20">
        <v>4.5244999999999997</v>
      </c>
      <c r="I735" s="21">
        <v>1605.2121</v>
      </c>
      <c r="J735" s="20">
        <v>798.29169999999999</v>
      </c>
      <c r="K735" s="20">
        <v>128.11799999999999</v>
      </c>
      <c r="M735" t="str">
        <f t="shared" si="154"/>
        <v>SEPTONA SENSITIVE ALMOND&amp;MILK W 64 BAG</v>
      </c>
      <c r="N735" s="29" t="str">
        <f t="shared" si="155"/>
        <v xml:space="preserve"> SeptOn SA</v>
      </c>
      <c r="O735" t="str">
        <f t="shared" si="156"/>
        <v>SEPTONA (SEPTONA SA)</v>
      </c>
      <c r="P735" t="str">
        <f t="shared" si="158"/>
        <v xml:space="preserve"> SeptOn SA</v>
      </c>
      <c r="R735" t="str">
        <f t="shared" si="157"/>
        <v>SEPTONA (SEPTONA SA)</v>
      </c>
      <c r="T735" t="s">
        <v>636</v>
      </c>
      <c r="U735" t="str">
        <f t="shared" si="159"/>
        <v>BAGS</v>
      </c>
      <c r="V735" t="str">
        <f t="shared" si="160"/>
        <v>SENSITIVE</v>
      </c>
      <c r="W735" t="str">
        <f t="shared" si="161"/>
        <v>64</v>
      </c>
      <c r="X735" s="27">
        <f t="shared" si="162"/>
        <v>3.0739999999999998</v>
      </c>
      <c r="Y735" s="27">
        <f t="shared" si="163"/>
        <v>0.314</v>
      </c>
      <c r="Z735" s="27">
        <f t="shared" si="164"/>
        <v>6.4199999999999993E-2</v>
      </c>
      <c r="AA735" s="27">
        <f t="shared" si="165"/>
        <v>79.571700000000007</v>
      </c>
      <c r="AB735" s="27">
        <f t="shared" si="166"/>
        <v>7.3994999999999997</v>
      </c>
      <c r="AC735" s="27">
        <f t="shared" si="167"/>
        <v>1.5809</v>
      </c>
    </row>
    <row r="736" spans="1:29" ht="15" customHeight="1" x14ac:dyDescent="0.3">
      <c r="A736" s="22" t="s">
        <v>638</v>
      </c>
      <c r="B736" s="23" t="s">
        <v>8</v>
      </c>
      <c r="C736" s="23" t="s">
        <v>9</v>
      </c>
      <c r="D736" s="24" t="s">
        <v>30</v>
      </c>
      <c r="E736" s="24" t="s">
        <v>42</v>
      </c>
      <c r="F736" s="18">
        <v>0.84319999999999995</v>
      </c>
      <c r="G736" s="19"/>
      <c r="H736" s="20"/>
      <c r="I736" s="21">
        <v>38.896500000000003</v>
      </c>
      <c r="J736" s="20"/>
      <c r="K736" s="20"/>
      <c r="M736" t="str">
        <f t="shared" si="154"/>
        <v>SEPTONA SENSITIVE CALMN CARE W 64 BAG</v>
      </c>
      <c r="N736" s="29" t="str">
        <f t="shared" si="155"/>
        <v xml:space="preserve"> SeptOn SA</v>
      </c>
      <c r="O736" t="str">
        <f t="shared" si="156"/>
        <v>SEPTONA (SEPTONA SA)</v>
      </c>
      <c r="P736" t="str">
        <f t="shared" si="158"/>
        <v xml:space="preserve"> SeptOn SA</v>
      </c>
      <c r="R736" t="str">
        <f t="shared" si="157"/>
        <v>SEPTONA (SEPTONA SA)</v>
      </c>
      <c r="T736" t="s">
        <v>637</v>
      </c>
      <c r="U736" t="str">
        <f t="shared" si="159"/>
        <v>BAGS</v>
      </c>
      <c r="V736" t="str">
        <f t="shared" si="160"/>
        <v>SENSITIVE</v>
      </c>
      <c r="W736" t="str">
        <f t="shared" si="161"/>
        <v>64</v>
      </c>
      <c r="X736" s="27">
        <f t="shared" si="162"/>
        <v>57.373899999999999</v>
      </c>
      <c r="Y736" s="27">
        <f t="shared" si="163"/>
        <v>28.978999999999999</v>
      </c>
      <c r="Z736" s="27">
        <f t="shared" si="164"/>
        <v>4.5244999999999997</v>
      </c>
      <c r="AA736" s="27">
        <f t="shared" si="165"/>
        <v>1605.2121</v>
      </c>
      <c r="AB736" s="27">
        <f t="shared" si="166"/>
        <v>798.29169999999999</v>
      </c>
      <c r="AC736" s="27">
        <f t="shared" si="167"/>
        <v>128.11799999999999</v>
      </c>
    </row>
    <row r="737" spans="1:29" ht="15" customHeight="1" x14ac:dyDescent="0.3">
      <c r="A737" s="22" t="s">
        <v>639</v>
      </c>
      <c r="B737" s="23" t="s">
        <v>8</v>
      </c>
      <c r="C737" s="23" t="s">
        <v>9</v>
      </c>
      <c r="D737" s="24" t="s">
        <v>30</v>
      </c>
      <c r="E737" s="24" t="s">
        <v>640</v>
      </c>
      <c r="F737" s="18">
        <v>0.32700000000000001</v>
      </c>
      <c r="G737" s="19">
        <v>7.9399999999999998E-2</v>
      </c>
      <c r="H737" s="20"/>
      <c r="I737" s="21">
        <v>8.1380999999999997</v>
      </c>
      <c r="J737" s="20">
        <v>2.0009000000000001</v>
      </c>
      <c r="K737" s="20"/>
      <c r="M737" t="str">
        <f t="shared" si="154"/>
        <v>SEPTONA MILD FRAGANCE ALC.FREE W 72 BAG</v>
      </c>
      <c r="N737" s="29" t="str">
        <f t="shared" si="155"/>
        <v xml:space="preserve"> SeptOn SA</v>
      </c>
      <c r="O737" t="str">
        <f t="shared" si="156"/>
        <v>SEPTONA (SEPTONA SA)</v>
      </c>
      <c r="P737" t="str">
        <f t="shared" si="158"/>
        <v xml:space="preserve"> SeptOn SA</v>
      </c>
      <c r="R737" t="str">
        <f t="shared" si="157"/>
        <v>SEPTONA (SEPTONA SA)</v>
      </c>
      <c r="T737" t="s">
        <v>638</v>
      </c>
      <c r="U737" t="str">
        <f t="shared" si="159"/>
        <v>BAGS</v>
      </c>
      <c r="V737" t="str">
        <f t="shared" si="160"/>
        <v>ALCOHOL FREE</v>
      </c>
      <c r="W737" t="str">
        <f t="shared" si="161"/>
        <v>72</v>
      </c>
      <c r="X737" s="27">
        <f t="shared" si="162"/>
        <v>0.84319999999999995</v>
      </c>
      <c r="Y737" s="27">
        <f t="shared" si="163"/>
        <v>0</v>
      </c>
      <c r="Z737" s="27">
        <f t="shared" si="164"/>
        <v>0</v>
      </c>
      <c r="AA737" s="27">
        <f t="shared" si="165"/>
        <v>38.896500000000003</v>
      </c>
      <c r="AB737" s="27">
        <f t="shared" si="166"/>
        <v>0</v>
      </c>
      <c r="AC737" s="27">
        <f t="shared" si="167"/>
        <v>0</v>
      </c>
    </row>
    <row r="738" spans="1:29" ht="15" customHeight="1" x14ac:dyDescent="0.3">
      <c r="A738" s="22" t="s">
        <v>641</v>
      </c>
      <c r="B738" s="23" t="s">
        <v>8</v>
      </c>
      <c r="C738" s="23" t="s">
        <v>9</v>
      </c>
      <c r="D738" s="24" t="s">
        <v>30</v>
      </c>
      <c r="E738" s="24" t="s">
        <v>17</v>
      </c>
      <c r="F738" s="18">
        <v>30.607399999999998</v>
      </c>
      <c r="G738" s="19">
        <v>87.617999999999995</v>
      </c>
      <c r="H738" s="20">
        <v>25.586099999999998</v>
      </c>
      <c r="I738" s="21">
        <v>1468.2443000000001</v>
      </c>
      <c r="J738" s="20">
        <v>4062.0709999999999</v>
      </c>
      <c r="K738" s="20">
        <v>1119.9051999999999</v>
      </c>
      <c r="M738" t="str">
        <f t="shared" si="154"/>
        <v>SEPTONA CALM NCARE PANTENOL W 75 BAG</v>
      </c>
      <c r="N738" s="29" t="str">
        <f t="shared" si="155"/>
        <v xml:space="preserve"> SeptOn SA</v>
      </c>
      <c r="O738" t="str">
        <f t="shared" si="156"/>
        <v>SEPTONA (SEPTONA SA)</v>
      </c>
      <c r="P738" t="str">
        <f t="shared" si="158"/>
        <v xml:space="preserve"> SeptOn SA</v>
      </c>
      <c r="R738" t="str">
        <f t="shared" si="157"/>
        <v>SEPTONA (SEPTONA SA)</v>
      </c>
      <c r="T738" t="s">
        <v>639</v>
      </c>
      <c r="U738" t="str">
        <f t="shared" si="159"/>
        <v>BAGS</v>
      </c>
      <c r="V738" t="str">
        <f t="shared" si="160"/>
        <v>ALCOHOL FREE</v>
      </c>
      <c r="W738" t="str">
        <f t="shared" si="161"/>
        <v>75</v>
      </c>
      <c r="X738" s="27">
        <f t="shared" si="162"/>
        <v>0.32700000000000001</v>
      </c>
      <c r="Y738" s="27">
        <f t="shared" si="163"/>
        <v>7.9399999999999998E-2</v>
      </c>
      <c r="Z738" s="27">
        <f t="shared" si="164"/>
        <v>0</v>
      </c>
      <c r="AA738" s="27">
        <f t="shared" si="165"/>
        <v>8.1380999999999997</v>
      </c>
      <c r="AB738" s="27">
        <f t="shared" si="166"/>
        <v>2.0009000000000001</v>
      </c>
      <c r="AC738" s="27">
        <f t="shared" si="167"/>
        <v>0</v>
      </c>
    </row>
    <row r="739" spans="1:29" ht="14.25" customHeight="1" x14ac:dyDescent="0.3">
      <c r="A739" s="25" t="s">
        <v>805</v>
      </c>
      <c r="B739" s="4" t="s">
        <v>5</v>
      </c>
      <c r="C739" s="4"/>
      <c r="D739" s="5"/>
      <c r="E739" s="5"/>
      <c r="F739" s="10">
        <v>466.315</v>
      </c>
      <c r="G739" s="11">
        <v>321.99369999999999</v>
      </c>
      <c r="H739" s="12">
        <v>119.931</v>
      </c>
      <c r="I739" s="13">
        <v>27928.0566</v>
      </c>
      <c r="J739" s="12">
        <v>19049.5026</v>
      </c>
      <c r="K739" s="12">
        <v>6464.4501</v>
      </c>
      <c r="M739" t="str">
        <f t="shared" si="154"/>
        <v>SEPTONA CALMN CARE ALOE VERA W 80 BAG</v>
      </c>
      <c r="N739" s="29" t="str">
        <f t="shared" si="155"/>
        <v xml:space="preserve"> SeptOn SA</v>
      </c>
      <c r="O739" t="str">
        <f t="shared" si="156"/>
        <v>SEPTONA (SEPTONA SA)</v>
      </c>
      <c r="P739" t="str">
        <f t="shared" si="158"/>
        <v xml:space="preserve"> SeptOn SA</v>
      </c>
      <c r="R739" t="str">
        <f t="shared" si="157"/>
        <v>SEPTONA (SEPTONA SA)</v>
      </c>
      <c r="T739" t="s">
        <v>641</v>
      </c>
      <c r="U739" t="str">
        <f t="shared" si="159"/>
        <v>BAGS</v>
      </c>
      <c r="V739" t="str">
        <f t="shared" si="160"/>
        <v>ALCOHOL FREE</v>
      </c>
      <c r="W739" t="str">
        <f t="shared" si="161"/>
        <v>80</v>
      </c>
      <c r="X739" s="27">
        <f t="shared" si="162"/>
        <v>30.607399999999998</v>
      </c>
      <c r="Y739" s="27">
        <f t="shared" si="163"/>
        <v>87.617999999999995</v>
      </c>
      <c r="Z739" s="27">
        <f t="shared" si="164"/>
        <v>25.586099999999998</v>
      </c>
      <c r="AA739" s="27">
        <f t="shared" si="165"/>
        <v>1468.2443000000001</v>
      </c>
      <c r="AB739" s="27">
        <f t="shared" si="166"/>
        <v>4062.0709999999999</v>
      </c>
      <c r="AC739" s="27">
        <f t="shared" si="167"/>
        <v>1119.9051999999999</v>
      </c>
    </row>
    <row r="740" spans="1:29" ht="15" customHeight="1" x14ac:dyDescent="0.3">
      <c r="A740" s="14" t="s">
        <v>642</v>
      </c>
      <c r="B740" s="15" t="s">
        <v>6</v>
      </c>
      <c r="C740" s="16"/>
      <c r="D740" s="17"/>
      <c r="E740" s="17"/>
      <c r="F740" s="18">
        <v>0.26200000000000001</v>
      </c>
      <c r="G740" s="19">
        <v>0.1656</v>
      </c>
      <c r="H740" s="20"/>
      <c r="I740" s="21">
        <v>18.860299999999999</v>
      </c>
      <c r="J740" s="20">
        <v>11.920500000000001</v>
      </c>
      <c r="K740" s="20"/>
      <c r="M740" t="str">
        <f t="shared" si="154"/>
        <v/>
      </c>
      <c r="N740" s="29" t="str">
        <f t="shared" si="155"/>
        <v xml:space="preserve"> SeptOn SA</v>
      </c>
      <c r="O740" t="str">
        <f t="shared" si="156"/>
        <v>SEPTONA (SEPTONA SA)</v>
      </c>
      <c r="P740" t="str">
        <f t="shared" si="158"/>
        <v/>
      </c>
      <c r="R740" t="str">
        <f t="shared" si="157"/>
        <v/>
      </c>
      <c r="T740" t="s">
        <v>871</v>
      </c>
      <c r="U740" t="str">
        <f t="shared" si="159"/>
        <v/>
      </c>
      <c r="V740" t="str">
        <f t="shared" si="160"/>
        <v/>
      </c>
      <c r="W740" t="str">
        <f t="shared" si="161"/>
        <v/>
      </c>
      <c r="X740" s="27" t="str">
        <f t="shared" si="162"/>
        <v/>
      </c>
      <c r="Y740" s="27" t="str">
        <f t="shared" si="163"/>
        <v/>
      </c>
      <c r="Z740" s="27" t="str">
        <f t="shared" si="164"/>
        <v/>
      </c>
      <c r="AA740" s="27" t="str">
        <f t="shared" si="165"/>
        <v/>
      </c>
      <c r="AB740" s="27" t="str">
        <f t="shared" si="166"/>
        <v/>
      </c>
      <c r="AC740" s="27" t="str">
        <f t="shared" si="167"/>
        <v/>
      </c>
    </row>
    <row r="741" spans="1:29" ht="15" customHeight="1" x14ac:dyDescent="0.3">
      <c r="A741" s="22" t="s">
        <v>643</v>
      </c>
      <c r="B741" s="23" t="s">
        <v>8</v>
      </c>
      <c r="C741" s="23" t="s">
        <v>9</v>
      </c>
      <c r="D741" s="24" t="s">
        <v>20</v>
      </c>
      <c r="E741" s="24" t="s">
        <v>42</v>
      </c>
      <c r="F741" s="18">
        <v>0.26200000000000001</v>
      </c>
      <c r="G741" s="19">
        <v>0.1656</v>
      </c>
      <c r="H741" s="20"/>
      <c r="I741" s="21">
        <v>18.860299999999999</v>
      </c>
      <c r="J741" s="20">
        <v>11.920500000000001</v>
      </c>
      <c r="K741" s="20"/>
      <c r="M741" t="str">
        <f t="shared" si="154"/>
        <v/>
      </c>
      <c r="N741" s="29" t="str">
        <f t="shared" si="155"/>
        <v xml:space="preserve"> SeptOn SA</v>
      </c>
      <c r="O741" t="str">
        <f t="shared" si="156"/>
        <v>SEPTONA (SEPTONA SA)</v>
      </c>
      <c r="P741" t="str">
        <f t="shared" si="158"/>
        <v/>
      </c>
      <c r="R741" t="str">
        <f t="shared" si="157"/>
        <v/>
      </c>
      <c r="T741" t="s">
        <v>871</v>
      </c>
      <c r="U741" t="str">
        <f t="shared" si="159"/>
        <v/>
      </c>
      <c r="V741" t="str">
        <f t="shared" si="160"/>
        <v/>
      </c>
      <c r="W741" t="str">
        <f t="shared" si="161"/>
        <v/>
      </c>
      <c r="X741" s="27" t="str">
        <f t="shared" si="162"/>
        <v/>
      </c>
      <c r="Y741" s="27" t="str">
        <f t="shared" si="163"/>
        <v/>
      </c>
      <c r="Z741" s="27" t="str">
        <f t="shared" si="164"/>
        <v/>
      </c>
      <c r="AA741" s="27" t="str">
        <f t="shared" si="165"/>
        <v/>
      </c>
      <c r="AB741" s="27" t="str">
        <f t="shared" si="166"/>
        <v/>
      </c>
      <c r="AC741" s="27" t="str">
        <f t="shared" si="167"/>
        <v/>
      </c>
    </row>
    <row r="742" spans="1:29" ht="15" customHeight="1" x14ac:dyDescent="0.3">
      <c r="A742" s="14" t="s">
        <v>644</v>
      </c>
      <c r="B742" s="15" t="s">
        <v>6</v>
      </c>
      <c r="C742" s="16"/>
      <c r="D742" s="17"/>
      <c r="E742" s="17"/>
      <c r="F742" s="18">
        <v>8.2482000000000006</v>
      </c>
      <c r="G742" s="19">
        <v>0.97330000000000005</v>
      </c>
      <c r="H742" s="20"/>
      <c r="I742" s="21">
        <v>505.78250000000003</v>
      </c>
      <c r="J742" s="20">
        <v>58.400799999999997</v>
      </c>
      <c r="K742" s="20"/>
      <c r="M742" t="str">
        <f t="shared" si="154"/>
        <v>IASSMIN BABY CREAM PH5.5 W 72 BAG</v>
      </c>
      <c r="N742" s="29" t="str">
        <f t="shared" si="155"/>
        <v xml:space="preserve"> LovelyCo</v>
      </c>
      <c r="O742" t="str">
        <f t="shared" si="156"/>
        <v>IASSMIN (SEVIMLER)</v>
      </c>
      <c r="P742" t="str">
        <f t="shared" si="158"/>
        <v xml:space="preserve"> LovelyCo</v>
      </c>
      <c r="R742" t="str">
        <f t="shared" si="157"/>
        <v>IASSMIN (SEVIMLER)</v>
      </c>
      <c r="T742" t="s">
        <v>643</v>
      </c>
      <c r="U742" t="str">
        <f t="shared" si="159"/>
        <v>BAGS</v>
      </c>
      <c r="V742" t="str">
        <f t="shared" si="160"/>
        <v>PH BALANCED</v>
      </c>
      <c r="W742" t="str">
        <f t="shared" si="161"/>
        <v>72</v>
      </c>
      <c r="X742" s="27">
        <f t="shared" si="162"/>
        <v>0.26200000000000001</v>
      </c>
      <c r="Y742" s="27">
        <f t="shared" si="163"/>
        <v>0.1656</v>
      </c>
      <c r="Z742" s="27">
        <f t="shared" si="164"/>
        <v>0</v>
      </c>
      <c r="AA742" s="27">
        <f t="shared" si="165"/>
        <v>18.860299999999999</v>
      </c>
      <c r="AB742" s="27">
        <f t="shared" si="166"/>
        <v>11.920500000000001</v>
      </c>
      <c r="AC742" s="27">
        <f t="shared" si="167"/>
        <v>0</v>
      </c>
    </row>
    <row r="743" spans="1:29" ht="15" customHeight="1" x14ac:dyDescent="0.3">
      <c r="A743" s="22" t="s">
        <v>645</v>
      </c>
      <c r="B743" s="23" t="s">
        <v>8</v>
      </c>
      <c r="C743" s="23" t="s">
        <v>9</v>
      </c>
      <c r="D743" s="24" t="s">
        <v>64</v>
      </c>
      <c r="E743" s="24" t="s">
        <v>24</v>
      </c>
      <c r="F743" s="18">
        <v>8.2482000000000006</v>
      </c>
      <c r="G743" s="19">
        <v>0.97330000000000005</v>
      </c>
      <c r="H743" s="20"/>
      <c r="I743" s="21">
        <v>505.78250000000003</v>
      </c>
      <c r="J743" s="20">
        <v>58.400799999999997</v>
      </c>
      <c r="K743" s="20"/>
      <c r="M743" t="str">
        <f t="shared" si="154"/>
        <v/>
      </c>
      <c r="N743" s="29" t="str">
        <f t="shared" si="155"/>
        <v xml:space="preserve"> LovelyCo</v>
      </c>
      <c r="O743" t="str">
        <f t="shared" si="156"/>
        <v>IASSMIN (SEVIMLER)</v>
      </c>
      <c r="P743" t="str">
        <f t="shared" si="158"/>
        <v/>
      </c>
      <c r="R743" t="str">
        <f t="shared" si="157"/>
        <v/>
      </c>
      <c r="T743" t="s">
        <v>871</v>
      </c>
      <c r="U743" t="str">
        <f t="shared" si="159"/>
        <v/>
      </c>
      <c r="V743" t="str">
        <f t="shared" si="160"/>
        <v/>
      </c>
      <c r="W743" t="str">
        <f t="shared" si="161"/>
        <v/>
      </c>
      <c r="X743" s="27" t="str">
        <f t="shared" si="162"/>
        <v/>
      </c>
      <c r="Y743" s="27" t="str">
        <f t="shared" si="163"/>
        <v/>
      </c>
      <c r="Z743" s="27" t="str">
        <f t="shared" si="164"/>
        <v/>
      </c>
      <c r="AA743" s="27" t="str">
        <f t="shared" si="165"/>
        <v/>
      </c>
      <c r="AB743" s="27" t="str">
        <f t="shared" si="166"/>
        <v/>
      </c>
      <c r="AC743" s="27" t="str">
        <f t="shared" si="167"/>
        <v/>
      </c>
    </row>
    <row r="744" spans="1:29" ht="15" customHeight="1" x14ac:dyDescent="0.3">
      <c r="A744" s="22" t="s">
        <v>646</v>
      </c>
      <c r="B744" s="23" t="s">
        <v>8</v>
      </c>
      <c r="C744" s="23" t="s">
        <v>9</v>
      </c>
      <c r="D744" s="24" t="s">
        <v>64</v>
      </c>
      <c r="E744" s="24" t="s">
        <v>42</v>
      </c>
      <c r="F744" s="18"/>
      <c r="G744" s="19"/>
      <c r="H744" s="20"/>
      <c r="I744" s="21"/>
      <c r="J744" s="20"/>
      <c r="K744" s="20"/>
      <c r="M744" t="str">
        <f t="shared" si="154"/>
        <v>JUNIOR&amp;TOMMY SENSITIVE W 120 BAG KAPAK</v>
      </c>
      <c r="N744" s="29" t="str">
        <f t="shared" si="155"/>
        <v xml:space="preserve"> LovelyCo</v>
      </c>
      <c r="O744" t="str">
        <f t="shared" si="156"/>
        <v>JUNIOR &amp; TOMMY (SEVIMLER)</v>
      </c>
      <c r="P744" t="str">
        <f t="shared" si="158"/>
        <v xml:space="preserve"> LovelyCo</v>
      </c>
      <c r="R744" t="str">
        <f t="shared" si="157"/>
        <v>JUNIOR &amp; TOMMY (SEVIMLER)</v>
      </c>
      <c r="T744" t="s">
        <v>645</v>
      </c>
      <c r="U744" t="str">
        <f t="shared" si="159"/>
        <v>BAGS</v>
      </c>
      <c r="V744" t="str">
        <f t="shared" si="160"/>
        <v>SENSITIVE</v>
      </c>
      <c r="W744" t="str">
        <f t="shared" si="161"/>
        <v>120</v>
      </c>
      <c r="X744" s="27">
        <f t="shared" si="162"/>
        <v>8.2482000000000006</v>
      </c>
      <c r="Y744" s="27">
        <f t="shared" si="163"/>
        <v>0.97330000000000005</v>
      </c>
      <c r="Z744" s="27">
        <f t="shared" si="164"/>
        <v>0</v>
      </c>
      <c r="AA744" s="27">
        <f t="shared" si="165"/>
        <v>505.78250000000003</v>
      </c>
      <c r="AB744" s="27">
        <f t="shared" si="166"/>
        <v>58.400799999999997</v>
      </c>
      <c r="AC744" s="27">
        <f t="shared" si="167"/>
        <v>0</v>
      </c>
    </row>
    <row r="745" spans="1:29" ht="15" customHeight="1" x14ac:dyDescent="0.3">
      <c r="A745" s="22" t="s">
        <v>647</v>
      </c>
      <c r="B745" s="23" t="s">
        <v>8</v>
      </c>
      <c r="C745" s="23" t="s">
        <v>9</v>
      </c>
      <c r="D745" s="24" t="s">
        <v>64</v>
      </c>
      <c r="E745" s="24" t="s">
        <v>42</v>
      </c>
      <c r="F745" s="18"/>
      <c r="G745" s="19"/>
      <c r="H745" s="20"/>
      <c r="I745" s="21"/>
      <c r="J745" s="20"/>
      <c r="K745" s="20"/>
      <c r="M745" t="str">
        <f t="shared" si="154"/>
        <v>JUNIOR&amp;TOMMY SENSITIVE W 72 BAG</v>
      </c>
      <c r="N745" s="29" t="str">
        <f t="shared" si="155"/>
        <v xml:space="preserve"> LovelyCo</v>
      </c>
      <c r="O745" t="str">
        <f t="shared" si="156"/>
        <v>JUNIOR &amp; TOMMY (SEVIMLER)</v>
      </c>
      <c r="P745" t="str">
        <f t="shared" si="158"/>
        <v xml:space="preserve"> LovelyCo</v>
      </c>
      <c r="R745" t="str">
        <f t="shared" si="157"/>
        <v>JUNIOR &amp; TOMMY (SEVIMLER)</v>
      </c>
      <c r="T745" t="s">
        <v>646</v>
      </c>
      <c r="U745" t="str">
        <f t="shared" si="159"/>
        <v>BAGS</v>
      </c>
      <c r="V745" t="str">
        <f t="shared" si="160"/>
        <v>SENSITIVE</v>
      </c>
      <c r="W745" t="str">
        <f t="shared" si="161"/>
        <v>72</v>
      </c>
      <c r="X745" s="27">
        <f t="shared" si="162"/>
        <v>0</v>
      </c>
      <c r="Y745" s="27">
        <f t="shared" si="163"/>
        <v>0</v>
      </c>
      <c r="Z745" s="27">
        <f t="shared" si="164"/>
        <v>0</v>
      </c>
      <c r="AA745" s="27">
        <f t="shared" si="165"/>
        <v>0</v>
      </c>
      <c r="AB745" s="27">
        <f t="shared" si="166"/>
        <v>0</v>
      </c>
      <c r="AC745" s="27">
        <f t="shared" si="167"/>
        <v>0</v>
      </c>
    </row>
    <row r="746" spans="1:29" ht="15" customHeight="1" x14ac:dyDescent="0.3">
      <c r="A746" s="14" t="s">
        <v>648</v>
      </c>
      <c r="B746" s="15" t="s">
        <v>6</v>
      </c>
      <c r="C746" s="16"/>
      <c r="D746" s="17"/>
      <c r="E746" s="17"/>
      <c r="F746" s="18"/>
      <c r="G746" s="19"/>
      <c r="H746" s="20"/>
      <c r="I746" s="21"/>
      <c r="J746" s="20"/>
      <c r="K746" s="20"/>
      <c r="M746" t="str">
        <f t="shared" si="154"/>
        <v>JUNIOR&amp;TOMMY SENSITIVE W 72 BAG KAPAK</v>
      </c>
      <c r="N746" s="29" t="str">
        <f t="shared" si="155"/>
        <v xml:space="preserve"> LovelyCo</v>
      </c>
      <c r="O746" t="str">
        <f t="shared" si="156"/>
        <v>JUNIOR &amp; TOMMY (SEVIMLER)</v>
      </c>
      <c r="P746" t="str">
        <f t="shared" si="158"/>
        <v xml:space="preserve"> LovelyCo</v>
      </c>
      <c r="R746" t="str">
        <f t="shared" si="157"/>
        <v>JUNIOR &amp; TOMMY (SEVIMLER)</v>
      </c>
      <c r="T746" t="s">
        <v>647</v>
      </c>
      <c r="U746" t="str">
        <f t="shared" si="159"/>
        <v>BAGS</v>
      </c>
      <c r="V746" t="str">
        <f t="shared" si="160"/>
        <v>SENSITIVE</v>
      </c>
      <c r="W746" t="str">
        <f t="shared" si="161"/>
        <v>72</v>
      </c>
      <c r="X746" s="27">
        <f t="shared" si="162"/>
        <v>0</v>
      </c>
      <c r="Y746" s="27">
        <f t="shared" si="163"/>
        <v>0</v>
      </c>
      <c r="Z746" s="27">
        <f t="shared" si="164"/>
        <v>0</v>
      </c>
      <c r="AA746" s="27">
        <f t="shared" si="165"/>
        <v>0</v>
      </c>
      <c r="AB746" s="27">
        <f t="shared" si="166"/>
        <v>0</v>
      </c>
      <c r="AC746" s="27">
        <f t="shared" si="167"/>
        <v>0</v>
      </c>
    </row>
    <row r="747" spans="1:29" ht="15" customHeight="1" x14ac:dyDescent="0.3">
      <c r="A747" s="22" t="s">
        <v>649</v>
      </c>
      <c r="B747" s="23" t="s">
        <v>8</v>
      </c>
      <c r="C747" s="23" t="s">
        <v>9</v>
      </c>
      <c r="D747" s="24" t="s">
        <v>30</v>
      </c>
      <c r="E747" s="24" t="s">
        <v>21</v>
      </c>
      <c r="F747" s="18"/>
      <c r="G747" s="19"/>
      <c r="H747" s="20"/>
      <c r="I747" s="21"/>
      <c r="J747" s="20"/>
      <c r="K747" s="20"/>
      <c r="M747" t="str">
        <f t="shared" si="154"/>
        <v/>
      </c>
      <c r="N747" s="29" t="str">
        <f t="shared" si="155"/>
        <v xml:space="preserve"> LovelyCo</v>
      </c>
      <c r="O747" t="str">
        <f t="shared" si="156"/>
        <v>JUNIOR &amp; TOMMY (SEVIMLER)</v>
      </c>
      <c r="P747" t="str">
        <f t="shared" si="158"/>
        <v/>
      </c>
      <c r="R747" t="str">
        <f t="shared" si="157"/>
        <v/>
      </c>
      <c r="T747" t="s">
        <v>871</v>
      </c>
      <c r="U747" t="str">
        <f t="shared" si="159"/>
        <v/>
      </c>
      <c r="V747" t="str">
        <f t="shared" si="160"/>
        <v/>
      </c>
      <c r="W747" t="str">
        <f t="shared" si="161"/>
        <v/>
      </c>
      <c r="X747" s="27" t="str">
        <f t="shared" si="162"/>
        <v/>
      </c>
      <c r="Y747" s="27" t="str">
        <f t="shared" si="163"/>
        <v/>
      </c>
      <c r="Z747" s="27" t="str">
        <f t="shared" si="164"/>
        <v/>
      </c>
      <c r="AA747" s="27" t="str">
        <f t="shared" si="165"/>
        <v/>
      </c>
      <c r="AB747" s="27" t="str">
        <f t="shared" si="166"/>
        <v/>
      </c>
      <c r="AC747" s="27" t="str">
        <f t="shared" si="167"/>
        <v/>
      </c>
    </row>
    <row r="748" spans="1:29" ht="15" customHeight="1" x14ac:dyDescent="0.3">
      <c r="A748" s="14" t="s">
        <v>650</v>
      </c>
      <c r="B748" s="15" t="s">
        <v>6</v>
      </c>
      <c r="C748" s="16"/>
      <c r="D748" s="17"/>
      <c r="E748" s="17"/>
      <c r="F748" s="18"/>
      <c r="G748" s="19"/>
      <c r="H748" s="20"/>
      <c r="I748" s="21"/>
      <c r="J748" s="20"/>
      <c r="K748" s="20"/>
      <c r="M748" t="str">
        <f t="shared" si="154"/>
        <v>LADY FRESH BABY ALC.FREE W 105/5FREE</v>
      </c>
      <c r="N748" s="29" t="str">
        <f t="shared" si="155"/>
        <v xml:space="preserve"> LovelyCo</v>
      </c>
      <c r="O748" t="str">
        <f t="shared" si="156"/>
        <v>LADY FRESH (SEVIMLER)</v>
      </c>
      <c r="P748" t="str">
        <f t="shared" si="158"/>
        <v xml:space="preserve"> LovelyCo</v>
      </c>
      <c r="R748" t="str">
        <f t="shared" si="157"/>
        <v>LADY FRESH (SEVIMLER)</v>
      </c>
      <c r="T748" t="s">
        <v>649</v>
      </c>
      <c r="U748" t="str">
        <f t="shared" si="159"/>
        <v>BAGS</v>
      </c>
      <c r="V748" t="str">
        <f t="shared" si="160"/>
        <v>ALCOHOL FREE</v>
      </c>
      <c r="W748" t="str">
        <f t="shared" si="161"/>
        <v>100</v>
      </c>
      <c r="X748" s="27">
        <f t="shared" si="162"/>
        <v>0</v>
      </c>
      <c r="Y748" s="27">
        <f t="shared" si="163"/>
        <v>0</v>
      </c>
      <c r="Z748" s="27">
        <f t="shared" si="164"/>
        <v>0</v>
      </c>
      <c r="AA748" s="27">
        <f t="shared" si="165"/>
        <v>0</v>
      </c>
      <c r="AB748" s="27">
        <f t="shared" si="166"/>
        <v>0</v>
      </c>
      <c r="AC748" s="27">
        <f t="shared" si="167"/>
        <v>0</v>
      </c>
    </row>
    <row r="749" spans="1:29" ht="15" customHeight="1" x14ac:dyDescent="0.3">
      <c r="A749" s="22" t="s">
        <v>651</v>
      </c>
      <c r="B749" s="23" t="s">
        <v>8</v>
      </c>
      <c r="C749" s="23" t="s">
        <v>9</v>
      </c>
      <c r="D749" s="24" t="s">
        <v>20</v>
      </c>
      <c r="E749" s="24" t="s">
        <v>42</v>
      </c>
      <c r="F749" s="18"/>
      <c r="G749" s="19"/>
      <c r="H749" s="20"/>
      <c r="I749" s="21"/>
      <c r="J749" s="20"/>
      <c r="K749" s="20"/>
      <c r="M749" t="str">
        <f t="shared" si="154"/>
        <v/>
      </c>
      <c r="N749" s="29" t="str">
        <f t="shared" si="155"/>
        <v xml:space="preserve"> LovelyCo</v>
      </c>
      <c r="O749" t="str">
        <f t="shared" si="156"/>
        <v>LADY FRESH (SEVIMLER)</v>
      </c>
      <c r="P749" t="str">
        <f t="shared" si="158"/>
        <v/>
      </c>
      <c r="R749" t="str">
        <f t="shared" si="157"/>
        <v/>
      </c>
      <c r="T749" t="s">
        <v>871</v>
      </c>
      <c r="U749" t="str">
        <f t="shared" si="159"/>
        <v/>
      </c>
      <c r="V749" t="str">
        <f t="shared" si="160"/>
        <v/>
      </c>
      <c r="W749" t="str">
        <f t="shared" si="161"/>
        <v/>
      </c>
      <c r="X749" s="27" t="str">
        <f t="shared" si="162"/>
        <v/>
      </c>
      <c r="Y749" s="27" t="str">
        <f t="shared" si="163"/>
        <v/>
      </c>
      <c r="Z749" s="27" t="str">
        <f t="shared" si="164"/>
        <v/>
      </c>
      <c r="AA749" s="27" t="str">
        <f t="shared" si="165"/>
        <v/>
      </c>
      <c r="AB749" s="27" t="str">
        <f t="shared" si="166"/>
        <v/>
      </c>
      <c r="AC749" s="27" t="str">
        <f t="shared" si="167"/>
        <v/>
      </c>
    </row>
    <row r="750" spans="1:29" ht="15" customHeight="1" x14ac:dyDescent="0.3">
      <c r="A750" s="14" t="s">
        <v>652</v>
      </c>
      <c r="B750" s="15" t="s">
        <v>6</v>
      </c>
      <c r="C750" s="16"/>
      <c r="D750" s="17"/>
      <c r="E750" s="17"/>
      <c r="F750" s="18">
        <v>5.7763</v>
      </c>
      <c r="G750" s="19">
        <v>9.2917000000000005</v>
      </c>
      <c r="H750" s="20">
        <v>0.95250000000000001</v>
      </c>
      <c r="I750" s="21">
        <v>311.05720000000002</v>
      </c>
      <c r="J750" s="20">
        <v>539.97619999999995</v>
      </c>
      <c r="K750" s="20">
        <v>61.781700000000001</v>
      </c>
      <c r="M750" t="str">
        <f t="shared" si="154"/>
        <v>NIK&amp;SI BABY PH5.5 W 72 BAG KAPAK</v>
      </c>
      <c r="N750" s="29" t="str">
        <f t="shared" si="155"/>
        <v xml:space="preserve"> LovelyCo</v>
      </c>
      <c r="O750" t="str">
        <f t="shared" si="156"/>
        <v>NIK &amp; SI (SEVIMLER)</v>
      </c>
      <c r="P750" t="str">
        <f t="shared" si="158"/>
        <v xml:space="preserve"> LovelyCo</v>
      </c>
      <c r="R750" t="str">
        <f t="shared" si="157"/>
        <v>NIK &amp; SI (SEVIMLER)</v>
      </c>
      <c r="T750" t="s">
        <v>651</v>
      </c>
      <c r="U750" t="str">
        <f t="shared" si="159"/>
        <v>BAGS</v>
      </c>
      <c r="V750" t="str">
        <f t="shared" si="160"/>
        <v>PH BALANCED</v>
      </c>
      <c r="W750" t="str">
        <f t="shared" si="161"/>
        <v>72</v>
      </c>
      <c r="X750" s="27">
        <f t="shared" si="162"/>
        <v>0</v>
      </c>
      <c r="Y750" s="27">
        <f t="shared" si="163"/>
        <v>0</v>
      </c>
      <c r="Z750" s="27">
        <f t="shared" si="164"/>
        <v>0</v>
      </c>
      <c r="AA750" s="27">
        <f t="shared" si="165"/>
        <v>0</v>
      </c>
      <c r="AB750" s="27">
        <f t="shared" si="166"/>
        <v>0</v>
      </c>
      <c r="AC750" s="27">
        <f t="shared" si="167"/>
        <v>0</v>
      </c>
    </row>
    <row r="751" spans="1:29" ht="15" customHeight="1" x14ac:dyDescent="0.3">
      <c r="A751" s="22" t="s">
        <v>653</v>
      </c>
      <c r="B751" s="23" t="s">
        <v>8</v>
      </c>
      <c r="C751" s="23" t="s">
        <v>9</v>
      </c>
      <c r="D751" s="24" t="s">
        <v>30</v>
      </c>
      <c r="E751" s="24" t="s">
        <v>24</v>
      </c>
      <c r="F751" s="18">
        <v>5.7763</v>
      </c>
      <c r="G751" s="19">
        <v>9.2917000000000005</v>
      </c>
      <c r="H751" s="20">
        <v>0.95250000000000001</v>
      </c>
      <c r="I751" s="21">
        <v>311.05720000000002</v>
      </c>
      <c r="J751" s="20">
        <v>539.97619999999995</v>
      </c>
      <c r="K751" s="20">
        <v>61.781700000000001</v>
      </c>
      <c r="M751" t="str">
        <f t="shared" si="154"/>
        <v/>
      </c>
      <c r="N751" s="29" t="str">
        <f t="shared" si="155"/>
        <v xml:space="preserve"> LovelyCo</v>
      </c>
      <c r="O751" t="str">
        <f t="shared" si="156"/>
        <v>NIK &amp; SI (SEVIMLER)</v>
      </c>
      <c r="P751" t="str">
        <f t="shared" si="158"/>
        <v/>
      </c>
      <c r="R751" t="str">
        <f t="shared" si="157"/>
        <v/>
      </c>
      <c r="T751" t="s">
        <v>871</v>
      </c>
      <c r="U751" t="str">
        <f t="shared" si="159"/>
        <v/>
      </c>
      <c r="V751" t="str">
        <f t="shared" si="160"/>
        <v/>
      </c>
      <c r="W751" t="str">
        <f t="shared" si="161"/>
        <v/>
      </c>
      <c r="X751" s="27" t="str">
        <f t="shared" si="162"/>
        <v/>
      </c>
      <c r="Y751" s="27" t="str">
        <f t="shared" si="163"/>
        <v/>
      </c>
      <c r="Z751" s="27" t="str">
        <f t="shared" si="164"/>
        <v/>
      </c>
      <c r="AA751" s="27" t="str">
        <f t="shared" si="165"/>
        <v/>
      </c>
      <c r="AB751" s="27" t="str">
        <f t="shared" si="166"/>
        <v/>
      </c>
      <c r="AC751" s="27" t="str">
        <f t="shared" si="167"/>
        <v/>
      </c>
    </row>
    <row r="752" spans="1:29" ht="15" customHeight="1" x14ac:dyDescent="0.3">
      <c r="A752" s="14" t="s">
        <v>654</v>
      </c>
      <c r="B752" s="15" t="s">
        <v>6</v>
      </c>
      <c r="C752" s="16"/>
      <c r="D752" s="17"/>
      <c r="E752" s="17"/>
      <c r="F752" s="18">
        <v>55.783799999999999</v>
      </c>
      <c r="G752" s="19">
        <v>57.806899999999999</v>
      </c>
      <c r="H752" s="20">
        <v>19.850100000000001</v>
      </c>
      <c r="I752" s="21">
        <v>3648.0401999999999</v>
      </c>
      <c r="J752" s="20">
        <v>4041.2568000000001</v>
      </c>
      <c r="K752" s="20">
        <v>1253.7541000000001</v>
      </c>
      <c r="M752" t="str">
        <f t="shared" si="154"/>
        <v>NIKI BABY ALC.FREE W 130/10FR BAG KAPAK</v>
      </c>
      <c r="N752" s="29" t="str">
        <f t="shared" si="155"/>
        <v xml:space="preserve"> LovelyCo</v>
      </c>
      <c r="O752" t="str">
        <f t="shared" si="156"/>
        <v>NIKI (SEVIMLER )</v>
      </c>
      <c r="P752" t="str">
        <f t="shared" si="158"/>
        <v xml:space="preserve"> LovelyCo</v>
      </c>
      <c r="R752" t="str">
        <f t="shared" si="157"/>
        <v>NIKI (SEVIMLER )</v>
      </c>
      <c r="T752" t="s">
        <v>653</v>
      </c>
      <c r="U752" t="str">
        <f t="shared" si="159"/>
        <v>BAGS</v>
      </c>
      <c r="V752" t="str">
        <f t="shared" si="160"/>
        <v>ALCOHOL FREE</v>
      </c>
      <c r="W752" t="str">
        <f t="shared" si="161"/>
        <v>120</v>
      </c>
      <c r="X752" s="27">
        <f t="shared" si="162"/>
        <v>5.7763</v>
      </c>
      <c r="Y752" s="27">
        <f t="shared" si="163"/>
        <v>9.2917000000000005</v>
      </c>
      <c r="Z752" s="27">
        <f t="shared" si="164"/>
        <v>0.95250000000000001</v>
      </c>
      <c r="AA752" s="27">
        <f t="shared" si="165"/>
        <v>311.05720000000002</v>
      </c>
      <c r="AB752" s="27">
        <f t="shared" si="166"/>
        <v>539.97619999999995</v>
      </c>
      <c r="AC752" s="27">
        <f t="shared" si="167"/>
        <v>61.781700000000001</v>
      </c>
    </row>
    <row r="753" spans="1:29" ht="15" customHeight="1" x14ac:dyDescent="0.3">
      <c r="A753" s="22" t="s">
        <v>655</v>
      </c>
      <c r="B753" s="23" t="s">
        <v>8</v>
      </c>
      <c r="C753" s="23" t="s">
        <v>9</v>
      </c>
      <c r="D753" s="24" t="s">
        <v>20</v>
      </c>
      <c r="E753" s="24" t="s">
        <v>21</v>
      </c>
      <c r="F753" s="18">
        <v>55.7286</v>
      </c>
      <c r="G753" s="19">
        <v>53.311300000000003</v>
      </c>
      <c r="H753" s="20">
        <v>19.850100000000001</v>
      </c>
      <c r="I753" s="21">
        <v>3644.6801999999998</v>
      </c>
      <c r="J753" s="20">
        <v>3675.9913999999999</v>
      </c>
      <c r="K753" s="20">
        <v>1253.7541000000001</v>
      </c>
      <c r="M753" t="str">
        <f t="shared" si="154"/>
        <v/>
      </c>
      <c r="N753" s="29" t="str">
        <f t="shared" si="155"/>
        <v xml:space="preserve"> LovelyCo</v>
      </c>
      <c r="O753" t="str">
        <f t="shared" si="156"/>
        <v>NIKI (SEVIMLER )</v>
      </c>
      <c r="P753" t="str">
        <f t="shared" si="158"/>
        <v/>
      </c>
      <c r="R753" t="str">
        <f t="shared" si="157"/>
        <v/>
      </c>
      <c r="T753" t="s">
        <v>871</v>
      </c>
      <c r="U753" t="str">
        <f t="shared" si="159"/>
        <v/>
      </c>
      <c r="V753" t="str">
        <f t="shared" si="160"/>
        <v/>
      </c>
      <c r="W753" t="str">
        <f t="shared" si="161"/>
        <v/>
      </c>
      <c r="X753" s="27" t="str">
        <f t="shared" si="162"/>
        <v/>
      </c>
      <c r="Y753" s="27" t="str">
        <f t="shared" si="163"/>
        <v/>
      </c>
      <c r="Z753" s="27" t="str">
        <f t="shared" si="164"/>
        <v/>
      </c>
      <c r="AA753" s="27" t="str">
        <f t="shared" si="165"/>
        <v/>
      </c>
      <c r="AB753" s="27" t="str">
        <f t="shared" si="166"/>
        <v/>
      </c>
      <c r="AC753" s="27" t="str">
        <f t="shared" si="167"/>
        <v/>
      </c>
    </row>
    <row r="754" spans="1:29" ht="15" customHeight="1" x14ac:dyDescent="0.3">
      <c r="A754" s="22" t="s">
        <v>656</v>
      </c>
      <c r="B754" s="23" t="s">
        <v>8</v>
      </c>
      <c r="C754" s="23" t="s">
        <v>9</v>
      </c>
      <c r="D754" s="24" t="s">
        <v>30</v>
      </c>
      <c r="E754" s="24" t="s">
        <v>24</v>
      </c>
      <c r="F754" s="18"/>
      <c r="G754" s="19">
        <v>4.4955999999999996</v>
      </c>
      <c r="H754" s="20"/>
      <c r="I754" s="21"/>
      <c r="J754" s="20">
        <v>365.2654</v>
      </c>
      <c r="K754" s="20"/>
      <c r="M754" t="str">
        <f t="shared" si="154"/>
        <v>PEPINO BABY P H5.5 W 120/20FREE BAG</v>
      </c>
      <c r="N754" s="29" t="str">
        <f t="shared" si="155"/>
        <v xml:space="preserve"> LovelyCo</v>
      </c>
      <c r="O754" t="str">
        <f t="shared" si="156"/>
        <v>PEPINO (SEVIMLER)</v>
      </c>
      <c r="P754" t="str">
        <f t="shared" si="158"/>
        <v xml:space="preserve"> LovelyCo</v>
      </c>
      <c r="R754" t="str">
        <f t="shared" si="157"/>
        <v>PEPINO (SEVIMLER)</v>
      </c>
      <c r="T754" t="s">
        <v>655</v>
      </c>
      <c r="U754" t="str">
        <f t="shared" si="159"/>
        <v>BAGS</v>
      </c>
      <c r="V754" t="str">
        <f t="shared" si="160"/>
        <v>PH BALANCED</v>
      </c>
      <c r="W754" t="str">
        <f t="shared" si="161"/>
        <v>100</v>
      </c>
      <c r="X754" s="27">
        <f t="shared" si="162"/>
        <v>55.7286</v>
      </c>
      <c r="Y754" s="27">
        <f t="shared" si="163"/>
        <v>53.311300000000003</v>
      </c>
      <c r="Z754" s="27">
        <f t="shared" si="164"/>
        <v>19.850100000000001</v>
      </c>
      <c r="AA754" s="27">
        <f t="shared" si="165"/>
        <v>3644.6801999999998</v>
      </c>
      <c r="AB754" s="27">
        <f t="shared" si="166"/>
        <v>3675.9913999999999</v>
      </c>
      <c r="AC754" s="27">
        <f t="shared" si="167"/>
        <v>1253.7541000000001</v>
      </c>
    </row>
    <row r="755" spans="1:29" ht="15" customHeight="1" x14ac:dyDescent="0.3">
      <c r="A755" s="22" t="s">
        <v>657</v>
      </c>
      <c r="B755" s="23" t="s">
        <v>8</v>
      </c>
      <c r="C755" s="23" t="s">
        <v>9</v>
      </c>
      <c r="D755" s="24" t="s">
        <v>20</v>
      </c>
      <c r="E755" s="24" t="s">
        <v>103</v>
      </c>
      <c r="F755" s="18">
        <v>5.5199999999999999E-2</v>
      </c>
      <c r="G755" s="19"/>
      <c r="H755" s="20"/>
      <c r="I755" s="21">
        <v>3.36</v>
      </c>
      <c r="J755" s="20"/>
      <c r="K755" s="20"/>
      <c r="M755" t="str">
        <f t="shared" si="154"/>
        <v>PEPINO BABY P H5.5 W 130/10FREE BAG</v>
      </c>
      <c r="N755" s="29" t="str">
        <f t="shared" si="155"/>
        <v xml:space="preserve"> LovelyCo</v>
      </c>
      <c r="O755" t="str">
        <f t="shared" si="156"/>
        <v>PEPINO (SEVIMLER)</v>
      </c>
      <c r="P755" t="str">
        <f t="shared" si="158"/>
        <v xml:space="preserve"> LovelyCo</v>
      </c>
      <c r="R755" t="str">
        <f t="shared" si="157"/>
        <v>PEPINO (SEVIMLER)</v>
      </c>
      <c r="T755" t="s">
        <v>656</v>
      </c>
      <c r="U755" t="str">
        <f t="shared" si="159"/>
        <v>BAGS</v>
      </c>
      <c r="V755" t="str">
        <f t="shared" si="160"/>
        <v>ALCOHOL FREE</v>
      </c>
      <c r="W755" t="str">
        <f t="shared" si="161"/>
        <v>120</v>
      </c>
      <c r="X755" s="27">
        <f t="shared" si="162"/>
        <v>0</v>
      </c>
      <c r="Y755" s="27">
        <f t="shared" si="163"/>
        <v>4.4955999999999996</v>
      </c>
      <c r="Z755" s="27">
        <f t="shared" si="164"/>
        <v>0</v>
      </c>
      <c r="AA755" s="27">
        <f t="shared" si="165"/>
        <v>0</v>
      </c>
      <c r="AB755" s="27">
        <f t="shared" si="166"/>
        <v>365.2654</v>
      </c>
      <c r="AC755" s="27">
        <f t="shared" si="167"/>
        <v>0</v>
      </c>
    </row>
    <row r="756" spans="1:29" ht="15" customHeight="1" x14ac:dyDescent="0.3">
      <c r="A756" s="14" t="s">
        <v>658</v>
      </c>
      <c r="B756" s="15" t="s">
        <v>6</v>
      </c>
      <c r="C756" s="16"/>
      <c r="D756" s="17"/>
      <c r="E756" s="17"/>
      <c r="F756" s="18">
        <v>396.2448</v>
      </c>
      <c r="G756" s="19">
        <v>253.72479999999999</v>
      </c>
      <c r="H756" s="20">
        <v>99.128500000000003</v>
      </c>
      <c r="I756" s="21">
        <v>23444.316599999998</v>
      </c>
      <c r="J756" s="20">
        <v>14396.6903</v>
      </c>
      <c r="K756" s="20">
        <v>5148.9142000000002</v>
      </c>
      <c r="M756" t="str">
        <f t="shared" si="154"/>
        <v>PEPINO BABY SOFT&amp;LUX P H5.5 W 70 BAG</v>
      </c>
      <c r="N756" s="29" t="str">
        <f t="shared" si="155"/>
        <v xml:space="preserve"> LovelyCo</v>
      </c>
      <c r="O756" t="str">
        <f t="shared" si="156"/>
        <v>PEPINO (SEVIMLER)</v>
      </c>
      <c r="P756" t="str">
        <f t="shared" si="158"/>
        <v xml:space="preserve"> LovelyCo</v>
      </c>
      <c r="R756" t="str">
        <f t="shared" si="157"/>
        <v>PEPINO (SEVIMLER)</v>
      </c>
      <c r="T756" t="s">
        <v>657</v>
      </c>
      <c r="U756" t="str">
        <f t="shared" si="159"/>
        <v>BAGS</v>
      </c>
      <c r="V756" t="str">
        <f t="shared" si="160"/>
        <v>PH BALANCED</v>
      </c>
      <c r="W756" t="str">
        <f t="shared" si="161"/>
        <v>70</v>
      </c>
      <c r="X756" s="27">
        <f t="shared" si="162"/>
        <v>5.5199999999999999E-2</v>
      </c>
      <c r="Y756" s="27">
        <f t="shared" si="163"/>
        <v>0</v>
      </c>
      <c r="Z756" s="27">
        <f t="shared" si="164"/>
        <v>0</v>
      </c>
      <c r="AA756" s="27">
        <f t="shared" si="165"/>
        <v>3.36</v>
      </c>
      <c r="AB756" s="27">
        <f t="shared" si="166"/>
        <v>0</v>
      </c>
      <c r="AC756" s="27">
        <f t="shared" si="167"/>
        <v>0</v>
      </c>
    </row>
    <row r="757" spans="1:29" ht="15" customHeight="1" x14ac:dyDescent="0.3">
      <c r="A757" s="22" t="s">
        <v>659</v>
      </c>
      <c r="B757" s="23" t="s">
        <v>8</v>
      </c>
      <c r="C757" s="23" t="s">
        <v>9</v>
      </c>
      <c r="D757" s="24" t="s">
        <v>20</v>
      </c>
      <c r="E757" s="24" t="s">
        <v>24</v>
      </c>
      <c r="F757" s="18">
        <v>5.3959999999999999</v>
      </c>
      <c r="G757" s="19">
        <v>7.0095999999999998</v>
      </c>
      <c r="H757" s="20">
        <v>3.0608</v>
      </c>
      <c r="I757" s="21">
        <v>290.08819999999997</v>
      </c>
      <c r="J757" s="20">
        <v>393.84969999999998</v>
      </c>
      <c r="K757" s="20">
        <v>158.0343</v>
      </c>
      <c r="M757" t="str">
        <f t="shared" si="154"/>
        <v/>
      </c>
      <c r="N757" s="29" t="str">
        <f t="shared" si="155"/>
        <v xml:space="preserve"> LovelyCo</v>
      </c>
      <c r="O757" t="str">
        <f t="shared" si="156"/>
        <v>PEPINO (SEVIMLER)</v>
      </c>
      <c r="P757" t="str">
        <f t="shared" si="158"/>
        <v/>
      </c>
      <c r="R757" t="str">
        <f t="shared" si="157"/>
        <v/>
      </c>
      <c r="T757" t="s">
        <v>871</v>
      </c>
      <c r="U757" t="str">
        <f t="shared" si="159"/>
        <v/>
      </c>
      <c r="V757" t="str">
        <f t="shared" si="160"/>
        <v/>
      </c>
      <c r="W757" t="str">
        <f t="shared" si="161"/>
        <v/>
      </c>
      <c r="X757" s="27" t="str">
        <f t="shared" si="162"/>
        <v/>
      </c>
      <c r="Y757" s="27" t="str">
        <f t="shared" si="163"/>
        <v/>
      </c>
      <c r="Z757" s="27" t="str">
        <f t="shared" si="164"/>
        <v/>
      </c>
      <c r="AA757" s="27" t="str">
        <f t="shared" si="165"/>
        <v/>
      </c>
      <c r="AB757" s="27" t="str">
        <f t="shared" si="166"/>
        <v/>
      </c>
      <c r="AC757" s="27" t="str">
        <f t="shared" si="167"/>
        <v/>
      </c>
    </row>
    <row r="758" spans="1:29" ht="15" customHeight="1" x14ac:dyDescent="0.3">
      <c r="A758" s="22" t="s">
        <v>660</v>
      </c>
      <c r="B758" s="23" t="s">
        <v>8</v>
      </c>
      <c r="C758" s="23" t="s">
        <v>9</v>
      </c>
      <c r="D758" s="24" t="s">
        <v>30</v>
      </c>
      <c r="E758" s="24" t="s">
        <v>661</v>
      </c>
      <c r="F758" s="18">
        <v>39.775100000000002</v>
      </c>
      <c r="G758" s="19">
        <v>29.160399999999999</v>
      </c>
      <c r="H758" s="20">
        <v>6.0876999999999999</v>
      </c>
      <c r="I758" s="21">
        <v>2342.4566</v>
      </c>
      <c r="J758" s="20">
        <v>1534.7882999999999</v>
      </c>
      <c r="K758" s="20">
        <v>287.5865</v>
      </c>
      <c r="M758" t="str">
        <f t="shared" si="154"/>
        <v>RENKLI MAGIC P H5.5 W 120 BAG KAPAK</v>
      </c>
      <c r="N758" s="29" t="str">
        <f t="shared" si="155"/>
        <v xml:space="preserve"> LovelyCo</v>
      </c>
      <c r="O758" t="str">
        <f t="shared" si="156"/>
        <v>RENKLI (SEVIMLER)</v>
      </c>
      <c r="P758" t="str">
        <f t="shared" si="158"/>
        <v xml:space="preserve"> LovelyCo</v>
      </c>
      <c r="R758" t="str">
        <f t="shared" si="157"/>
        <v>RENKLI (SEVIMLER)</v>
      </c>
      <c r="T758" t="s">
        <v>659</v>
      </c>
      <c r="U758" t="str">
        <f t="shared" si="159"/>
        <v>BAGS</v>
      </c>
      <c r="V758" t="str">
        <f t="shared" si="160"/>
        <v>PH BALANCED</v>
      </c>
      <c r="W758" t="str">
        <f t="shared" si="161"/>
        <v>120</v>
      </c>
      <c r="X758" s="27">
        <f t="shared" si="162"/>
        <v>5.3959999999999999</v>
      </c>
      <c r="Y758" s="27">
        <f t="shared" si="163"/>
        <v>7.0095999999999998</v>
      </c>
      <c r="Z758" s="27">
        <f t="shared" si="164"/>
        <v>3.0608</v>
      </c>
      <c r="AA758" s="27">
        <f t="shared" si="165"/>
        <v>290.08819999999997</v>
      </c>
      <c r="AB758" s="27">
        <f t="shared" si="166"/>
        <v>393.84969999999998</v>
      </c>
      <c r="AC758" s="27">
        <f t="shared" si="167"/>
        <v>158.0343</v>
      </c>
    </row>
    <row r="759" spans="1:29" ht="15" customHeight="1" x14ac:dyDescent="0.3">
      <c r="A759" s="22" t="s">
        <v>662</v>
      </c>
      <c r="B759" s="23" t="s">
        <v>8</v>
      </c>
      <c r="C759" s="23" t="s">
        <v>9</v>
      </c>
      <c r="D759" s="24" t="s">
        <v>20</v>
      </c>
      <c r="E759" s="24" t="s">
        <v>42</v>
      </c>
      <c r="F759" s="18">
        <v>73.361099999999993</v>
      </c>
      <c r="G759" s="19">
        <v>57.603700000000003</v>
      </c>
      <c r="H759" s="20">
        <v>12.2355</v>
      </c>
      <c r="I759" s="21">
        <v>4307.2969000000003</v>
      </c>
      <c r="J759" s="20">
        <v>3235.6705999999999</v>
      </c>
      <c r="K759" s="20">
        <v>650.06870000000004</v>
      </c>
      <c r="M759" t="str">
        <f t="shared" si="154"/>
        <v>RENKLI PREMIUM BABY ALC.FREE W 130 BAG</v>
      </c>
      <c r="N759" s="29" t="str">
        <f t="shared" si="155"/>
        <v xml:space="preserve"> LovelyCo</v>
      </c>
      <c r="O759" t="str">
        <f t="shared" si="156"/>
        <v>RENKLI (SEVIMLER)</v>
      </c>
      <c r="P759" t="str">
        <f t="shared" si="158"/>
        <v xml:space="preserve"> LovelyCo</v>
      </c>
      <c r="R759" t="str">
        <f t="shared" si="157"/>
        <v>RENKLI (SEVIMLER)</v>
      </c>
      <c r="T759" t="s">
        <v>660</v>
      </c>
      <c r="U759" t="str">
        <f t="shared" si="159"/>
        <v>BAGS</v>
      </c>
      <c r="V759" t="str">
        <f t="shared" si="160"/>
        <v>ALCOHOL FREE</v>
      </c>
      <c r="W759" t="str">
        <f t="shared" si="161"/>
        <v>130</v>
      </c>
      <c r="X759" s="27">
        <f t="shared" si="162"/>
        <v>39.775100000000002</v>
      </c>
      <c r="Y759" s="27">
        <f t="shared" si="163"/>
        <v>29.160399999999999</v>
      </c>
      <c r="Z759" s="27">
        <f t="shared" si="164"/>
        <v>6.0876999999999999</v>
      </c>
      <c r="AA759" s="27">
        <f t="shared" si="165"/>
        <v>2342.4566</v>
      </c>
      <c r="AB759" s="27">
        <f t="shared" si="166"/>
        <v>1534.7882999999999</v>
      </c>
      <c r="AC759" s="27">
        <f t="shared" si="167"/>
        <v>287.5865</v>
      </c>
    </row>
    <row r="760" spans="1:29" ht="15" customHeight="1" x14ac:dyDescent="0.3">
      <c r="A760" s="22" t="s">
        <v>663</v>
      </c>
      <c r="B760" s="23" t="s">
        <v>8</v>
      </c>
      <c r="C760" s="23" t="s">
        <v>9</v>
      </c>
      <c r="D760" s="24" t="s">
        <v>20</v>
      </c>
      <c r="E760" s="24" t="s">
        <v>42</v>
      </c>
      <c r="F760" s="18">
        <v>7.6637000000000004</v>
      </c>
      <c r="G760" s="19">
        <v>5.7187999999999999</v>
      </c>
      <c r="H760" s="20">
        <v>3.4293999999999998</v>
      </c>
      <c r="I760" s="21">
        <v>412.75630000000001</v>
      </c>
      <c r="J760" s="20">
        <v>314.68810000000002</v>
      </c>
      <c r="K760" s="20">
        <v>185.42320000000001</v>
      </c>
      <c r="M760" t="str">
        <f t="shared" si="154"/>
        <v>RENKLI BABY KIDS P H5.5 W 72 BAG</v>
      </c>
      <c r="N760" s="29" t="str">
        <f t="shared" si="155"/>
        <v xml:space="preserve"> LovelyCo</v>
      </c>
      <c r="O760" t="str">
        <f t="shared" si="156"/>
        <v>RENKLI (SEVIMLER)</v>
      </c>
      <c r="P760" t="str">
        <f t="shared" si="158"/>
        <v xml:space="preserve"> LovelyCo</v>
      </c>
      <c r="R760" t="str">
        <f t="shared" si="157"/>
        <v>RENKLI (SEVIMLER)</v>
      </c>
      <c r="T760" t="s">
        <v>662</v>
      </c>
      <c r="U760" t="str">
        <f t="shared" si="159"/>
        <v>BAGS</v>
      </c>
      <c r="V760" t="str">
        <f t="shared" si="160"/>
        <v>PH BALANCED</v>
      </c>
      <c r="W760" t="str">
        <f t="shared" si="161"/>
        <v>72</v>
      </c>
      <c r="X760" s="27">
        <f t="shared" si="162"/>
        <v>73.361099999999993</v>
      </c>
      <c r="Y760" s="27">
        <f t="shared" si="163"/>
        <v>57.603700000000003</v>
      </c>
      <c r="Z760" s="27">
        <f t="shared" si="164"/>
        <v>12.2355</v>
      </c>
      <c r="AA760" s="27">
        <f t="shared" si="165"/>
        <v>4307.2969000000003</v>
      </c>
      <c r="AB760" s="27">
        <f t="shared" si="166"/>
        <v>3235.6705999999999</v>
      </c>
      <c r="AC760" s="27">
        <f t="shared" si="167"/>
        <v>650.06870000000004</v>
      </c>
    </row>
    <row r="761" spans="1:29" ht="15" customHeight="1" x14ac:dyDescent="0.3">
      <c r="A761" s="22" t="s">
        <v>664</v>
      </c>
      <c r="B761" s="23" t="s">
        <v>8</v>
      </c>
      <c r="C761" s="23" t="s">
        <v>9</v>
      </c>
      <c r="D761" s="24" t="s">
        <v>20</v>
      </c>
      <c r="E761" s="24" t="s">
        <v>42</v>
      </c>
      <c r="F761" s="18">
        <v>97.800700000000006</v>
      </c>
      <c r="G761" s="19">
        <v>61.680799999999998</v>
      </c>
      <c r="H761" s="20">
        <v>23.825800000000001</v>
      </c>
      <c r="I761" s="21">
        <v>4426.3535000000002</v>
      </c>
      <c r="J761" s="20">
        <v>2861.6763999999998</v>
      </c>
      <c r="K761" s="20">
        <v>975.65369999999996</v>
      </c>
      <c r="M761" t="str">
        <f t="shared" si="154"/>
        <v>RENKLI BABY KIDS P H5.5 W 72 BAG KAPAK</v>
      </c>
      <c r="N761" s="29" t="str">
        <f t="shared" si="155"/>
        <v xml:space="preserve"> LovelyCo</v>
      </c>
      <c r="O761" t="str">
        <f t="shared" si="156"/>
        <v>RENKLI (SEVIMLER)</v>
      </c>
      <c r="P761" t="str">
        <f t="shared" si="158"/>
        <v xml:space="preserve"> LovelyCo</v>
      </c>
      <c r="R761" t="str">
        <f t="shared" si="157"/>
        <v>RENKLI (SEVIMLER)</v>
      </c>
      <c r="T761" t="s">
        <v>663</v>
      </c>
      <c r="U761" t="str">
        <f t="shared" si="159"/>
        <v>BAGS</v>
      </c>
      <c r="V761" t="str">
        <f t="shared" si="160"/>
        <v>PH BALANCED</v>
      </c>
      <c r="W761" t="str">
        <f t="shared" si="161"/>
        <v>72</v>
      </c>
      <c r="X761" s="27">
        <f t="shared" si="162"/>
        <v>7.6637000000000004</v>
      </c>
      <c r="Y761" s="27">
        <f t="shared" si="163"/>
        <v>5.7187999999999999</v>
      </c>
      <c r="Z761" s="27">
        <f t="shared" si="164"/>
        <v>3.4293999999999998</v>
      </c>
      <c r="AA761" s="27">
        <f t="shared" si="165"/>
        <v>412.75630000000001</v>
      </c>
      <c r="AB761" s="27">
        <f t="shared" si="166"/>
        <v>314.68810000000002</v>
      </c>
      <c r="AC761" s="27">
        <f t="shared" si="167"/>
        <v>185.42320000000001</v>
      </c>
    </row>
    <row r="762" spans="1:29" ht="15" customHeight="1" x14ac:dyDescent="0.3">
      <c r="A762" s="22" t="s">
        <v>665</v>
      </c>
      <c r="B762" s="23" t="s">
        <v>8</v>
      </c>
      <c r="C762" s="23" t="s">
        <v>9</v>
      </c>
      <c r="D762" s="24" t="s">
        <v>20</v>
      </c>
      <c r="E762" s="24" t="s">
        <v>17</v>
      </c>
      <c r="F762" s="18">
        <v>137.74010000000001</v>
      </c>
      <c r="G762" s="19">
        <v>71.2029</v>
      </c>
      <c r="H762" s="20">
        <v>36.735799999999998</v>
      </c>
      <c r="I762" s="21">
        <v>9592.0316999999995</v>
      </c>
      <c r="J762" s="20">
        <v>4713.7775000000001</v>
      </c>
      <c r="K762" s="20">
        <v>2155.8667</v>
      </c>
      <c r="M762" t="str">
        <f t="shared" si="154"/>
        <v>RENKLI ZOO ANTIBACTERIAL W 72 BAG KAPAK</v>
      </c>
      <c r="N762" s="29" t="str">
        <f t="shared" si="155"/>
        <v xml:space="preserve"> LovelyCo</v>
      </c>
      <c r="O762" t="str">
        <f t="shared" si="156"/>
        <v>RENKLI (SEVIMLER)</v>
      </c>
      <c r="P762" t="str">
        <f t="shared" si="158"/>
        <v xml:space="preserve"> LovelyCo</v>
      </c>
      <c r="R762" t="str">
        <f t="shared" si="157"/>
        <v>RENKLI (SEVIMLER)</v>
      </c>
      <c r="T762" t="s">
        <v>664</v>
      </c>
      <c r="U762" t="str">
        <f t="shared" si="159"/>
        <v>BAGS</v>
      </c>
      <c r="V762" t="str">
        <f t="shared" si="160"/>
        <v>PH BALANCED</v>
      </c>
      <c r="W762" t="str">
        <f t="shared" si="161"/>
        <v>72</v>
      </c>
      <c r="X762" s="27">
        <f t="shared" si="162"/>
        <v>97.800700000000006</v>
      </c>
      <c r="Y762" s="27">
        <f t="shared" si="163"/>
        <v>61.680799999999998</v>
      </c>
      <c r="Z762" s="27">
        <f t="shared" si="164"/>
        <v>23.825800000000001</v>
      </c>
      <c r="AA762" s="27">
        <f t="shared" si="165"/>
        <v>4426.3535000000002</v>
      </c>
      <c r="AB762" s="27">
        <f t="shared" si="166"/>
        <v>2861.6763999999998</v>
      </c>
      <c r="AC762" s="27">
        <f t="shared" si="167"/>
        <v>975.65369999999996</v>
      </c>
    </row>
    <row r="763" spans="1:29" ht="15" customHeight="1" x14ac:dyDescent="0.3">
      <c r="A763" s="22" t="s">
        <v>666</v>
      </c>
      <c r="B763" s="23" t="s">
        <v>8</v>
      </c>
      <c r="C763" s="23" t="s">
        <v>9</v>
      </c>
      <c r="D763" s="24" t="s">
        <v>30</v>
      </c>
      <c r="E763" s="24" t="s">
        <v>17</v>
      </c>
      <c r="F763" s="18">
        <v>34.508099999999999</v>
      </c>
      <c r="G763" s="19">
        <v>21.348800000000001</v>
      </c>
      <c r="H763" s="20">
        <v>13.753299999999999</v>
      </c>
      <c r="I763" s="21">
        <v>2073.3334</v>
      </c>
      <c r="J763" s="20">
        <v>1342.2397000000001</v>
      </c>
      <c r="K763" s="20">
        <v>736.28099999999995</v>
      </c>
      <c r="M763" t="str">
        <f t="shared" si="154"/>
        <v>RENKLI BABY LUX PH5.5 W 2X80 BAG</v>
      </c>
      <c r="N763" s="29" t="str">
        <f t="shared" si="155"/>
        <v xml:space="preserve"> LovelyCo</v>
      </c>
      <c r="O763" t="str">
        <f t="shared" si="156"/>
        <v>RENKLI (SEVIMLER)</v>
      </c>
      <c r="P763" t="str">
        <f t="shared" si="158"/>
        <v xml:space="preserve"> LovelyCo</v>
      </c>
      <c r="R763" t="str">
        <f t="shared" si="157"/>
        <v>RENKLI (SEVIMLER)</v>
      </c>
      <c r="T763" t="s">
        <v>665</v>
      </c>
      <c r="U763" t="str">
        <f t="shared" si="159"/>
        <v>BAGS</v>
      </c>
      <c r="V763" t="str">
        <f t="shared" si="160"/>
        <v>PH BALANCED</v>
      </c>
      <c r="W763" t="str">
        <f t="shared" si="161"/>
        <v>80</v>
      </c>
      <c r="X763" s="27">
        <f t="shared" si="162"/>
        <v>137.74010000000001</v>
      </c>
      <c r="Y763" s="27">
        <f t="shared" si="163"/>
        <v>71.2029</v>
      </c>
      <c r="Z763" s="27">
        <f t="shared" si="164"/>
        <v>36.735799999999998</v>
      </c>
      <c r="AA763" s="27">
        <f t="shared" si="165"/>
        <v>9592.0316999999995</v>
      </c>
      <c r="AB763" s="27">
        <f t="shared" si="166"/>
        <v>4713.7775000000001</v>
      </c>
      <c r="AC763" s="27">
        <f t="shared" si="167"/>
        <v>2155.8667</v>
      </c>
    </row>
    <row r="764" spans="1:29" ht="15" customHeight="1" x14ac:dyDescent="0.3">
      <c r="A764" s="14" t="s">
        <v>667</v>
      </c>
      <c r="B764" s="15" t="s">
        <v>6</v>
      </c>
      <c r="C764" s="16"/>
      <c r="D764" s="17"/>
      <c r="E764" s="17"/>
      <c r="F764" s="18"/>
      <c r="G764" s="19"/>
      <c r="H764" s="20"/>
      <c r="I764" s="21"/>
      <c r="J764" s="20"/>
      <c r="K764" s="20"/>
      <c r="M764" t="str">
        <f t="shared" si="154"/>
        <v>RENKLI BABY LUX W 80 BAG KAPACHE</v>
      </c>
      <c r="N764" s="29" t="str">
        <f t="shared" si="155"/>
        <v xml:space="preserve"> LovelyCo</v>
      </c>
      <c r="O764" t="str">
        <f t="shared" si="156"/>
        <v>RENKLI (SEVIMLER)</v>
      </c>
      <c r="P764" t="str">
        <f t="shared" si="158"/>
        <v xml:space="preserve"> LovelyCo</v>
      </c>
      <c r="R764" t="str">
        <f t="shared" si="157"/>
        <v>RENKLI (SEVIMLER)</v>
      </c>
      <c r="T764" t="s">
        <v>666</v>
      </c>
      <c r="U764" t="str">
        <f t="shared" si="159"/>
        <v>BAGS</v>
      </c>
      <c r="V764" t="str">
        <f t="shared" si="160"/>
        <v>ALCOHOL FREE</v>
      </c>
      <c r="W764" t="str">
        <f t="shared" si="161"/>
        <v>80</v>
      </c>
      <c r="X764" s="27">
        <f t="shared" si="162"/>
        <v>34.508099999999999</v>
      </c>
      <c r="Y764" s="27">
        <f t="shared" si="163"/>
        <v>21.348800000000001</v>
      </c>
      <c r="Z764" s="27">
        <f t="shared" si="164"/>
        <v>13.753299999999999</v>
      </c>
      <c r="AA764" s="27">
        <f t="shared" si="165"/>
        <v>2073.3334</v>
      </c>
      <c r="AB764" s="27">
        <f t="shared" si="166"/>
        <v>1342.2397000000001</v>
      </c>
      <c r="AC764" s="27">
        <f t="shared" si="167"/>
        <v>736.28099999999995</v>
      </c>
    </row>
    <row r="765" spans="1:29" ht="15" customHeight="1" x14ac:dyDescent="0.3">
      <c r="A765" s="22" t="s">
        <v>668</v>
      </c>
      <c r="B765" s="23" t="s">
        <v>8</v>
      </c>
      <c r="C765" s="23" t="s">
        <v>9</v>
      </c>
      <c r="D765" s="24" t="s">
        <v>20</v>
      </c>
      <c r="E765" s="24" t="s">
        <v>42</v>
      </c>
      <c r="F765" s="18"/>
      <c r="G765" s="19"/>
      <c r="H765" s="20"/>
      <c r="I765" s="21"/>
      <c r="J765" s="20"/>
      <c r="K765" s="20"/>
      <c r="M765" t="str">
        <f t="shared" si="154"/>
        <v/>
      </c>
      <c r="N765" s="29" t="str">
        <f t="shared" si="155"/>
        <v xml:space="preserve"> LovelyCo</v>
      </c>
      <c r="O765" t="str">
        <f t="shared" si="156"/>
        <v>RENKLI (SEVIMLER)</v>
      </c>
      <c r="P765" t="str">
        <f t="shared" si="158"/>
        <v/>
      </c>
      <c r="R765" t="str">
        <f t="shared" si="157"/>
        <v/>
      </c>
      <c r="T765" t="s">
        <v>871</v>
      </c>
      <c r="U765" t="str">
        <f t="shared" si="159"/>
        <v/>
      </c>
      <c r="V765" t="str">
        <f t="shared" si="160"/>
        <v/>
      </c>
      <c r="W765" t="str">
        <f t="shared" si="161"/>
        <v/>
      </c>
      <c r="X765" s="27" t="str">
        <f t="shared" si="162"/>
        <v/>
      </c>
      <c r="Y765" s="27" t="str">
        <f t="shared" si="163"/>
        <v/>
      </c>
      <c r="Z765" s="27" t="str">
        <f t="shared" si="164"/>
        <v/>
      </c>
      <c r="AA765" s="27" t="str">
        <f t="shared" si="165"/>
        <v/>
      </c>
      <c r="AB765" s="27" t="str">
        <f t="shared" si="166"/>
        <v/>
      </c>
      <c r="AC765" s="27" t="str">
        <f t="shared" si="167"/>
        <v/>
      </c>
    </row>
    <row r="766" spans="1:29" ht="15" customHeight="1" x14ac:dyDescent="0.3">
      <c r="A766" s="14" t="s">
        <v>669</v>
      </c>
      <c r="B766" s="15" t="s">
        <v>6</v>
      </c>
      <c r="C766" s="16"/>
      <c r="D766" s="17"/>
      <c r="E766" s="17"/>
      <c r="F766" s="18"/>
      <c r="G766" s="19">
        <v>3.1300000000000001E-2</v>
      </c>
      <c r="H766" s="20"/>
      <c r="I766" s="21"/>
      <c r="J766" s="20">
        <v>1.2579</v>
      </c>
      <c r="K766" s="20"/>
      <c r="M766" t="str">
        <f t="shared" si="154"/>
        <v>SEMI LOVESOFT BABY P.H5.5 W 72 KAPAK BAG</v>
      </c>
      <c r="N766" s="29" t="str">
        <f t="shared" si="155"/>
        <v xml:space="preserve"> LovelyCo</v>
      </c>
      <c r="O766" t="str">
        <f t="shared" si="156"/>
        <v>SEMI (SEVIMLER)</v>
      </c>
      <c r="P766" t="str">
        <f t="shared" si="158"/>
        <v xml:space="preserve"> LovelyCo</v>
      </c>
      <c r="R766" t="str">
        <f t="shared" si="157"/>
        <v>SEMI (SEVIMLER)</v>
      </c>
      <c r="T766" t="s">
        <v>668</v>
      </c>
      <c r="U766" t="str">
        <f t="shared" si="159"/>
        <v>BAGS</v>
      </c>
      <c r="V766" t="str">
        <f t="shared" si="160"/>
        <v>PH BALANCED</v>
      </c>
      <c r="W766" t="str">
        <f t="shared" si="161"/>
        <v>72</v>
      </c>
      <c r="X766" s="27">
        <f t="shared" si="162"/>
        <v>0</v>
      </c>
      <c r="Y766" s="27">
        <f t="shared" si="163"/>
        <v>0</v>
      </c>
      <c r="Z766" s="27">
        <f t="shared" si="164"/>
        <v>0</v>
      </c>
      <c r="AA766" s="27">
        <f t="shared" si="165"/>
        <v>0</v>
      </c>
      <c r="AB766" s="27">
        <f t="shared" si="166"/>
        <v>0</v>
      </c>
      <c r="AC766" s="27">
        <f t="shared" si="167"/>
        <v>0</v>
      </c>
    </row>
    <row r="767" spans="1:29" ht="15" customHeight="1" x14ac:dyDescent="0.3">
      <c r="A767" s="22" t="s">
        <v>670</v>
      </c>
      <c r="B767" s="23" t="s">
        <v>8</v>
      </c>
      <c r="C767" s="23" t="s">
        <v>9</v>
      </c>
      <c r="D767" s="24" t="s">
        <v>20</v>
      </c>
      <c r="E767" s="24" t="s">
        <v>42</v>
      </c>
      <c r="F767" s="18"/>
      <c r="G767" s="19">
        <v>3.1300000000000001E-2</v>
      </c>
      <c r="H767" s="20"/>
      <c r="I767" s="21"/>
      <c r="J767" s="20">
        <v>1.2579</v>
      </c>
      <c r="K767" s="20"/>
      <c r="M767" t="str">
        <f t="shared" si="154"/>
        <v/>
      </c>
      <c r="N767" s="29" t="str">
        <f t="shared" si="155"/>
        <v xml:space="preserve"> LovelyCo</v>
      </c>
      <c r="O767" t="str">
        <f t="shared" si="156"/>
        <v>SEMI (SEVIMLER)</v>
      </c>
      <c r="P767" t="str">
        <f t="shared" si="158"/>
        <v/>
      </c>
      <c r="R767" t="str">
        <f t="shared" si="157"/>
        <v/>
      </c>
      <c r="T767" t="s">
        <v>871</v>
      </c>
      <c r="U767" t="str">
        <f t="shared" si="159"/>
        <v/>
      </c>
      <c r="V767" t="str">
        <f t="shared" si="160"/>
        <v/>
      </c>
      <c r="W767" t="str">
        <f t="shared" si="161"/>
        <v/>
      </c>
      <c r="X767" s="27" t="str">
        <f t="shared" si="162"/>
        <v/>
      </c>
      <c r="Y767" s="27" t="str">
        <f t="shared" si="163"/>
        <v/>
      </c>
      <c r="Z767" s="27" t="str">
        <f t="shared" si="164"/>
        <v/>
      </c>
      <c r="AA767" s="27" t="str">
        <f t="shared" si="165"/>
        <v/>
      </c>
      <c r="AB767" s="27" t="str">
        <f t="shared" si="166"/>
        <v/>
      </c>
      <c r="AC767" s="27" t="str">
        <f t="shared" si="167"/>
        <v/>
      </c>
    </row>
    <row r="768" spans="1:29" ht="14.25" customHeight="1" x14ac:dyDescent="0.3">
      <c r="A768" s="25" t="s">
        <v>806</v>
      </c>
      <c r="B768" s="4" t="s">
        <v>5</v>
      </c>
      <c r="C768" s="4"/>
      <c r="D768" s="5"/>
      <c r="E768" s="5"/>
      <c r="F768" s="10">
        <v>0.1459</v>
      </c>
      <c r="G768" s="11">
        <v>0.29930000000000001</v>
      </c>
      <c r="H768" s="12">
        <v>5.04E-2</v>
      </c>
      <c r="I768" s="13">
        <v>2.8885999999999998</v>
      </c>
      <c r="J768" s="12">
        <v>6.5743</v>
      </c>
      <c r="K768" s="12">
        <v>1.1331</v>
      </c>
      <c r="M768" t="str">
        <f t="shared" si="154"/>
        <v>SWEET BABY ALOEVERA PH5.5 W 72 BAG KAPAK</v>
      </c>
      <c r="N768" s="29" t="str">
        <f t="shared" si="155"/>
        <v xml:space="preserve"> LovelyCo</v>
      </c>
      <c r="O768" t="str">
        <f t="shared" si="156"/>
        <v>SWEET (SEVIMLER)</v>
      </c>
      <c r="P768" t="str">
        <f t="shared" si="158"/>
        <v xml:space="preserve"> LovelyCo</v>
      </c>
      <c r="R768" t="str">
        <f t="shared" si="157"/>
        <v>SWEET (SEVIMLER)</v>
      </c>
      <c r="T768" t="s">
        <v>670</v>
      </c>
      <c r="U768" t="str">
        <f t="shared" si="159"/>
        <v>BAGS</v>
      </c>
      <c r="V768" t="str">
        <f t="shared" si="160"/>
        <v>PH BALANCED</v>
      </c>
      <c r="W768" t="str">
        <f t="shared" si="161"/>
        <v>72</v>
      </c>
      <c r="X768" s="27">
        <f t="shared" si="162"/>
        <v>0</v>
      </c>
      <c r="Y768" s="27">
        <f t="shared" si="163"/>
        <v>3.1300000000000001E-2</v>
      </c>
      <c r="Z768" s="27">
        <f t="shared" si="164"/>
        <v>0</v>
      </c>
      <c r="AA768" s="27">
        <f t="shared" si="165"/>
        <v>0</v>
      </c>
      <c r="AB768" s="27">
        <f t="shared" si="166"/>
        <v>1.2579</v>
      </c>
      <c r="AC768" s="27">
        <f t="shared" si="167"/>
        <v>0</v>
      </c>
    </row>
    <row r="769" spans="1:29" ht="15" customHeight="1" x14ac:dyDescent="0.3">
      <c r="A769" s="14" t="s">
        <v>671</v>
      </c>
      <c r="B769" s="15" t="s">
        <v>6</v>
      </c>
      <c r="C769" s="16"/>
      <c r="D769" s="17"/>
      <c r="E769" s="17"/>
      <c r="F769" s="18">
        <v>0.1459</v>
      </c>
      <c r="G769" s="19">
        <v>0.29930000000000001</v>
      </c>
      <c r="H769" s="20">
        <v>5.04E-2</v>
      </c>
      <c r="I769" s="21">
        <v>2.8885999999999998</v>
      </c>
      <c r="J769" s="20">
        <v>6.5743</v>
      </c>
      <c r="K769" s="20">
        <v>1.1331</v>
      </c>
      <c r="M769" t="str">
        <f t="shared" si="154"/>
        <v/>
      </c>
      <c r="N769" s="29" t="str">
        <f t="shared" si="155"/>
        <v xml:space="preserve"> LovelyCo</v>
      </c>
      <c r="O769" t="str">
        <f t="shared" si="156"/>
        <v>SWEET (SEVIMLER)</v>
      </c>
      <c r="P769" t="str">
        <f t="shared" si="158"/>
        <v/>
      </c>
      <c r="R769" t="str">
        <f t="shared" si="157"/>
        <v/>
      </c>
      <c r="T769" t="s">
        <v>871</v>
      </c>
      <c r="U769" t="str">
        <f t="shared" si="159"/>
        <v/>
      </c>
      <c r="V769" t="str">
        <f t="shared" si="160"/>
        <v/>
      </c>
      <c r="W769" t="str">
        <f t="shared" si="161"/>
        <v/>
      </c>
      <c r="X769" s="27" t="str">
        <f t="shared" si="162"/>
        <v/>
      </c>
      <c r="Y769" s="27" t="str">
        <f t="shared" si="163"/>
        <v/>
      </c>
      <c r="Z769" s="27" t="str">
        <f t="shared" si="164"/>
        <v/>
      </c>
      <c r="AA769" s="27" t="str">
        <f t="shared" si="165"/>
        <v/>
      </c>
      <c r="AB769" s="27" t="str">
        <f t="shared" si="166"/>
        <v/>
      </c>
      <c r="AC769" s="27" t="str">
        <f t="shared" si="167"/>
        <v/>
      </c>
    </row>
    <row r="770" spans="1:29" ht="15" customHeight="1" x14ac:dyDescent="0.3">
      <c r="A770" s="22" t="s">
        <v>672</v>
      </c>
      <c r="B770" s="23" t="s">
        <v>8</v>
      </c>
      <c r="C770" s="23" t="s">
        <v>9</v>
      </c>
      <c r="D770" s="24" t="s">
        <v>64</v>
      </c>
      <c r="E770" s="24" t="s">
        <v>99</v>
      </c>
      <c r="F770" s="18">
        <v>7.7399999999999997E-2</v>
      </c>
      <c r="G770" s="19">
        <v>0.20100000000000001</v>
      </c>
      <c r="H770" s="20">
        <v>1.1599999999999999E-2</v>
      </c>
      <c r="I770" s="21">
        <v>1.2943</v>
      </c>
      <c r="J770" s="20">
        <v>3.8485999999999998</v>
      </c>
      <c r="K770" s="20">
        <v>0.1971</v>
      </c>
      <c r="M770" t="str">
        <f t="shared" si="154"/>
        <v/>
      </c>
      <c r="N770" s="29" t="str">
        <f t="shared" si="155"/>
        <v xml:space="preserve"> LovelyCo</v>
      </c>
      <c r="O770" t="str">
        <f t="shared" si="156"/>
        <v>SWEET (SEVIMLER)</v>
      </c>
      <c r="P770" t="str">
        <f t="shared" si="158"/>
        <v/>
      </c>
      <c r="R770" t="str">
        <f t="shared" si="157"/>
        <v/>
      </c>
      <c r="T770" t="s">
        <v>871</v>
      </c>
      <c r="U770" t="str">
        <f t="shared" si="159"/>
        <v/>
      </c>
      <c r="V770" t="str">
        <f t="shared" si="160"/>
        <v/>
      </c>
      <c r="W770" t="str">
        <f t="shared" si="161"/>
        <v/>
      </c>
      <c r="X770" s="27" t="str">
        <f t="shared" si="162"/>
        <v/>
      </c>
      <c r="Y770" s="27" t="str">
        <f t="shared" si="163"/>
        <v/>
      </c>
      <c r="Z770" s="27" t="str">
        <f t="shared" si="164"/>
        <v/>
      </c>
      <c r="AA770" s="27" t="str">
        <f t="shared" si="165"/>
        <v/>
      </c>
      <c r="AB770" s="27" t="str">
        <f t="shared" si="166"/>
        <v/>
      </c>
      <c r="AC770" s="27" t="str">
        <f t="shared" si="167"/>
        <v/>
      </c>
    </row>
    <row r="771" spans="1:29" ht="15" customHeight="1" x14ac:dyDescent="0.3">
      <c r="A771" s="22" t="s">
        <v>673</v>
      </c>
      <c r="B771" s="23" t="s">
        <v>8</v>
      </c>
      <c r="C771" s="23" t="s">
        <v>9</v>
      </c>
      <c r="D771" s="24" t="s">
        <v>20</v>
      </c>
      <c r="E771" s="24" t="s">
        <v>42</v>
      </c>
      <c r="F771" s="18">
        <v>6.8400000000000002E-2</v>
      </c>
      <c r="G771" s="19">
        <v>9.8500000000000004E-2</v>
      </c>
      <c r="H771" s="20">
        <v>3.8800000000000001E-2</v>
      </c>
      <c r="I771" s="21">
        <v>1.5943000000000001</v>
      </c>
      <c r="J771" s="20">
        <v>2.7256999999999998</v>
      </c>
      <c r="K771" s="20">
        <v>0.93600000000000005</v>
      </c>
      <c r="M771" t="str">
        <f t="shared" si="154"/>
        <v>FARMACOTONE BEBE CALENDULA SENS. 60 BAG</v>
      </c>
      <c r="N771" s="29" t="str">
        <f t="shared" si="155"/>
        <v xml:space="preserve"> Quake S.P.A.</v>
      </c>
      <c r="O771" t="str">
        <f t="shared" si="156"/>
        <v>FARMACOTONE (SISMA S.P.A.)</v>
      </c>
      <c r="P771" t="str">
        <f t="shared" si="158"/>
        <v xml:space="preserve"> Quake S.P.A.</v>
      </c>
      <c r="R771" t="str">
        <f t="shared" si="157"/>
        <v>FARMACOTONE (SISMA S.P.A.)</v>
      </c>
      <c r="T771" t="s">
        <v>672</v>
      </c>
      <c r="U771" t="str">
        <f t="shared" si="159"/>
        <v>BAGS</v>
      </c>
      <c r="V771" t="str">
        <f t="shared" si="160"/>
        <v>SENSITIVE</v>
      </c>
      <c r="W771" t="str">
        <f t="shared" si="161"/>
        <v>60</v>
      </c>
      <c r="X771" s="27">
        <f t="shared" si="162"/>
        <v>7.7399999999999997E-2</v>
      </c>
      <c r="Y771" s="27">
        <f t="shared" si="163"/>
        <v>0.20100000000000001</v>
      </c>
      <c r="Z771" s="27">
        <f t="shared" si="164"/>
        <v>1.1599999999999999E-2</v>
      </c>
      <c r="AA771" s="27">
        <f t="shared" si="165"/>
        <v>1.2943</v>
      </c>
      <c r="AB771" s="27">
        <f t="shared" si="166"/>
        <v>3.8485999999999998</v>
      </c>
      <c r="AC771" s="27">
        <f t="shared" si="167"/>
        <v>0.1971</v>
      </c>
    </row>
    <row r="772" spans="1:29" ht="14.25" customHeight="1" x14ac:dyDescent="0.3">
      <c r="A772" s="25" t="s">
        <v>807</v>
      </c>
      <c r="B772" s="4" t="s">
        <v>5</v>
      </c>
      <c r="C772" s="4"/>
      <c r="D772" s="5"/>
      <c r="E772" s="5"/>
      <c r="F772" s="10">
        <v>5.2523</v>
      </c>
      <c r="G772" s="11"/>
      <c r="H772" s="12"/>
      <c r="I772" s="13">
        <v>269.2595</v>
      </c>
      <c r="J772" s="12"/>
      <c r="K772" s="12"/>
      <c r="M772" t="str">
        <f t="shared" si="154"/>
        <v>FARMACOTONE BIO ALOE&amp;ALMOND PH5.5 72 BAG</v>
      </c>
      <c r="N772" s="29" t="str">
        <f t="shared" si="155"/>
        <v xml:space="preserve"> Quake S.P.A.</v>
      </c>
      <c r="O772" t="str">
        <f t="shared" si="156"/>
        <v>FARMACOTONE (SISMA S.P.A.)</v>
      </c>
      <c r="P772" t="str">
        <f t="shared" si="158"/>
        <v xml:space="preserve"> Quake S.P.A.</v>
      </c>
      <c r="R772" t="str">
        <f t="shared" si="157"/>
        <v>FARMACOTONE (SISMA S.P.A.)</v>
      </c>
      <c r="T772" t="s">
        <v>673</v>
      </c>
      <c r="U772" t="str">
        <f t="shared" si="159"/>
        <v>BAGS</v>
      </c>
      <c r="V772" t="str">
        <f t="shared" si="160"/>
        <v>PH BALANCED</v>
      </c>
      <c r="W772" t="str">
        <f t="shared" si="161"/>
        <v>72</v>
      </c>
      <c r="X772" s="27">
        <f t="shared" si="162"/>
        <v>6.8400000000000002E-2</v>
      </c>
      <c r="Y772" s="27">
        <f t="shared" si="163"/>
        <v>9.8500000000000004E-2</v>
      </c>
      <c r="Z772" s="27">
        <f t="shared" si="164"/>
        <v>3.8800000000000001E-2</v>
      </c>
      <c r="AA772" s="27">
        <f t="shared" si="165"/>
        <v>1.5943000000000001</v>
      </c>
      <c r="AB772" s="27">
        <f t="shared" si="166"/>
        <v>2.7256999999999998</v>
      </c>
      <c r="AC772" s="27">
        <f t="shared" si="167"/>
        <v>0.93600000000000005</v>
      </c>
    </row>
    <row r="773" spans="1:29" ht="15" customHeight="1" x14ac:dyDescent="0.3">
      <c r="A773" s="14" t="s">
        <v>674</v>
      </c>
      <c r="B773" s="15" t="s">
        <v>6</v>
      </c>
      <c r="C773" s="16"/>
      <c r="D773" s="17"/>
      <c r="E773" s="17"/>
      <c r="F773" s="18">
        <v>5.2523</v>
      </c>
      <c r="G773" s="19"/>
      <c r="H773" s="20"/>
      <c r="I773" s="21">
        <v>269.2595</v>
      </c>
      <c r="J773" s="20"/>
      <c r="K773" s="20"/>
      <c r="M773" t="str">
        <f t="shared" ref="M773:M825" si="168">IF(B772="ITEM",A772,"")</f>
        <v/>
      </c>
      <c r="N773" s="29" t="str">
        <f t="shared" si="155"/>
        <v xml:space="preserve"> Quake S.P.A.</v>
      </c>
      <c r="O773" t="str">
        <f t="shared" si="156"/>
        <v>FARMACOTONE (SISMA S.P.A.)</v>
      </c>
      <c r="P773" t="str">
        <f t="shared" si="158"/>
        <v/>
      </c>
      <c r="R773" t="str">
        <f t="shared" si="157"/>
        <v/>
      </c>
      <c r="T773" t="s">
        <v>871</v>
      </c>
      <c r="U773" t="str">
        <f t="shared" si="159"/>
        <v/>
      </c>
      <c r="V773" t="str">
        <f t="shared" si="160"/>
        <v/>
      </c>
      <c r="W773" t="str">
        <f t="shared" si="161"/>
        <v/>
      </c>
      <c r="X773" s="27" t="str">
        <f t="shared" si="162"/>
        <v/>
      </c>
      <c r="Y773" s="27" t="str">
        <f t="shared" si="163"/>
        <v/>
      </c>
      <c r="Z773" s="27" t="str">
        <f t="shared" si="164"/>
        <v/>
      </c>
      <c r="AA773" s="27" t="str">
        <f t="shared" si="165"/>
        <v/>
      </c>
      <c r="AB773" s="27" t="str">
        <f t="shared" si="166"/>
        <v/>
      </c>
      <c r="AC773" s="27" t="str">
        <f t="shared" si="167"/>
        <v/>
      </c>
    </row>
    <row r="774" spans="1:29" ht="15" customHeight="1" x14ac:dyDescent="0.3">
      <c r="A774" s="22" t="s">
        <v>675</v>
      </c>
      <c r="B774" s="23" t="s">
        <v>8</v>
      </c>
      <c r="C774" s="23" t="s">
        <v>9</v>
      </c>
      <c r="D774" s="24" t="s">
        <v>20</v>
      </c>
      <c r="E774" s="24" t="s">
        <v>21</v>
      </c>
      <c r="F774" s="18">
        <v>1.2095</v>
      </c>
      <c r="G774" s="19"/>
      <c r="H774" s="20"/>
      <c r="I774" s="21">
        <v>58.601599999999998</v>
      </c>
      <c r="J774" s="20"/>
      <c r="K774" s="20"/>
      <c r="M774" t="str">
        <f t="shared" si="168"/>
        <v/>
      </c>
      <c r="N774" s="29" t="str">
        <f t="shared" si="155"/>
        <v xml:space="preserve"> Quake S.P.A.</v>
      </c>
      <c r="O774" t="str">
        <f t="shared" si="156"/>
        <v>FARMACOTONE (SISMA S.P.A.)</v>
      </c>
      <c r="P774" t="str">
        <f t="shared" si="158"/>
        <v/>
      </c>
      <c r="R774" t="str">
        <f t="shared" si="157"/>
        <v/>
      </c>
      <c r="T774" t="s">
        <v>871</v>
      </c>
      <c r="U774" t="str">
        <f t="shared" si="159"/>
        <v/>
      </c>
      <c r="V774" t="str">
        <f t="shared" si="160"/>
        <v/>
      </c>
      <c r="W774" t="str">
        <f t="shared" si="161"/>
        <v/>
      </c>
      <c r="X774" s="27" t="str">
        <f t="shared" si="162"/>
        <v/>
      </c>
      <c r="Y774" s="27" t="str">
        <f t="shared" si="163"/>
        <v/>
      </c>
      <c r="Z774" s="27" t="str">
        <f t="shared" si="164"/>
        <v/>
      </c>
      <c r="AA774" s="27" t="str">
        <f t="shared" si="165"/>
        <v/>
      </c>
      <c r="AB774" s="27" t="str">
        <f t="shared" si="166"/>
        <v/>
      </c>
      <c r="AC774" s="27" t="str">
        <f t="shared" si="167"/>
        <v/>
      </c>
    </row>
    <row r="775" spans="1:29" ht="15" customHeight="1" x14ac:dyDescent="0.3">
      <c r="A775" s="22" t="s">
        <v>676</v>
      </c>
      <c r="B775" s="23" t="s">
        <v>8</v>
      </c>
      <c r="C775" s="23" t="s">
        <v>9</v>
      </c>
      <c r="D775" s="24" t="s">
        <v>20</v>
      </c>
      <c r="E775" s="24" t="s">
        <v>21</v>
      </c>
      <c r="F775" s="18"/>
      <c r="G775" s="19"/>
      <c r="H775" s="20"/>
      <c r="I775" s="21"/>
      <c r="J775" s="20"/>
      <c r="K775" s="20"/>
      <c r="M775" t="str">
        <f t="shared" si="168"/>
        <v>VOI MULTI VITAMINS PH5.5 W 100 BAG SINI</v>
      </c>
      <c r="N775" s="29" t="str">
        <f t="shared" ref="N775:N822" si="169">IF(B772="MANUFACTURER",A772,N774)</f>
        <v xml:space="preserve"> HappyBeauty A.S.</v>
      </c>
      <c r="O775" t="str">
        <f t="shared" ref="O775:O836" si="170">IF(B773="BRAND",A773,O774)</f>
        <v>VOI (SMILE COSMETICS)</v>
      </c>
      <c r="P775" t="str">
        <f t="shared" si="158"/>
        <v xml:space="preserve"> HappyBeauty A.S.</v>
      </c>
      <c r="R775" t="str">
        <f t="shared" ref="R775:R821" si="171">IF(B774="ITEM",O775,"")</f>
        <v>VOI (SMILE COSMETICS)</v>
      </c>
      <c r="T775" t="s">
        <v>675</v>
      </c>
      <c r="U775" t="str">
        <f t="shared" si="159"/>
        <v>BAGS</v>
      </c>
      <c r="V775" t="str">
        <f t="shared" si="160"/>
        <v>PH BALANCED</v>
      </c>
      <c r="W775" t="str">
        <f t="shared" si="161"/>
        <v>100</v>
      </c>
      <c r="X775" s="27">
        <f t="shared" si="162"/>
        <v>1.2095</v>
      </c>
      <c r="Y775" s="27">
        <f t="shared" si="163"/>
        <v>0</v>
      </c>
      <c r="Z775" s="27">
        <f t="shared" si="164"/>
        <v>0</v>
      </c>
      <c r="AA775" s="27">
        <f t="shared" si="165"/>
        <v>58.601599999999998</v>
      </c>
      <c r="AB775" s="27">
        <f t="shared" si="166"/>
        <v>0</v>
      </c>
      <c r="AC775" s="27">
        <f t="shared" si="167"/>
        <v>0</v>
      </c>
    </row>
    <row r="776" spans="1:29" ht="15" customHeight="1" x14ac:dyDescent="0.3">
      <c r="A776" s="22" t="s">
        <v>677</v>
      </c>
      <c r="B776" s="23" t="s">
        <v>8</v>
      </c>
      <c r="C776" s="23" t="s">
        <v>9</v>
      </c>
      <c r="D776" s="24" t="s">
        <v>20</v>
      </c>
      <c r="E776" s="24" t="s">
        <v>24</v>
      </c>
      <c r="F776" s="18">
        <v>3.4049</v>
      </c>
      <c r="G776" s="19"/>
      <c r="H776" s="20"/>
      <c r="I776" s="21">
        <v>181.5942</v>
      </c>
      <c r="J776" s="20"/>
      <c r="K776" s="20"/>
      <c r="M776" t="str">
        <f t="shared" si="168"/>
        <v>VOI MULTIVITAMINS PH5.5 W 100 BAG PURPLE</v>
      </c>
      <c r="N776" s="29" t="str">
        <f t="shared" si="169"/>
        <v xml:space="preserve"> HappyBeauty A.S.</v>
      </c>
      <c r="O776" t="str">
        <f t="shared" si="170"/>
        <v>VOI (SMILE COSMETICS)</v>
      </c>
      <c r="P776" t="str">
        <f t="shared" ref="P776:P824" si="172">IF(B775="ITEM",N776,"")</f>
        <v xml:space="preserve"> HappyBeauty A.S.</v>
      </c>
      <c r="R776" t="str">
        <f t="shared" si="171"/>
        <v>VOI (SMILE COSMETICS)</v>
      </c>
      <c r="T776" t="s">
        <v>676</v>
      </c>
      <c r="U776" t="str">
        <f t="shared" ref="U776:U821" si="173">IF(B775="ITEM",C775,"")</f>
        <v>BAGS</v>
      </c>
      <c r="V776" t="str">
        <f t="shared" ref="V776:V821" si="174">IF(B775="ITEM",D775,"")</f>
        <v>PH BALANCED</v>
      </c>
      <c r="W776" t="str">
        <f t="shared" ref="W776:W821" si="175">IF(B775="ITEM",E775,"")</f>
        <v>100</v>
      </c>
      <c r="X776" s="27">
        <f t="shared" ref="X776:X822" si="176">IF(B775 = "ITEM",F775,"")</f>
        <v>0</v>
      </c>
      <c r="Y776" s="27">
        <f t="shared" ref="Y776:Y821" si="177">IF(B775="ITEM",G775,"")</f>
        <v>0</v>
      </c>
      <c r="Z776" s="27">
        <f t="shared" ref="Z776:Z821" si="178">IF(B775="ITEM",H775,"")</f>
        <v>0</v>
      </c>
      <c r="AA776" s="27">
        <f t="shared" ref="AA776:AA821" si="179">IF(B775="ITEM",I775,"")</f>
        <v>0</v>
      </c>
      <c r="AB776" s="27">
        <f t="shared" ref="AB776:AB821" si="180">IF(B775="ITEM",J775,"")</f>
        <v>0</v>
      </c>
      <c r="AC776" s="27">
        <f t="shared" ref="AC776:AC821" si="181">IF(B775="ITEM",K775,"")</f>
        <v>0</v>
      </c>
    </row>
    <row r="777" spans="1:29" ht="15" customHeight="1" x14ac:dyDescent="0.3">
      <c r="A777" s="22" t="s">
        <v>678</v>
      </c>
      <c r="B777" s="23" t="s">
        <v>8</v>
      </c>
      <c r="C777" s="23" t="s">
        <v>9</v>
      </c>
      <c r="D777" s="24" t="s">
        <v>20</v>
      </c>
      <c r="E777" s="24" t="s">
        <v>42</v>
      </c>
      <c r="F777" s="18">
        <v>0.27539999999999998</v>
      </c>
      <c r="G777" s="19"/>
      <c r="H777" s="20"/>
      <c r="I777" s="21">
        <v>11.6632</v>
      </c>
      <c r="J777" s="20"/>
      <c r="K777" s="20"/>
      <c r="M777" t="str">
        <f t="shared" si="168"/>
        <v>VOI CREAM LOTION PH5.5 W 120 BAG KAPAK</v>
      </c>
      <c r="N777" s="29" t="str">
        <f t="shared" si="169"/>
        <v xml:space="preserve"> HappyBeauty A.S.</v>
      </c>
      <c r="O777" t="str">
        <f t="shared" si="170"/>
        <v>VOI (SMILE COSMETICS)</v>
      </c>
      <c r="P777" t="str">
        <f t="shared" si="172"/>
        <v xml:space="preserve"> HappyBeauty A.S.</v>
      </c>
      <c r="R777" t="str">
        <f t="shared" si="171"/>
        <v>VOI (SMILE COSMETICS)</v>
      </c>
      <c r="T777" t="s">
        <v>677</v>
      </c>
      <c r="U777" t="str">
        <f t="shared" si="173"/>
        <v>BAGS</v>
      </c>
      <c r="V777" t="str">
        <f t="shared" si="174"/>
        <v>PH BALANCED</v>
      </c>
      <c r="W777" t="str">
        <f t="shared" si="175"/>
        <v>120</v>
      </c>
      <c r="X777" s="27">
        <f t="shared" si="176"/>
        <v>3.4049</v>
      </c>
      <c r="Y777" s="27">
        <f t="shared" si="177"/>
        <v>0</v>
      </c>
      <c r="Z777" s="27">
        <f t="shared" si="178"/>
        <v>0</v>
      </c>
      <c r="AA777" s="27">
        <f t="shared" si="179"/>
        <v>181.5942</v>
      </c>
      <c r="AB777" s="27">
        <f t="shared" si="180"/>
        <v>0</v>
      </c>
      <c r="AC777" s="27">
        <f t="shared" si="181"/>
        <v>0</v>
      </c>
    </row>
    <row r="778" spans="1:29" ht="15" customHeight="1" x14ac:dyDescent="0.3">
      <c r="A778" s="22" t="s">
        <v>679</v>
      </c>
      <c r="B778" s="23" t="s">
        <v>8</v>
      </c>
      <c r="C778" s="23" t="s">
        <v>9</v>
      </c>
      <c r="D778" s="24" t="s">
        <v>20</v>
      </c>
      <c r="E778" s="24" t="s">
        <v>42</v>
      </c>
      <c r="F778" s="18">
        <v>0.36249999999999999</v>
      </c>
      <c r="G778" s="19"/>
      <c r="H778" s="20"/>
      <c r="I778" s="21">
        <v>17.400500000000001</v>
      </c>
      <c r="J778" s="20"/>
      <c r="K778" s="20"/>
      <c r="M778" t="str">
        <f t="shared" si="168"/>
        <v>VOI CHAMOMILE PH5.5 W 72 BAG KAPAK</v>
      </c>
      <c r="N778" s="29" t="str">
        <f t="shared" si="169"/>
        <v xml:space="preserve"> HappyBeauty A.S.</v>
      </c>
      <c r="O778" t="str">
        <f t="shared" si="170"/>
        <v>VOI (SMILE COSMETICS)</v>
      </c>
      <c r="P778" t="str">
        <f t="shared" si="172"/>
        <v xml:space="preserve"> HappyBeauty A.S.</v>
      </c>
      <c r="R778" t="str">
        <f t="shared" si="171"/>
        <v>VOI (SMILE COSMETICS)</v>
      </c>
      <c r="T778" t="s">
        <v>678</v>
      </c>
      <c r="U778" t="str">
        <f t="shared" si="173"/>
        <v>BAGS</v>
      </c>
      <c r="V778" t="str">
        <f t="shared" si="174"/>
        <v>PH BALANCED</v>
      </c>
      <c r="W778" t="str">
        <f t="shared" si="175"/>
        <v>72</v>
      </c>
      <c r="X778" s="27">
        <f t="shared" si="176"/>
        <v>0.27539999999999998</v>
      </c>
      <c r="Y778" s="27">
        <f t="shared" si="177"/>
        <v>0</v>
      </c>
      <c r="Z778" s="27">
        <f t="shared" si="178"/>
        <v>0</v>
      </c>
      <c r="AA778" s="27">
        <f t="shared" si="179"/>
        <v>11.6632</v>
      </c>
      <c r="AB778" s="27">
        <f t="shared" si="180"/>
        <v>0</v>
      </c>
      <c r="AC778" s="27">
        <f t="shared" si="181"/>
        <v>0</v>
      </c>
    </row>
    <row r="779" spans="1:29" ht="14.25" customHeight="1" x14ac:dyDescent="0.3">
      <c r="A779" s="25" t="s">
        <v>808</v>
      </c>
      <c r="B779" s="4" t="s">
        <v>5</v>
      </c>
      <c r="C779" s="4"/>
      <c r="D779" s="5"/>
      <c r="E779" s="5"/>
      <c r="F779" s="10"/>
      <c r="G779" s="11"/>
      <c r="H779" s="12"/>
      <c r="I779" s="13"/>
      <c r="J779" s="12"/>
      <c r="K779" s="12"/>
      <c r="M779" t="str">
        <f t="shared" si="168"/>
        <v>VOI CREAM LOTION PH5.5 W 72 BAG KAPAK</v>
      </c>
      <c r="N779" s="29" t="str">
        <f t="shared" si="169"/>
        <v xml:space="preserve"> HappyBeauty A.S.</v>
      </c>
      <c r="O779" t="str">
        <f t="shared" si="170"/>
        <v>VOI (SMILE COSMETICS)</v>
      </c>
      <c r="P779" t="str">
        <f t="shared" si="172"/>
        <v xml:space="preserve"> HappyBeauty A.S.</v>
      </c>
      <c r="R779" t="str">
        <f t="shared" si="171"/>
        <v>VOI (SMILE COSMETICS)</v>
      </c>
      <c r="T779" t="s">
        <v>679</v>
      </c>
      <c r="U779" t="str">
        <f t="shared" si="173"/>
        <v>BAGS</v>
      </c>
      <c r="V779" t="str">
        <f t="shared" si="174"/>
        <v>PH BALANCED</v>
      </c>
      <c r="W779" t="str">
        <f t="shared" si="175"/>
        <v>72</v>
      </c>
      <c r="X779" s="27">
        <f t="shared" si="176"/>
        <v>0.36249999999999999</v>
      </c>
      <c r="Y779" s="27">
        <f t="shared" si="177"/>
        <v>0</v>
      </c>
      <c r="Z779" s="27">
        <f t="shared" si="178"/>
        <v>0</v>
      </c>
      <c r="AA779" s="27">
        <f t="shared" si="179"/>
        <v>17.400500000000001</v>
      </c>
      <c r="AB779" s="27">
        <f t="shared" si="180"/>
        <v>0</v>
      </c>
      <c r="AC779" s="27">
        <f t="shared" si="181"/>
        <v>0</v>
      </c>
    </row>
    <row r="780" spans="1:29" ht="15" customHeight="1" x14ac:dyDescent="0.3">
      <c r="A780" s="14" t="s">
        <v>680</v>
      </c>
      <c r="B780" s="15" t="s">
        <v>6</v>
      </c>
      <c r="C780" s="16"/>
      <c r="D780" s="17"/>
      <c r="E780" s="17"/>
      <c r="F780" s="18"/>
      <c r="G780" s="19"/>
      <c r="H780" s="20"/>
      <c r="I780" s="21"/>
      <c r="J780" s="20"/>
      <c r="K780" s="20"/>
      <c r="M780" t="str">
        <f t="shared" si="168"/>
        <v/>
      </c>
      <c r="N780" s="29" t="str">
        <f t="shared" si="169"/>
        <v xml:space="preserve"> HappyBeauty A.S.</v>
      </c>
      <c r="O780" t="str">
        <f t="shared" si="170"/>
        <v>VOI (SMILE COSMETICS)</v>
      </c>
      <c r="P780" t="str">
        <f t="shared" si="172"/>
        <v/>
      </c>
      <c r="R780" t="str">
        <f t="shared" si="171"/>
        <v/>
      </c>
      <c r="T780" t="s">
        <v>871</v>
      </c>
      <c r="U780" t="str">
        <f t="shared" si="173"/>
        <v/>
      </c>
      <c r="V780" t="str">
        <f t="shared" si="174"/>
        <v/>
      </c>
      <c r="W780" t="str">
        <f t="shared" si="175"/>
        <v/>
      </c>
      <c r="X780" s="27" t="str">
        <f t="shared" si="176"/>
        <v/>
      </c>
      <c r="Y780" s="27" t="str">
        <f t="shared" si="177"/>
        <v/>
      </c>
      <c r="Z780" s="27" t="str">
        <f t="shared" si="178"/>
        <v/>
      </c>
      <c r="AA780" s="27" t="str">
        <f t="shared" si="179"/>
        <v/>
      </c>
      <c r="AB780" s="27" t="str">
        <f t="shared" si="180"/>
        <v/>
      </c>
      <c r="AC780" s="27" t="str">
        <f t="shared" si="181"/>
        <v/>
      </c>
    </row>
    <row r="781" spans="1:29" ht="15" customHeight="1" x14ac:dyDescent="0.3">
      <c r="A781" s="22" t="s">
        <v>681</v>
      </c>
      <c r="B781" s="23" t="s">
        <v>8</v>
      </c>
      <c r="C781" s="23" t="s">
        <v>9</v>
      </c>
      <c r="D781" s="24" t="s">
        <v>10</v>
      </c>
      <c r="E781" s="24" t="s">
        <v>11</v>
      </c>
      <c r="F781" s="18"/>
      <c r="G781" s="19"/>
      <c r="H781" s="20"/>
      <c r="I781" s="21"/>
      <c r="J781" s="20"/>
      <c r="K781" s="20"/>
      <c r="M781" t="str">
        <f t="shared" si="168"/>
        <v/>
      </c>
      <c r="N781" s="29" t="str">
        <f t="shared" si="169"/>
        <v xml:space="preserve"> HappyBeauty A.S.</v>
      </c>
      <c r="O781" t="str">
        <f t="shared" si="170"/>
        <v>VOI (SMILE COSMETICS)</v>
      </c>
      <c r="P781" t="str">
        <f t="shared" si="172"/>
        <v/>
      </c>
      <c r="R781" t="str">
        <f t="shared" si="171"/>
        <v/>
      </c>
      <c r="T781" t="s">
        <v>871</v>
      </c>
      <c r="U781" t="str">
        <f t="shared" si="173"/>
        <v/>
      </c>
      <c r="V781" t="str">
        <f t="shared" si="174"/>
        <v/>
      </c>
      <c r="W781" t="str">
        <f t="shared" si="175"/>
        <v/>
      </c>
      <c r="X781" s="27" t="str">
        <f t="shared" si="176"/>
        <v/>
      </c>
      <c r="Y781" s="27" t="str">
        <f t="shared" si="177"/>
        <v/>
      </c>
      <c r="Z781" s="27" t="str">
        <f t="shared" si="178"/>
        <v/>
      </c>
      <c r="AA781" s="27" t="str">
        <f t="shared" si="179"/>
        <v/>
      </c>
      <c r="AB781" s="27" t="str">
        <f t="shared" si="180"/>
        <v/>
      </c>
      <c r="AC781" s="27" t="str">
        <f t="shared" si="181"/>
        <v/>
      </c>
    </row>
    <row r="782" spans="1:29" ht="15" customHeight="1" x14ac:dyDescent="0.3">
      <c r="A782" s="22" t="s">
        <v>682</v>
      </c>
      <c r="B782" s="23" t="s">
        <v>8</v>
      </c>
      <c r="C782" s="23" t="s">
        <v>9</v>
      </c>
      <c r="D782" s="24" t="s">
        <v>10</v>
      </c>
      <c r="E782" s="24" t="s">
        <v>42</v>
      </c>
      <c r="F782" s="18"/>
      <c r="G782" s="19"/>
      <c r="H782" s="20"/>
      <c r="I782" s="21"/>
      <c r="J782" s="20"/>
      <c r="K782" s="20"/>
      <c r="M782" t="str">
        <f t="shared" si="168"/>
        <v>NATURAVERDE BIO AVENACAMMOMILA W 20 BAG</v>
      </c>
      <c r="N782" s="29" t="str">
        <f t="shared" si="169"/>
        <v xml:space="preserve"> So.Di.Co - Cosmetics Distribution Society</v>
      </c>
      <c r="O782" t="str">
        <f t="shared" si="170"/>
        <v>NATURAVERDE (SO.DI.CO - SOCIETA DISTRIBU</v>
      </c>
      <c r="P782" t="str">
        <f t="shared" si="172"/>
        <v xml:space="preserve"> So.Di.Co - Cosmetics Distribution Society</v>
      </c>
      <c r="R782" t="str">
        <f t="shared" si="171"/>
        <v>NATURAVERDE (SO.DI.CO - SOCIETA DISTRIBU</v>
      </c>
      <c r="T782" t="s">
        <v>681</v>
      </c>
      <c r="U782" t="str">
        <f t="shared" si="173"/>
        <v>BAGS</v>
      </c>
      <c r="V782" t="str">
        <f t="shared" si="174"/>
        <v>WITHOUT EXTRA PROTECTCARE INDICATION</v>
      </c>
      <c r="W782" t="str">
        <f t="shared" si="175"/>
        <v>20</v>
      </c>
      <c r="X782" s="27">
        <f t="shared" si="176"/>
        <v>0</v>
      </c>
      <c r="Y782" s="27">
        <f t="shared" si="177"/>
        <v>0</v>
      </c>
      <c r="Z782" s="27">
        <f t="shared" si="178"/>
        <v>0</v>
      </c>
      <c r="AA782" s="27">
        <f t="shared" si="179"/>
        <v>0</v>
      </c>
      <c r="AB782" s="27">
        <f t="shared" si="180"/>
        <v>0</v>
      </c>
      <c r="AC782" s="27">
        <f t="shared" si="181"/>
        <v>0</v>
      </c>
    </row>
    <row r="783" spans="1:29" ht="14.25" customHeight="1" x14ac:dyDescent="0.3">
      <c r="A783" s="25" t="s">
        <v>809</v>
      </c>
      <c r="B783" s="4" t="s">
        <v>5</v>
      </c>
      <c r="C783" s="4"/>
      <c r="D783" s="5"/>
      <c r="E783" s="5"/>
      <c r="F783" s="10"/>
      <c r="G783" s="11"/>
      <c r="H783" s="12">
        <v>3.1633</v>
      </c>
      <c r="I783" s="13"/>
      <c r="J783" s="12"/>
      <c r="K783" s="12">
        <v>171.71680000000001</v>
      </c>
      <c r="M783" t="str">
        <f t="shared" si="168"/>
        <v>NATURAVERDE BIO AVENACAMMOMILA W 72 BAG</v>
      </c>
      <c r="N783" s="29" t="str">
        <f t="shared" si="169"/>
        <v xml:space="preserve"> So.Di.Co - Cosmetics Distribution Society</v>
      </c>
      <c r="O783" t="str">
        <f t="shared" si="170"/>
        <v>NATURAVERDE (SO.DI.CO - SOCIETA DISTRIBU</v>
      </c>
      <c r="P783" t="str">
        <f t="shared" si="172"/>
        <v xml:space="preserve"> So.Di.Co - Cosmetics Distribution Society</v>
      </c>
      <c r="R783" t="str">
        <f t="shared" si="171"/>
        <v>NATURAVERDE (SO.DI.CO - SOCIETA DISTRIBU</v>
      </c>
      <c r="T783" t="s">
        <v>682</v>
      </c>
      <c r="U783" t="str">
        <f t="shared" si="173"/>
        <v>BAGS</v>
      </c>
      <c r="V783" t="str">
        <f t="shared" si="174"/>
        <v>WITHOUT EXTRA PROTECTCARE INDICATION</v>
      </c>
      <c r="W783" t="str">
        <f t="shared" si="175"/>
        <v>72</v>
      </c>
      <c r="X783" s="27">
        <f t="shared" si="176"/>
        <v>0</v>
      </c>
      <c r="Y783" s="27">
        <f t="shared" si="177"/>
        <v>0</v>
      </c>
      <c r="Z783" s="27">
        <f t="shared" si="178"/>
        <v>0</v>
      </c>
      <c r="AA783" s="27">
        <f t="shared" si="179"/>
        <v>0</v>
      </c>
      <c r="AB783" s="27">
        <f t="shared" si="180"/>
        <v>0</v>
      </c>
      <c r="AC783" s="27">
        <f t="shared" si="181"/>
        <v>0</v>
      </c>
    </row>
    <row r="784" spans="1:29" ht="15" customHeight="1" x14ac:dyDescent="0.3">
      <c r="A784" s="14" t="s">
        <v>683</v>
      </c>
      <c r="B784" s="15" t="s">
        <v>6</v>
      </c>
      <c r="C784" s="16"/>
      <c r="D784" s="17"/>
      <c r="E784" s="17"/>
      <c r="F784" s="18"/>
      <c r="G784" s="19"/>
      <c r="H784" s="20">
        <v>3.1633</v>
      </c>
      <c r="I784" s="21"/>
      <c r="J784" s="20"/>
      <c r="K784" s="20">
        <v>171.71680000000001</v>
      </c>
      <c r="M784" t="str">
        <f t="shared" si="168"/>
        <v/>
      </c>
      <c r="N784" s="29" t="str">
        <f t="shared" si="169"/>
        <v xml:space="preserve"> So.Di.Co - Cosmetics Distribution Society</v>
      </c>
      <c r="O784" t="str">
        <f t="shared" si="170"/>
        <v>NATURAVERDE (SO.DI.CO - SOCIETA DISTRIBU</v>
      </c>
      <c r="P784" t="str">
        <f t="shared" si="172"/>
        <v/>
      </c>
      <c r="R784" t="str">
        <f t="shared" si="171"/>
        <v/>
      </c>
      <c r="T784" t="s">
        <v>871</v>
      </c>
      <c r="U784" t="str">
        <f t="shared" si="173"/>
        <v/>
      </c>
      <c r="V784" t="str">
        <f t="shared" si="174"/>
        <v/>
      </c>
      <c r="W784" t="str">
        <f t="shared" si="175"/>
        <v/>
      </c>
      <c r="X784" s="27" t="str">
        <f t="shared" si="176"/>
        <v/>
      </c>
      <c r="Y784" s="27" t="str">
        <f t="shared" si="177"/>
        <v/>
      </c>
      <c r="Z784" s="27" t="str">
        <f t="shared" si="178"/>
        <v/>
      </c>
      <c r="AA784" s="27" t="str">
        <f t="shared" si="179"/>
        <v/>
      </c>
      <c r="AB784" s="27" t="str">
        <f t="shared" si="180"/>
        <v/>
      </c>
      <c r="AC784" s="27" t="str">
        <f t="shared" si="181"/>
        <v/>
      </c>
    </row>
    <row r="785" spans="1:29" ht="15" customHeight="1" x14ac:dyDescent="0.3">
      <c r="A785" s="22" t="s">
        <v>827</v>
      </c>
      <c r="B785" s="23" t="s">
        <v>8</v>
      </c>
      <c r="C785" s="23" t="s">
        <v>9</v>
      </c>
      <c r="D785" s="24" t="s">
        <v>20</v>
      </c>
      <c r="E785" s="24" t="s">
        <v>24</v>
      </c>
      <c r="F785" s="18"/>
      <c r="G785" s="19"/>
      <c r="H785" s="20">
        <v>3.1633</v>
      </c>
      <c r="I785" s="21"/>
      <c r="J785" s="20"/>
      <c r="K785" s="20">
        <v>171.71680000000001</v>
      </c>
      <c r="M785" t="str">
        <f t="shared" si="168"/>
        <v/>
      </c>
      <c r="N785" s="29" t="str">
        <f t="shared" si="169"/>
        <v xml:space="preserve"> So.Di.Co - Cosmetics Distribution Society</v>
      </c>
      <c r="O785" t="str">
        <f t="shared" si="170"/>
        <v>NATURAVERDE (SO.DI.CO - SOCIETA DISTRIBU</v>
      </c>
      <c r="P785" t="str">
        <f t="shared" si="172"/>
        <v/>
      </c>
      <c r="R785" t="str">
        <f t="shared" si="171"/>
        <v/>
      </c>
      <c r="T785" t="s">
        <v>871</v>
      </c>
      <c r="U785" t="str">
        <f t="shared" si="173"/>
        <v/>
      </c>
      <c r="V785" t="str">
        <f t="shared" si="174"/>
        <v/>
      </c>
      <c r="W785" t="str">
        <f t="shared" si="175"/>
        <v/>
      </c>
      <c r="X785" s="27" t="str">
        <f t="shared" si="176"/>
        <v/>
      </c>
      <c r="Y785" s="27" t="str">
        <f t="shared" si="177"/>
        <v/>
      </c>
      <c r="Z785" s="27" t="str">
        <f t="shared" si="178"/>
        <v/>
      </c>
      <c r="AA785" s="27" t="str">
        <f t="shared" si="179"/>
        <v/>
      </c>
      <c r="AB785" s="27" t="str">
        <f t="shared" si="180"/>
        <v/>
      </c>
      <c r="AC785" s="27" t="str">
        <f t="shared" si="181"/>
        <v/>
      </c>
    </row>
    <row r="786" spans="1:29" ht="14.25" customHeight="1" x14ac:dyDescent="0.3">
      <c r="A786" s="25" t="s">
        <v>810</v>
      </c>
      <c r="B786" s="4" t="s">
        <v>5</v>
      </c>
      <c r="C786" s="4"/>
      <c r="D786" s="5"/>
      <c r="E786" s="5"/>
      <c r="F786" s="10">
        <v>55.096499999999999</v>
      </c>
      <c r="G786" s="11">
        <v>43.348100000000002</v>
      </c>
      <c r="H786" s="12">
        <v>24.53</v>
      </c>
      <c r="I786" s="13">
        <v>2000.4357</v>
      </c>
      <c r="J786" s="12">
        <v>1647.0114000000001</v>
      </c>
      <c r="K786" s="12">
        <v>929.35159999999996</v>
      </c>
      <c r="M786" t="str">
        <f t="shared" si="168"/>
        <v>TOVA  FreshClean PH5.5 W 120 BAG</v>
      </c>
      <c r="N786" s="29" t="str">
        <f t="shared" si="169"/>
        <v xml:space="preserve"> QueenStand Investment</v>
      </c>
      <c r="O786" t="str">
        <f t="shared" si="170"/>
        <v>TOVA (STANQUEEN INVESTMENT)</v>
      </c>
      <c r="P786" t="str">
        <f t="shared" si="172"/>
        <v xml:space="preserve"> QueenStand Investment</v>
      </c>
      <c r="R786" t="str">
        <f t="shared" si="171"/>
        <v>TOVA (STANQUEEN INVESTMENT)</v>
      </c>
      <c r="T786" t="s">
        <v>827</v>
      </c>
      <c r="U786" t="str">
        <f t="shared" si="173"/>
        <v>BAGS</v>
      </c>
      <c r="V786" t="str">
        <f t="shared" si="174"/>
        <v>PH BALANCED</v>
      </c>
      <c r="W786" t="str">
        <f t="shared" si="175"/>
        <v>120</v>
      </c>
      <c r="X786" s="27">
        <f t="shared" si="176"/>
        <v>0</v>
      </c>
      <c r="Y786" s="27">
        <f t="shared" si="177"/>
        <v>0</v>
      </c>
      <c r="Z786" s="27">
        <f t="shared" si="178"/>
        <v>3.1633</v>
      </c>
      <c r="AA786" s="27">
        <f t="shared" si="179"/>
        <v>0</v>
      </c>
      <c r="AB786" s="27">
        <f t="shared" si="180"/>
        <v>0</v>
      </c>
      <c r="AC786" s="27">
        <f t="shared" si="181"/>
        <v>171.71680000000001</v>
      </c>
    </row>
    <row r="787" spans="1:29" ht="15" customHeight="1" x14ac:dyDescent="0.3">
      <c r="A787" s="14" t="s">
        <v>684</v>
      </c>
      <c r="B787" s="15" t="s">
        <v>6</v>
      </c>
      <c r="C787" s="16"/>
      <c r="D787" s="17"/>
      <c r="E787" s="17"/>
      <c r="F787" s="18">
        <v>54.988799999999998</v>
      </c>
      <c r="G787" s="19">
        <v>43.223300000000002</v>
      </c>
      <c r="H787" s="20">
        <v>24.458100000000002</v>
      </c>
      <c r="I787" s="21">
        <v>1994.8981000000001</v>
      </c>
      <c r="J787" s="20">
        <v>1640.5911000000001</v>
      </c>
      <c r="K787" s="20">
        <v>925.65359999999998</v>
      </c>
      <c r="M787" t="str">
        <f t="shared" si="168"/>
        <v/>
      </c>
      <c r="N787" s="29" t="str">
        <f t="shared" si="169"/>
        <v xml:space="preserve"> QueenStand Investment</v>
      </c>
      <c r="O787" t="str">
        <f t="shared" si="170"/>
        <v>TOVA (STANQUEEN INVESTMENT)</v>
      </c>
      <c r="P787" t="str">
        <f t="shared" si="172"/>
        <v/>
      </c>
      <c r="R787" t="str">
        <f t="shared" si="171"/>
        <v/>
      </c>
      <c r="T787" t="s">
        <v>871</v>
      </c>
      <c r="U787" t="str">
        <f t="shared" si="173"/>
        <v/>
      </c>
      <c r="V787" t="str">
        <f t="shared" si="174"/>
        <v/>
      </c>
      <c r="W787" t="str">
        <f t="shared" si="175"/>
        <v/>
      </c>
      <c r="X787" s="27" t="str">
        <f t="shared" si="176"/>
        <v/>
      </c>
      <c r="Y787" s="27" t="str">
        <f t="shared" si="177"/>
        <v/>
      </c>
      <c r="Z787" s="27" t="str">
        <f t="shared" si="178"/>
        <v/>
      </c>
      <c r="AA787" s="27" t="str">
        <f t="shared" si="179"/>
        <v/>
      </c>
      <c r="AB787" s="27" t="str">
        <f t="shared" si="180"/>
        <v/>
      </c>
      <c r="AC787" s="27" t="str">
        <f t="shared" si="181"/>
        <v/>
      </c>
    </row>
    <row r="788" spans="1:29" ht="15" customHeight="1" x14ac:dyDescent="0.3">
      <c r="A788" s="22" t="s">
        <v>685</v>
      </c>
      <c r="B788" s="23" t="s">
        <v>8</v>
      </c>
      <c r="C788" s="23" t="s">
        <v>9</v>
      </c>
      <c r="D788" s="24" t="s">
        <v>20</v>
      </c>
      <c r="E788" s="24" t="s">
        <v>24</v>
      </c>
      <c r="F788" s="18"/>
      <c r="G788" s="19">
        <v>10.313499999999999</v>
      </c>
      <c r="H788" s="20">
        <v>10.635400000000001</v>
      </c>
      <c r="I788" s="21"/>
      <c r="J788" s="20">
        <v>475.9119</v>
      </c>
      <c r="K788" s="20">
        <v>461.80500000000001</v>
      </c>
      <c r="M788" t="str">
        <f t="shared" si="168"/>
        <v/>
      </c>
      <c r="N788" s="29" t="str">
        <f t="shared" si="169"/>
        <v xml:space="preserve"> QueenStand Investment</v>
      </c>
      <c r="O788" t="str">
        <f t="shared" si="170"/>
        <v>TOVA (STANQUEEN INVESTMENT)</v>
      </c>
      <c r="P788" t="str">
        <f t="shared" si="172"/>
        <v/>
      </c>
      <c r="R788" t="str">
        <f t="shared" si="171"/>
        <v/>
      </c>
      <c r="T788" t="s">
        <v>871</v>
      </c>
      <c r="U788" t="str">
        <f t="shared" si="173"/>
        <v/>
      </c>
      <c r="V788" t="str">
        <f t="shared" si="174"/>
        <v/>
      </c>
      <c r="W788" t="str">
        <f t="shared" si="175"/>
        <v/>
      </c>
      <c r="X788" s="27" t="str">
        <f t="shared" si="176"/>
        <v/>
      </c>
      <c r="Y788" s="27" t="str">
        <f t="shared" si="177"/>
        <v/>
      </c>
      <c r="Z788" s="27" t="str">
        <f t="shared" si="178"/>
        <v/>
      </c>
      <c r="AA788" s="27" t="str">
        <f t="shared" si="179"/>
        <v/>
      </c>
      <c r="AB788" s="27" t="str">
        <f t="shared" si="180"/>
        <v/>
      </c>
      <c r="AC788" s="27" t="str">
        <f t="shared" si="181"/>
        <v/>
      </c>
    </row>
    <row r="789" spans="1:29" ht="15" customHeight="1" x14ac:dyDescent="0.3">
      <c r="A789" s="22" t="s">
        <v>686</v>
      </c>
      <c r="B789" s="23" t="s">
        <v>8</v>
      </c>
      <c r="C789" s="23" t="s">
        <v>9</v>
      </c>
      <c r="D789" s="24" t="s">
        <v>20</v>
      </c>
      <c r="E789" s="24" t="s">
        <v>42</v>
      </c>
      <c r="F789" s="18">
        <v>54.988799999999998</v>
      </c>
      <c r="G789" s="19">
        <v>32.909799999999997</v>
      </c>
      <c r="H789" s="20">
        <v>13.822900000000001</v>
      </c>
      <c r="I789" s="21">
        <v>1994.8981000000001</v>
      </c>
      <c r="J789" s="20">
        <v>1164.6792</v>
      </c>
      <c r="K789" s="20">
        <v>463.84859999999998</v>
      </c>
      <c r="M789" t="str">
        <f t="shared" si="168"/>
        <v>ALVESTA BABY PH5.5 W 120 BAG KAPAK</v>
      </c>
      <c r="N789" s="29" t="str">
        <f t="shared" si="169"/>
        <v xml:space="preserve"> BladeSon LTD</v>
      </c>
      <c r="O789" t="str">
        <f t="shared" si="170"/>
        <v>ALVESTA (SWORDSON LTD)</v>
      </c>
      <c r="P789" t="str">
        <f t="shared" si="172"/>
        <v xml:space="preserve"> BladeSon LTD</v>
      </c>
      <c r="R789" t="str">
        <f t="shared" si="171"/>
        <v>ALVESTA (SWORDSON LTD)</v>
      </c>
      <c r="T789" t="s">
        <v>685</v>
      </c>
      <c r="U789" t="str">
        <f t="shared" si="173"/>
        <v>BAGS</v>
      </c>
      <c r="V789" t="str">
        <f t="shared" si="174"/>
        <v>PH BALANCED</v>
      </c>
      <c r="W789" t="str">
        <f t="shared" si="175"/>
        <v>120</v>
      </c>
      <c r="X789" s="27">
        <f t="shared" si="176"/>
        <v>0</v>
      </c>
      <c r="Y789" s="27">
        <f t="shared" si="177"/>
        <v>10.313499999999999</v>
      </c>
      <c r="Z789" s="27">
        <f t="shared" si="178"/>
        <v>10.635400000000001</v>
      </c>
      <c r="AA789" s="27">
        <f t="shared" si="179"/>
        <v>0</v>
      </c>
      <c r="AB789" s="27">
        <f t="shared" si="180"/>
        <v>475.9119</v>
      </c>
      <c r="AC789" s="27">
        <f t="shared" si="181"/>
        <v>461.80500000000001</v>
      </c>
    </row>
    <row r="790" spans="1:29" ht="15" customHeight="1" x14ac:dyDescent="0.3">
      <c r="A790" s="14" t="s">
        <v>687</v>
      </c>
      <c r="B790" s="15" t="s">
        <v>6</v>
      </c>
      <c r="C790" s="16"/>
      <c r="D790" s="17"/>
      <c r="E790" s="17"/>
      <c r="F790" s="18">
        <v>0.1076</v>
      </c>
      <c r="G790" s="19">
        <v>0.1249</v>
      </c>
      <c r="H790" s="20">
        <v>7.1900000000000006E-2</v>
      </c>
      <c r="I790" s="21">
        <v>5.5374999999999996</v>
      </c>
      <c r="J790" s="20">
        <v>6.4203000000000001</v>
      </c>
      <c r="K790" s="20">
        <v>3.698</v>
      </c>
      <c r="M790" t="str">
        <f t="shared" si="168"/>
        <v>ALVESTA BABY PH5.5 W 72 BAG KAPAK</v>
      </c>
      <c r="N790" s="29" t="str">
        <f t="shared" si="169"/>
        <v xml:space="preserve"> BladeSon LTD</v>
      </c>
      <c r="O790" t="str">
        <f t="shared" si="170"/>
        <v>ALVESTA (SWORDSON LTD)</v>
      </c>
      <c r="P790" t="str">
        <f t="shared" si="172"/>
        <v xml:space="preserve"> BladeSon LTD</v>
      </c>
      <c r="R790" t="str">
        <f t="shared" si="171"/>
        <v>ALVESTA (SWORDSON LTD)</v>
      </c>
      <c r="T790" t="s">
        <v>686</v>
      </c>
      <c r="U790" t="str">
        <f t="shared" si="173"/>
        <v>BAGS</v>
      </c>
      <c r="V790" t="str">
        <f t="shared" si="174"/>
        <v>PH BALANCED</v>
      </c>
      <c r="W790" t="str">
        <f t="shared" si="175"/>
        <v>72</v>
      </c>
      <c r="X790" s="27">
        <f t="shared" si="176"/>
        <v>54.988799999999998</v>
      </c>
      <c r="Y790" s="27">
        <f t="shared" si="177"/>
        <v>32.909799999999997</v>
      </c>
      <c r="Z790" s="27">
        <f t="shared" si="178"/>
        <v>13.822900000000001</v>
      </c>
      <c r="AA790" s="27">
        <f t="shared" si="179"/>
        <v>1994.8981000000001</v>
      </c>
      <c r="AB790" s="27">
        <f t="shared" si="180"/>
        <v>1164.6792</v>
      </c>
      <c r="AC790" s="27">
        <f t="shared" si="181"/>
        <v>463.84859999999998</v>
      </c>
    </row>
    <row r="791" spans="1:29" ht="15" customHeight="1" x14ac:dyDescent="0.3">
      <c r="A791" s="22" t="s">
        <v>688</v>
      </c>
      <c r="B791" s="23" t="s">
        <v>8</v>
      </c>
      <c r="C791" s="23" t="s">
        <v>9</v>
      </c>
      <c r="D791" s="24" t="s">
        <v>20</v>
      </c>
      <c r="E791" s="24" t="s">
        <v>42</v>
      </c>
      <c r="F791" s="18">
        <v>0.1076</v>
      </c>
      <c r="G791" s="19">
        <v>0.1249</v>
      </c>
      <c r="H791" s="20">
        <v>7.1900000000000006E-2</v>
      </c>
      <c r="I791" s="21">
        <v>5.5374999999999996</v>
      </c>
      <c r="J791" s="20">
        <v>6.4203000000000001</v>
      </c>
      <c r="K791" s="20">
        <v>3.698</v>
      </c>
      <c r="M791" t="str">
        <f t="shared" si="168"/>
        <v/>
      </c>
      <c r="N791" s="29" t="str">
        <f t="shared" si="169"/>
        <v xml:space="preserve"> BladeSon LTD</v>
      </c>
      <c r="O791" t="str">
        <f t="shared" si="170"/>
        <v>ALVESTA (SWORDSON LTD)</v>
      </c>
      <c r="P791" t="str">
        <f t="shared" si="172"/>
        <v/>
      </c>
      <c r="R791" t="str">
        <f t="shared" si="171"/>
        <v/>
      </c>
      <c r="T791" t="s">
        <v>871</v>
      </c>
      <c r="U791" t="str">
        <f t="shared" si="173"/>
        <v/>
      </c>
      <c r="V791" t="str">
        <f t="shared" si="174"/>
        <v/>
      </c>
      <c r="W791" t="str">
        <f t="shared" si="175"/>
        <v/>
      </c>
      <c r="X791" s="27" t="str">
        <f t="shared" si="176"/>
        <v/>
      </c>
      <c r="Y791" s="27" t="str">
        <f t="shared" si="177"/>
        <v/>
      </c>
      <c r="Z791" s="27" t="str">
        <f t="shared" si="178"/>
        <v/>
      </c>
      <c r="AA791" s="27" t="str">
        <f t="shared" si="179"/>
        <v/>
      </c>
      <c r="AB791" s="27" t="str">
        <f t="shared" si="180"/>
        <v/>
      </c>
      <c r="AC791" s="27" t="str">
        <f t="shared" si="181"/>
        <v/>
      </c>
    </row>
    <row r="792" spans="1:29" ht="14.25" customHeight="1" x14ac:dyDescent="0.3">
      <c r="A792" s="25" t="s">
        <v>811</v>
      </c>
      <c r="B792" s="4" t="s">
        <v>5</v>
      </c>
      <c r="C792" s="4"/>
      <c r="D792" s="5"/>
      <c r="E792" s="5"/>
      <c r="F792" s="10">
        <v>34.924300000000002</v>
      </c>
      <c r="G792" s="11">
        <v>13.6989</v>
      </c>
      <c r="H792" s="12">
        <v>2.1793999999999998</v>
      </c>
      <c r="I792" s="13">
        <v>2361.7521000000002</v>
      </c>
      <c r="J792" s="12">
        <v>920.36559999999997</v>
      </c>
      <c r="K792" s="12">
        <v>151.65029999999999</v>
      </c>
      <c r="M792" t="str">
        <f t="shared" si="168"/>
        <v>MIS MAK CLEANSE&amp;REFRESH PH5.5 W 72 BAG</v>
      </c>
      <c r="N792" s="29" t="str">
        <f t="shared" si="169"/>
        <v xml:space="preserve"> BladeSon LTD</v>
      </c>
      <c r="O792" t="str">
        <f t="shared" si="170"/>
        <v>MIS MAK (SWORDSON LTD)</v>
      </c>
      <c r="P792" t="str">
        <f t="shared" si="172"/>
        <v xml:space="preserve"> BladeSon LTD</v>
      </c>
      <c r="R792" t="str">
        <f t="shared" si="171"/>
        <v>MIS MAK (SWORDSON LTD)</v>
      </c>
      <c r="T792" t="s">
        <v>688</v>
      </c>
      <c r="U792" t="str">
        <f t="shared" si="173"/>
        <v>BAGS</v>
      </c>
      <c r="V792" t="str">
        <f t="shared" si="174"/>
        <v>PH BALANCED</v>
      </c>
      <c r="W792" t="str">
        <f t="shared" si="175"/>
        <v>72</v>
      </c>
      <c r="X792" s="27">
        <f t="shared" si="176"/>
        <v>0.1076</v>
      </c>
      <c r="Y792" s="27">
        <f t="shared" si="177"/>
        <v>0.1249</v>
      </c>
      <c r="Z792" s="27">
        <f t="shared" si="178"/>
        <v>7.1900000000000006E-2</v>
      </c>
      <c r="AA792" s="27">
        <f t="shared" si="179"/>
        <v>5.5374999999999996</v>
      </c>
      <c r="AB792" s="27">
        <f t="shared" si="180"/>
        <v>6.4203000000000001</v>
      </c>
      <c r="AC792" s="27">
        <f t="shared" si="181"/>
        <v>3.698</v>
      </c>
    </row>
    <row r="793" spans="1:29" ht="15" customHeight="1" x14ac:dyDescent="0.3">
      <c r="A793" s="14" t="s">
        <v>689</v>
      </c>
      <c r="B793" s="15" t="s">
        <v>6</v>
      </c>
      <c r="C793" s="16"/>
      <c r="D793" s="17"/>
      <c r="E793" s="17"/>
      <c r="F793" s="18">
        <v>34.924300000000002</v>
      </c>
      <c r="G793" s="19">
        <v>13.6989</v>
      </c>
      <c r="H793" s="20">
        <v>2.1793999999999998</v>
      </c>
      <c r="I793" s="21">
        <v>2361.7521000000002</v>
      </c>
      <c r="J793" s="20">
        <v>920.36559999999997</v>
      </c>
      <c r="K793" s="20">
        <v>151.65029999999999</v>
      </c>
      <c r="M793" t="str">
        <f t="shared" si="168"/>
        <v/>
      </c>
      <c r="N793" s="29" t="str">
        <f t="shared" si="169"/>
        <v xml:space="preserve"> BladeSon LTD</v>
      </c>
      <c r="O793" t="str">
        <f t="shared" si="170"/>
        <v>MIS MAK (SWORDSON LTD)</v>
      </c>
      <c r="P793" t="str">
        <f t="shared" si="172"/>
        <v/>
      </c>
      <c r="R793" t="str">
        <f t="shared" si="171"/>
        <v/>
      </c>
      <c r="T793" t="s">
        <v>871</v>
      </c>
      <c r="U793" t="str">
        <f t="shared" si="173"/>
        <v/>
      </c>
      <c r="V793" t="str">
        <f t="shared" si="174"/>
        <v/>
      </c>
      <c r="W793" t="str">
        <f t="shared" si="175"/>
        <v/>
      </c>
      <c r="X793" s="27" t="str">
        <f t="shared" si="176"/>
        <v/>
      </c>
      <c r="Y793" s="27" t="str">
        <f t="shared" si="177"/>
        <v/>
      </c>
      <c r="Z793" s="27" t="str">
        <f t="shared" si="178"/>
        <v/>
      </c>
      <c r="AA793" s="27" t="str">
        <f t="shared" si="179"/>
        <v/>
      </c>
      <c r="AB793" s="27" t="str">
        <f t="shared" si="180"/>
        <v/>
      </c>
      <c r="AC793" s="27" t="str">
        <f t="shared" si="181"/>
        <v/>
      </c>
    </row>
    <row r="794" spans="1:29" ht="15" customHeight="1" x14ac:dyDescent="0.3">
      <c r="A794" s="22" t="s">
        <v>690</v>
      </c>
      <c r="B794" s="23" t="s">
        <v>8</v>
      </c>
      <c r="C794" s="23" t="s">
        <v>9</v>
      </c>
      <c r="D794" s="24" t="s">
        <v>30</v>
      </c>
      <c r="E794" s="24" t="s">
        <v>99</v>
      </c>
      <c r="F794" s="18">
        <v>0.30349999999999999</v>
      </c>
      <c r="G794" s="19">
        <v>7.7100000000000002E-2</v>
      </c>
      <c r="H794" s="20"/>
      <c r="I794" s="21">
        <v>10.7111</v>
      </c>
      <c r="J794" s="20">
        <v>2.9864999999999999</v>
      </c>
      <c r="K794" s="20"/>
      <c r="M794" t="str">
        <f t="shared" si="168"/>
        <v/>
      </c>
      <c r="N794" s="29" t="str">
        <f t="shared" si="169"/>
        <v xml:space="preserve"> BladeSon LTD</v>
      </c>
      <c r="O794" t="str">
        <f t="shared" si="170"/>
        <v>MIS MAK (SWORDSON LTD)</v>
      </c>
      <c r="P794" t="str">
        <f t="shared" si="172"/>
        <v/>
      </c>
      <c r="R794" t="str">
        <f t="shared" si="171"/>
        <v/>
      </c>
      <c r="T794" t="s">
        <v>871</v>
      </c>
      <c r="U794" t="str">
        <f t="shared" si="173"/>
        <v/>
      </c>
      <c r="V794" t="str">
        <f t="shared" si="174"/>
        <v/>
      </c>
      <c r="W794" t="str">
        <f t="shared" si="175"/>
        <v/>
      </c>
      <c r="X794" s="27" t="str">
        <f t="shared" si="176"/>
        <v/>
      </c>
      <c r="Y794" s="27" t="str">
        <f t="shared" si="177"/>
        <v/>
      </c>
      <c r="Z794" s="27" t="str">
        <f t="shared" si="178"/>
        <v/>
      </c>
      <c r="AA794" s="27" t="str">
        <f t="shared" si="179"/>
        <v/>
      </c>
      <c r="AB794" s="27" t="str">
        <f t="shared" si="180"/>
        <v/>
      </c>
      <c r="AC794" s="27" t="str">
        <f t="shared" si="181"/>
        <v/>
      </c>
    </row>
    <row r="795" spans="1:29" ht="15" customHeight="1" x14ac:dyDescent="0.3">
      <c r="A795" s="22" t="s">
        <v>691</v>
      </c>
      <c r="B795" s="23" t="s">
        <v>8</v>
      </c>
      <c r="C795" s="23" t="s">
        <v>9</v>
      </c>
      <c r="D795" s="24" t="s">
        <v>30</v>
      </c>
      <c r="E795" s="24" t="s">
        <v>42</v>
      </c>
      <c r="F795" s="18">
        <v>34.620800000000003</v>
      </c>
      <c r="G795" s="19">
        <v>13.6218</v>
      </c>
      <c r="H795" s="20">
        <v>2.1793999999999998</v>
      </c>
      <c r="I795" s="21">
        <v>2351.0409</v>
      </c>
      <c r="J795" s="20">
        <v>917.37919999999997</v>
      </c>
      <c r="K795" s="20">
        <v>151.65029999999999</v>
      </c>
      <c r="M795" t="str">
        <f t="shared" si="168"/>
        <v>BIVY BABY NEWBORN W 60 BAG KAPAK</v>
      </c>
      <c r="N795" s="29" t="str">
        <f t="shared" si="169"/>
        <v xml:space="preserve"> TahaChem Cosmetics</v>
      </c>
      <c r="O795" t="str">
        <f t="shared" si="170"/>
        <v>BIVY (TAHA KIMYA KOZMETIK)</v>
      </c>
      <c r="P795" t="str">
        <f t="shared" si="172"/>
        <v xml:space="preserve"> TahaChem Cosmetics</v>
      </c>
      <c r="R795" t="str">
        <f t="shared" si="171"/>
        <v>BIVY (TAHA KIMYA KOZMETIK)</v>
      </c>
      <c r="T795" t="s">
        <v>690</v>
      </c>
      <c r="U795" t="str">
        <f t="shared" si="173"/>
        <v>BAGS</v>
      </c>
      <c r="V795" t="str">
        <f t="shared" si="174"/>
        <v>ALCOHOL FREE</v>
      </c>
      <c r="W795" t="str">
        <f t="shared" si="175"/>
        <v>60</v>
      </c>
      <c r="X795" s="27">
        <f t="shared" si="176"/>
        <v>0.30349999999999999</v>
      </c>
      <c r="Y795" s="27">
        <f t="shared" si="177"/>
        <v>7.7100000000000002E-2</v>
      </c>
      <c r="Z795" s="27">
        <f t="shared" si="178"/>
        <v>0</v>
      </c>
      <c r="AA795" s="27">
        <f t="shared" si="179"/>
        <v>10.7111</v>
      </c>
      <c r="AB795" s="27">
        <f t="shared" si="180"/>
        <v>2.9864999999999999</v>
      </c>
      <c r="AC795" s="27">
        <f t="shared" si="181"/>
        <v>0</v>
      </c>
    </row>
    <row r="796" spans="1:29" ht="14.25" customHeight="1" x14ac:dyDescent="0.3">
      <c r="A796" s="25" t="s">
        <v>812</v>
      </c>
      <c r="B796" s="4" t="s">
        <v>5</v>
      </c>
      <c r="C796" s="4"/>
      <c r="D796" s="5"/>
      <c r="E796" s="5"/>
      <c r="F796" s="10"/>
      <c r="G796" s="11"/>
      <c r="H796" s="12">
        <v>1.9407000000000001</v>
      </c>
      <c r="I796" s="13"/>
      <c r="J796" s="12"/>
      <c r="K796" s="12">
        <v>110.1146</v>
      </c>
      <c r="M796" t="str">
        <f t="shared" si="168"/>
        <v>BIVY SOFT&amp;FRESH PROVITB5&amp;VITE W 72 BAG</v>
      </c>
      <c r="N796" s="29" t="str">
        <f t="shared" si="169"/>
        <v xml:space="preserve"> TahaChem Cosmetics</v>
      </c>
      <c r="O796" t="str">
        <f t="shared" si="170"/>
        <v>BIVY (TAHA KIMYA KOZMETIK)</v>
      </c>
      <c r="P796" t="str">
        <f t="shared" si="172"/>
        <v xml:space="preserve"> TahaChem Cosmetics</v>
      </c>
      <c r="R796" t="str">
        <f t="shared" si="171"/>
        <v>BIVY (TAHA KIMYA KOZMETIK)</v>
      </c>
      <c r="T796" t="s">
        <v>691</v>
      </c>
      <c r="U796" t="str">
        <f t="shared" si="173"/>
        <v>BAGS</v>
      </c>
      <c r="V796" t="str">
        <f t="shared" si="174"/>
        <v>ALCOHOL FREE</v>
      </c>
      <c r="W796" t="str">
        <f t="shared" si="175"/>
        <v>72</v>
      </c>
      <c r="X796" s="27">
        <f t="shared" si="176"/>
        <v>34.620800000000003</v>
      </c>
      <c r="Y796" s="27">
        <f t="shared" si="177"/>
        <v>13.6218</v>
      </c>
      <c r="Z796" s="27">
        <f t="shared" si="178"/>
        <v>2.1793999999999998</v>
      </c>
      <c r="AA796" s="27">
        <f t="shared" si="179"/>
        <v>2351.0409</v>
      </c>
      <c r="AB796" s="27">
        <f t="shared" si="180"/>
        <v>917.37919999999997</v>
      </c>
      <c r="AC796" s="27">
        <f t="shared" si="181"/>
        <v>151.65029999999999</v>
      </c>
    </row>
    <row r="797" spans="1:29" ht="15" customHeight="1" x14ac:dyDescent="0.3">
      <c r="A797" s="14" t="s">
        <v>692</v>
      </c>
      <c r="B797" s="15" t="s">
        <v>6</v>
      </c>
      <c r="C797" s="16"/>
      <c r="D797" s="17"/>
      <c r="E797" s="17"/>
      <c r="F797" s="18"/>
      <c r="G797" s="19"/>
      <c r="H797" s="20">
        <v>1.9407000000000001</v>
      </c>
      <c r="I797" s="21"/>
      <c r="J797" s="20"/>
      <c r="K797" s="20">
        <v>110.1146</v>
      </c>
      <c r="M797" t="str">
        <f t="shared" si="168"/>
        <v/>
      </c>
      <c r="N797" s="29" t="str">
        <f t="shared" si="169"/>
        <v xml:space="preserve"> TahaChem Cosmetics</v>
      </c>
      <c r="O797" t="str">
        <f t="shared" si="170"/>
        <v>BIVY (TAHA KIMYA KOZMETIK)</v>
      </c>
      <c r="P797" t="str">
        <f t="shared" si="172"/>
        <v/>
      </c>
      <c r="R797" t="str">
        <f t="shared" si="171"/>
        <v/>
      </c>
      <c r="T797" t="s">
        <v>871</v>
      </c>
      <c r="U797" t="str">
        <f t="shared" si="173"/>
        <v/>
      </c>
      <c r="V797" t="str">
        <f t="shared" si="174"/>
        <v/>
      </c>
      <c r="W797" t="str">
        <f t="shared" si="175"/>
        <v/>
      </c>
      <c r="X797" s="27" t="str">
        <f t="shared" si="176"/>
        <v/>
      </c>
      <c r="Y797" s="27" t="str">
        <f t="shared" si="177"/>
        <v/>
      </c>
      <c r="Z797" s="27" t="str">
        <f t="shared" si="178"/>
        <v/>
      </c>
      <c r="AA797" s="27" t="str">
        <f t="shared" si="179"/>
        <v/>
      </c>
      <c r="AB797" s="27" t="str">
        <f t="shared" si="180"/>
        <v/>
      </c>
      <c r="AC797" s="27" t="str">
        <f t="shared" si="181"/>
        <v/>
      </c>
    </row>
    <row r="798" spans="1:29" ht="15" customHeight="1" x14ac:dyDescent="0.3">
      <c r="A798" s="22" t="s">
        <v>693</v>
      </c>
      <c r="B798" s="23" t="s">
        <v>8</v>
      </c>
      <c r="C798" s="23" t="s">
        <v>9</v>
      </c>
      <c r="D798" s="24" t="s">
        <v>10</v>
      </c>
      <c r="E798" s="24" t="s">
        <v>24</v>
      </c>
      <c r="F798" s="18"/>
      <c r="G798" s="19"/>
      <c r="H798" s="20">
        <v>1.9407000000000001</v>
      </c>
      <c r="I798" s="21"/>
      <c r="J798" s="20"/>
      <c r="K798" s="20">
        <v>110.1146</v>
      </c>
      <c r="M798" t="str">
        <f t="shared" si="168"/>
        <v/>
      </c>
      <c r="N798" s="29" t="str">
        <f t="shared" si="169"/>
        <v xml:space="preserve"> TahaChem Cosmetics</v>
      </c>
      <c r="O798" t="str">
        <f t="shared" si="170"/>
        <v>BIVY (TAHA KIMYA KOZMETIK)</v>
      </c>
      <c r="P798" t="str">
        <f t="shared" si="172"/>
        <v/>
      </c>
      <c r="R798" t="str">
        <f t="shared" si="171"/>
        <v/>
      </c>
      <c r="T798" t="s">
        <v>871</v>
      </c>
      <c r="U798" t="str">
        <f t="shared" si="173"/>
        <v/>
      </c>
      <c r="V798" t="str">
        <f t="shared" si="174"/>
        <v/>
      </c>
      <c r="W798" t="str">
        <f t="shared" si="175"/>
        <v/>
      </c>
      <c r="X798" s="27" t="str">
        <f t="shared" si="176"/>
        <v/>
      </c>
      <c r="Y798" s="27" t="str">
        <f t="shared" si="177"/>
        <v/>
      </c>
      <c r="Z798" s="27" t="str">
        <f t="shared" si="178"/>
        <v/>
      </c>
      <c r="AA798" s="27" t="str">
        <f t="shared" si="179"/>
        <v/>
      </c>
      <c r="AB798" s="27" t="str">
        <f t="shared" si="180"/>
        <v/>
      </c>
      <c r="AC798" s="27" t="str">
        <f t="shared" si="181"/>
        <v/>
      </c>
    </row>
    <row r="799" spans="1:29" ht="14.25" customHeight="1" x14ac:dyDescent="0.3">
      <c r="A799" s="25" t="s">
        <v>813</v>
      </c>
      <c r="B799" s="4" t="s">
        <v>5</v>
      </c>
      <c r="C799" s="4"/>
      <c r="D799" s="5"/>
      <c r="E799" s="5"/>
      <c r="F799" s="10">
        <v>2.0785999999999998</v>
      </c>
      <c r="G799" s="11">
        <v>7.1199999999999999E-2</v>
      </c>
      <c r="H799" s="12"/>
      <c r="I799" s="13">
        <v>104.04649999999999</v>
      </c>
      <c r="J799" s="12">
        <v>3.8216000000000001</v>
      </c>
      <c r="K799" s="12"/>
      <c r="M799" t="str">
        <f t="shared" si="168"/>
        <v>DAISY BABY WET WIPES W 120 BAG</v>
      </c>
      <c r="N799" s="29" t="str">
        <f t="shared" si="169"/>
        <v xml:space="preserve"> TextileSan</v>
      </c>
      <c r="O799" t="str">
        <f t="shared" si="170"/>
        <v>DAISY (TEKSAN)</v>
      </c>
      <c r="P799" t="str">
        <f t="shared" si="172"/>
        <v xml:space="preserve"> TextileSan</v>
      </c>
      <c r="R799" t="str">
        <f t="shared" si="171"/>
        <v>DAISY (TEKSAN)</v>
      </c>
      <c r="T799" t="s">
        <v>693</v>
      </c>
      <c r="U799" t="str">
        <f t="shared" si="173"/>
        <v>BAGS</v>
      </c>
      <c r="V799" t="str">
        <f t="shared" si="174"/>
        <v>WITHOUT EXTRA PROTECTCARE INDICATION</v>
      </c>
      <c r="W799" t="str">
        <f t="shared" si="175"/>
        <v>120</v>
      </c>
      <c r="X799" s="27">
        <f t="shared" si="176"/>
        <v>0</v>
      </c>
      <c r="Y799" s="27">
        <f t="shared" si="177"/>
        <v>0</v>
      </c>
      <c r="Z799" s="27">
        <f t="shared" si="178"/>
        <v>1.9407000000000001</v>
      </c>
      <c r="AA799" s="27">
        <f t="shared" si="179"/>
        <v>0</v>
      </c>
      <c r="AB799" s="27">
        <f t="shared" si="180"/>
        <v>0</v>
      </c>
      <c r="AC799" s="27">
        <f t="shared" si="181"/>
        <v>110.1146</v>
      </c>
    </row>
    <row r="800" spans="1:29" ht="15" customHeight="1" x14ac:dyDescent="0.3">
      <c r="A800" s="14" t="s">
        <v>694</v>
      </c>
      <c r="B800" s="15" t="s">
        <v>6</v>
      </c>
      <c r="C800" s="16"/>
      <c r="D800" s="17"/>
      <c r="E800" s="17"/>
      <c r="F800" s="18">
        <v>2.0785999999999998</v>
      </c>
      <c r="G800" s="19">
        <v>7.1199999999999999E-2</v>
      </c>
      <c r="H800" s="20"/>
      <c r="I800" s="21">
        <v>104.04649999999999</v>
      </c>
      <c r="J800" s="20">
        <v>3.8216000000000001</v>
      </c>
      <c r="K800" s="20"/>
      <c r="M800" t="str">
        <f t="shared" si="168"/>
        <v/>
      </c>
      <c r="N800" s="29" t="str">
        <f t="shared" si="169"/>
        <v xml:space="preserve"> TextileSan</v>
      </c>
      <c r="O800" t="str">
        <f t="shared" si="170"/>
        <v>DAISY (TEKSAN)</v>
      </c>
      <c r="P800" t="str">
        <f t="shared" si="172"/>
        <v/>
      </c>
      <c r="R800" t="str">
        <f t="shared" si="171"/>
        <v/>
      </c>
      <c r="T800" t="s">
        <v>871</v>
      </c>
      <c r="U800" t="str">
        <f t="shared" si="173"/>
        <v/>
      </c>
      <c r="V800" t="str">
        <f t="shared" si="174"/>
        <v/>
      </c>
      <c r="W800" t="str">
        <f t="shared" si="175"/>
        <v/>
      </c>
      <c r="X800" s="27" t="str">
        <f t="shared" si="176"/>
        <v/>
      </c>
      <c r="Y800" s="27" t="str">
        <f t="shared" si="177"/>
        <v/>
      </c>
      <c r="Z800" s="27" t="str">
        <f t="shared" si="178"/>
        <v/>
      </c>
      <c r="AA800" s="27" t="str">
        <f t="shared" si="179"/>
        <v/>
      </c>
      <c r="AB800" s="27" t="str">
        <f t="shared" si="180"/>
        <v/>
      </c>
      <c r="AC800" s="27" t="str">
        <f t="shared" si="181"/>
        <v/>
      </c>
    </row>
    <row r="801" spans="1:29" ht="15" customHeight="1" x14ac:dyDescent="0.3">
      <c r="A801" s="22" t="s">
        <v>695</v>
      </c>
      <c r="B801" s="23" t="s">
        <v>8</v>
      </c>
      <c r="C801" s="23" t="s">
        <v>9</v>
      </c>
      <c r="D801" s="24" t="s">
        <v>20</v>
      </c>
      <c r="E801" s="24" t="s">
        <v>42</v>
      </c>
      <c r="F801" s="18">
        <v>2.0785999999999998</v>
      </c>
      <c r="G801" s="19">
        <v>7.1199999999999999E-2</v>
      </c>
      <c r="H801" s="20"/>
      <c r="I801" s="21">
        <v>104.04649999999999</v>
      </c>
      <c r="J801" s="20">
        <v>3.8216000000000001</v>
      </c>
      <c r="K801" s="20"/>
      <c r="M801" t="str">
        <f t="shared" si="168"/>
        <v/>
      </c>
      <c r="N801" s="29" t="str">
        <f t="shared" si="169"/>
        <v xml:space="preserve"> TextileSan</v>
      </c>
      <c r="O801" t="str">
        <f t="shared" si="170"/>
        <v>DAISY (TEKSAN)</v>
      </c>
      <c r="P801" t="str">
        <f t="shared" si="172"/>
        <v/>
      </c>
      <c r="R801" t="str">
        <f t="shared" si="171"/>
        <v/>
      </c>
      <c r="T801" t="s">
        <v>871</v>
      </c>
      <c r="U801" t="str">
        <f t="shared" si="173"/>
        <v/>
      </c>
      <c r="V801" t="str">
        <f t="shared" si="174"/>
        <v/>
      </c>
      <c r="W801" t="str">
        <f t="shared" si="175"/>
        <v/>
      </c>
      <c r="X801" s="27" t="str">
        <f t="shared" si="176"/>
        <v/>
      </c>
      <c r="Y801" s="27" t="str">
        <f t="shared" si="177"/>
        <v/>
      </c>
      <c r="Z801" s="27" t="str">
        <f t="shared" si="178"/>
        <v/>
      </c>
      <c r="AA801" s="27" t="str">
        <f t="shared" si="179"/>
        <v/>
      </c>
      <c r="AB801" s="27" t="str">
        <f t="shared" si="180"/>
        <v/>
      </c>
      <c r="AC801" s="27" t="str">
        <f t="shared" si="181"/>
        <v/>
      </c>
    </row>
    <row r="802" spans="1:29" ht="14.25" customHeight="1" x14ac:dyDescent="0.3">
      <c r="A802" s="25" t="s">
        <v>814</v>
      </c>
      <c r="B802" s="4" t="s">
        <v>5</v>
      </c>
      <c r="C802" s="4"/>
      <c r="D802" s="5"/>
      <c r="E802" s="5"/>
      <c r="F802" s="10"/>
      <c r="G802" s="11">
        <v>0.06</v>
      </c>
      <c r="H802" s="12">
        <v>22.319900000000001</v>
      </c>
      <c r="I802" s="13"/>
      <c r="J802" s="12">
        <v>3.96</v>
      </c>
      <c r="K802" s="12">
        <v>1362.7346</v>
      </c>
      <c r="M802" t="str">
        <f t="shared" si="168"/>
        <v>BEBECAN PH5.5 W 72 BAG TNCR GIDA KAPAK</v>
      </c>
      <c r="N802" s="29" t="str">
        <f t="shared" si="169"/>
        <v xml:space="preserve"> FoodTNCR</v>
      </c>
      <c r="O802" t="str">
        <f t="shared" si="170"/>
        <v>BEBECAN (TNCR GIDA)</v>
      </c>
      <c r="P802" t="str">
        <f t="shared" si="172"/>
        <v xml:space="preserve"> FoodTNCR</v>
      </c>
      <c r="R802" t="str">
        <f t="shared" si="171"/>
        <v>BEBECAN (TNCR GIDA)</v>
      </c>
      <c r="T802" t="s">
        <v>695</v>
      </c>
      <c r="U802" t="str">
        <f t="shared" si="173"/>
        <v>BAGS</v>
      </c>
      <c r="V802" t="str">
        <f t="shared" si="174"/>
        <v>PH BALANCED</v>
      </c>
      <c r="W802" t="str">
        <f t="shared" si="175"/>
        <v>72</v>
      </c>
      <c r="X802" s="27">
        <f t="shared" si="176"/>
        <v>2.0785999999999998</v>
      </c>
      <c r="Y802" s="27">
        <f t="shared" si="177"/>
        <v>7.1199999999999999E-2</v>
      </c>
      <c r="Z802" s="27">
        <f t="shared" si="178"/>
        <v>0</v>
      </c>
      <c r="AA802" s="27">
        <f t="shared" si="179"/>
        <v>104.04649999999999</v>
      </c>
      <c r="AB802" s="27">
        <f t="shared" si="180"/>
        <v>3.8216000000000001</v>
      </c>
      <c r="AC802" s="27">
        <f t="shared" si="181"/>
        <v>0</v>
      </c>
    </row>
    <row r="803" spans="1:29" ht="15" customHeight="1" x14ac:dyDescent="0.3">
      <c r="A803" s="14" t="s">
        <v>696</v>
      </c>
      <c r="B803" s="15" t="s">
        <v>6</v>
      </c>
      <c r="C803" s="16"/>
      <c r="D803" s="17"/>
      <c r="E803" s="17"/>
      <c r="F803" s="18"/>
      <c r="G803" s="19"/>
      <c r="H803" s="20">
        <v>0.1532</v>
      </c>
      <c r="I803" s="21"/>
      <c r="J803" s="20"/>
      <c r="K803" s="20">
        <v>9.1946999999999992</v>
      </c>
      <c r="M803" t="str">
        <f t="shared" si="168"/>
        <v/>
      </c>
      <c r="N803" s="29" t="str">
        <f t="shared" si="169"/>
        <v xml:space="preserve"> FoodTNCR</v>
      </c>
      <c r="O803" t="str">
        <f t="shared" si="170"/>
        <v>BEBECAN (TNCR GIDA)</v>
      </c>
      <c r="P803" t="str">
        <f t="shared" si="172"/>
        <v/>
      </c>
      <c r="R803" t="str">
        <f t="shared" si="171"/>
        <v/>
      </c>
      <c r="T803" t="s">
        <v>871</v>
      </c>
      <c r="U803" t="str">
        <f t="shared" si="173"/>
        <v/>
      </c>
      <c r="V803" t="str">
        <f t="shared" si="174"/>
        <v/>
      </c>
      <c r="W803" t="str">
        <f t="shared" si="175"/>
        <v/>
      </c>
      <c r="X803" s="27" t="str">
        <f t="shared" si="176"/>
        <v/>
      </c>
      <c r="Y803" s="27" t="str">
        <f t="shared" si="177"/>
        <v/>
      </c>
      <c r="Z803" s="27" t="str">
        <f t="shared" si="178"/>
        <v/>
      </c>
      <c r="AA803" s="27" t="str">
        <f t="shared" si="179"/>
        <v/>
      </c>
      <c r="AB803" s="27" t="str">
        <f t="shared" si="180"/>
        <v/>
      </c>
      <c r="AC803" s="27" t="str">
        <f t="shared" si="181"/>
        <v/>
      </c>
    </row>
    <row r="804" spans="1:29" ht="15" customHeight="1" x14ac:dyDescent="0.3">
      <c r="A804" s="22" t="s">
        <v>697</v>
      </c>
      <c r="B804" s="23" t="s">
        <v>8</v>
      </c>
      <c r="C804" s="23" t="s">
        <v>9</v>
      </c>
      <c r="D804" s="24" t="s">
        <v>30</v>
      </c>
      <c r="E804" s="24" t="s">
        <v>24</v>
      </c>
      <c r="F804" s="18"/>
      <c r="G804" s="19"/>
      <c r="H804" s="20">
        <v>0.1532</v>
      </c>
      <c r="I804" s="21"/>
      <c r="J804" s="20"/>
      <c r="K804" s="20">
        <v>9.1946999999999992</v>
      </c>
      <c r="M804" t="str">
        <f t="shared" si="168"/>
        <v/>
      </c>
      <c r="N804" s="29" t="str">
        <f t="shared" si="169"/>
        <v xml:space="preserve"> FoodTNCR</v>
      </c>
      <c r="O804" t="str">
        <f t="shared" si="170"/>
        <v>BEBECAN (TNCR GIDA)</v>
      </c>
      <c r="P804" t="str">
        <f t="shared" si="172"/>
        <v/>
      </c>
      <c r="R804" t="str">
        <f t="shared" si="171"/>
        <v/>
      </c>
      <c r="T804" t="s">
        <v>871</v>
      </c>
      <c r="U804" t="str">
        <f t="shared" si="173"/>
        <v/>
      </c>
      <c r="V804" t="str">
        <f t="shared" si="174"/>
        <v/>
      </c>
      <c r="W804" t="str">
        <f t="shared" si="175"/>
        <v/>
      </c>
      <c r="X804" s="27" t="str">
        <f t="shared" si="176"/>
        <v/>
      </c>
      <c r="Y804" s="27" t="str">
        <f t="shared" si="177"/>
        <v/>
      </c>
      <c r="Z804" s="27" t="str">
        <f t="shared" si="178"/>
        <v/>
      </c>
      <c r="AA804" s="27" t="str">
        <f t="shared" si="179"/>
        <v/>
      </c>
      <c r="AB804" s="27" t="str">
        <f t="shared" si="180"/>
        <v/>
      </c>
      <c r="AC804" s="27" t="str">
        <f t="shared" si="181"/>
        <v/>
      </c>
    </row>
    <row r="805" spans="1:29" ht="15" customHeight="1" x14ac:dyDescent="0.3">
      <c r="A805" s="14" t="s">
        <v>698</v>
      </c>
      <c r="B805" s="15" t="s">
        <v>6</v>
      </c>
      <c r="C805" s="16"/>
      <c r="D805" s="17"/>
      <c r="E805" s="17"/>
      <c r="F805" s="18"/>
      <c r="G805" s="19">
        <v>0.06</v>
      </c>
      <c r="H805" s="20">
        <v>22.166699999999999</v>
      </c>
      <c r="I805" s="21"/>
      <c r="J805" s="20">
        <v>3.96</v>
      </c>
      <c r="K805" s="20">
        <v>1353.54</v>
      </c>
      <c r="M805" t="str">
        <f t="shared" si="168"/>
        <v>HUGO BABY ALC.FREE W 120 BAG</v>
      </c>
      <c r="N805" s="29" t="str">
        <f t="shared" si="169"/>
        <v xml:space="preserve"> TroyBeauty Trade</v>
      </c>
      <c r="O805" t="str">
        <f t="shared" si="170"/>
        <v>HUGO BABY (TRUVA KOZMETIK)</v>
      </c>
      <c r="P805" t="str">
        <f t="shared" si="172"/>
        <v xml:space="preserve"> TroyBeauty Trade</v>
      </c>
      <c r="R805" t="str">
        <f t="shared" si="171"/>
        <v>HUGO BABY (TRUVA KOZMETIK)</v>
      </c>
      <c r="T805" t="s">
        <v>697</v>
      </c>
      <c r="U805" t="str">
        <f t="shared" si="173"/>
        <v>BAGS</v>
      </c>
      <c r="V805" t="str">
        <f t="shared" si="174"/>
        <v>ALCOHOL FREE</v>
      </c>
      <c r="W805" t="str">
        <f t="shared" si="175"/>
        <v>120</v>
      </c>
      <c r="X805" s="27">
        <f t="shared" si="176"/>
        <v>0</v>
      </c>
      <c r="Y805" s="27">
        <f t="shared" si="177"/>
        <v>0</v>
      </c>
      <c r="Z805" s="27">
        <f t="shared" si="178"/>
        <v>0.1532</v>
      </c>
      <c r="AA805" s="27">
        <f t="shared" si="179"/>
        <v>0</v>
      </c>
      <c r="AB805" s="27">
        <f t="shared" si="180"/>
        <v>0</v>
      </c>
      <c r="AC805" s="27">
        <f t="shared" si="181"/>
        <v>9.1946999999999992</v>
      </c>
    </row>
    <row r="806" spans="1:29" ht="15" customHeight="1" x14ac:dyDescent="0.3">
      <c r="A806" s="22" t="s">
        <v>699</v>
      </c>
      <c r="B806" s="23" t="s">
        <v>8</v>
      </c>
      <c r="C806" s="23" t="s">
        <v>9</v>
      </c>
      <c r="D806" s="24" t="s">
        <v>30</v>
      </c>
      <c r="E806" s="24" t="s">
        <v>42</v>
      </c>
      <c r="F806" s="18"/>
      <c r="G806" s="19">
        <v>2.8000000000000001E-2</v>
      </c>
      <c r="H806" s="20">
        <v>14.061199999999999</v>
      </c>
      <c r="I806" s="21"/>
      <c r="J806" s="20">
        <v>1.8513999999999999</v>
      </c>
      <c r="K806" s="20">
        <v>850.57989999999995</v>
      </c>
      <c r="M806" t="str">
        <f t="shared" si="168"/>
        <v/>
      </c>
      <c r="N806" s="29" t="str">
        <f t="shared" si="169"/>
        <v xml:space="preserve"> TroyBeauty Trade</v>
      </c>
      <c r="O806" t="str">
        <f t="shared" si="170"/>
        <v>HUGO BABY (TRUVA KOZMETIK)</v>
      </c>
      <c r="P806" t="str">
        <f t="shared" si="172"/>
        <v/>
      </c>
      <c r="R806" t="str">
        <f t="shared" si="171"/>
        <v/>
      </c>
      <c r="T806" t="s">
        <v>871</v>
      </c>
      <c r="U806" t="str">
        <f t="shared" si="173"/>
        <v/>
      </c>
      <c r="V806" t="str">
        <f t="shared" si="174"/>
        <v/>
      </c>
      <c r="W806" t="str">
        <f t="shared" si="175"/>
        <v/>
      </c>
      <c r="X806" s="27" t="str">
        <f t="shared" si="176"/>
        <v/>
      </c>
      <c r="Y806" s="27" t="str">
        <f t="shared" si="177"/>
        <v/>
      </c>
      <c r="Z806" s="27" t="str">
        <f t="shared" si="178"/>
        <v/>
      </c>
      <c r="AA806" s="27" t="str">
        <f t="shared" si="179"/>
        <v/>
      </c>
      <c r="AB806" s="27" t="str">
        <f t="shared" si="180"/>
        <v/>
      </c>
      <c r="AC806" s="27" t="str">
        <f t="shared" si="181"/>
        <v/>
      </c>
    </row>
    <row r="807" spans="1:29" ht="15" customHeight="1" x14ac:dyDescent="0.3">
      <c r="A807" s="22" t="s">
        <v>700</v>
      </c>
      <c r="B807" s="23" t="s">
        <v>8</v>
      </c>
      <c r="C807" s="23" t="s">
        <v>9</v>
      </c>
      <c r="D807" s="24" t="s">
        <v>30</v>
      </c>
      <c r="E807" s="24" t="s">
        <v>42</v>
      </c>
      <c r="F807" s="18"/>
      <c r="G807" s="19">
        <v>3.1899999999999998E-2</v>
      </c>
      <c r="H807" s="20">
        <v>8.1054999999999993</v>
      </c>
      <c r="I807" s="21"/>
      <c r="J807" s="20">
        <v>2.1086</v>
      </c>
      <c r="K807" s="20">
        <v>502.96</v>
      </c>
      <c r="M807" t="str">
        <f t="shared" si="168"/>
        <v>PROSOFT VITE&amp;PROVITB5 W 72 BAG CHERVENI</v>
      </c>
      <c r="N807" s="29" t="str">
        <f t="shared" si="169"/>
        <v xml:space="preserve"> TroyBeauty Trade</v>
      </c>
      <c r="O807" t="str">
        <f t="shared" si="170"/>
        <v>PROSOFT (TRUVA KOZMETIK TIC)</v>
      </c>
      <c r="P807" t="str">
        <f t="shared" si="172"/>
        <v xml:space="preserve"> TroyBeauty Trade</v>
      </c>
      <c r="R807" t="str">
        <f t="shared" si="171"/>
        <v>PROSOFT (TRUVA KOZMETIK TIC)</v>
      </c>
      <c r="T807" t="s">
        <v>699</v>
      </c>
      <c r="U807" t="str">
        <f t="shared" si="173"/>
        <v>BAGS</v>
      </c>
      <c r="V807" t="str">
        <f t="shared" si="174"/>
        <v>ALCOHOL FREE</v>
      </c>
      <c r="W807" t="str">
        <f t="shared" si="175"/>
        <v>72</v>
      </c>
      <c r="X807" s="27">
        <f t="shared" si="176"/>
        <v>0</v>
      </c>
      <c r="Y807" s="27">
        <f t="shared" si="177"/>
        <v>2.8000000000000001E-2</v>
      </c>
      <c r="Z807" s="27">
        <f t="shared" si="178"/>
        <v>14.061199999999999</v>
      </c>
      <c r="AA807" s="27">
        <f t="shared" si="179"/>
        <v>0</v>
      </c>
      <c r="AB807" s="27">
        <f t="shared" si="180"/>
        <v>1.8513999999999999</v>
      </c>
      <c r="AC807" s="27">
        <f t="shared" si="181"/>
        <v>850.57989999999995</v>
      </c>
    </row>
    <row r="808" spans="1:29" ht="14.25" customHeight="1" x14ac:dyDescent="0.3">
      <c r="A808" s="25" t="s">
        <v>815</v>
      </c>
      <c r="B808" s="4" t="s">
        <v>5</v>
      </c>
      <c r="C808" s="4"/>
      <c r="D808" s="5"/>
      <c r="E808" s="5"/>
      <c r="F808" s="10"/>
      <c r="G808" s="11"/>
      <c r="H808" s="12"/>
      <c r="I808" s="13"/>
      <c r="J808" s="12"/>
      <c r="K808" s="12"/>
      <c r="M808" t="str">
        <f t="shared" si="168"/>
        <v>PROSOFT VITE&amp;PROVITB5 W 72 BAG ZELENI</v>
      </c>
      <c r="N808" s="29" t="str">
        <f t="shared" si="169"/>
        <v xml:space="preserve"> TroyBeauty Trade</v>
      </c>
      <c r="O808" t="str">
        <f t="shared" si="170"/>
        <v>PROSOFT (TRUVA KOZMETIK TIC)</v>
      </c>
      <c r="P808" t="str">
        <f t="shared" si="172"/>
        <v xml:space="preserve"> TroyBeauty Trade</v>
      </c>
      <c r="R808" t="str">
        <f t="shared" si="171"/>
        <v>PROSOFT (TRUVA KOZMETIK TIC)</v>
      </c>
      <c r="T808" t="s">
        <v>700</v>
      </c>
      <c r="U808" t="str">
        <f t="shared" si="173"/>
        <v>BAGS</v>
      </c>
      <c r="V808" t="str">
        <f t="shared" si="174"/>
        <v>ALCOHOL FREE</v>
      </c>
      <c r="W808" t="str">
        <f t="shared" si="175"/>
        <v>72</v>
      </c>
      <c r="X808" s="27">
        <f t="shared" si="176"/>
        <v>0</v>
      </c>
      <c r="Y808" s="27">
        <f t="shared" si="177"/>
        <v>3.1899999999999998E-2</v>
      </c>
      <c r="Z808" s="27">
        <f t="shared" si="178"/>
        <v>8.1054999999999993</v>
      </c>
      <c r="AA808" s="27">
        <f t="shared" si="179"/>
        <v>0</v>
      </c>
      <c r="AB808" s="27">
        <f t="shared" si="180"/>
        <v>2.1086</v>
      </c>
      <c r="AC808" s="27">
        <f t="shared" si="181"/>
        <v>502.96</v>
      </c>
    </row>
    <row r="809" spans="1:29" ht="15" customHeight="1" x14ac:dyDescent="0.3">
      <c r="A809" s="14" t="s">
        <v>701</v>
      </c>
      <c r="B809" s="15" t="s">
        <v>6</v>
      </c>
      <c r="C809" s="16"/>
      <c r="D809" s="17"/>
      <c r="E809" s="17"/>
      <c r="F809" s="18"/>
      <c r="G809" s="19"/>
      <c r="H809" s="20"/>
      <c r="I809" s="21"/>
      <c r="J809" s="20"/>
      <c r="K809" s="20"/>
      <c r="M809" t="str">
        <f t="shared" si="168"/>
        <v/>
      </c>
      <c r="N809" s="29" t="str">
        <f t="shared" si="169"/>
        <v xml:space="preserve"> TroyBeauty Trade</v>
      </c>
      <c r="O809" t="str">
        <f t="shared" si="170"/>
        <v>PROSOFT (TRUVA KOZMETIK TIC)</v>
      </c>
      <c r="P809" t="str">
        <f t="shared" si="172"/>
        <v/>
      </c>
      <c r="R809" t="str">
        <f t="shared" si="171"/>
        <v/>
      </c>
      <c r="T809" t="s">
        <v>871</v>
      </c>
      <c r="U809" t="str">
        <f t="shared" si="173"/>
        <v/>
      </c>
      <c r="V809" t="str">
        <f t="shared" si="174"/>
        <v/>
      </c>
      <c r="W809" t="str">
        <f t="shared" si="175"/>
        <v/>
      </c>
      <c r="X809" s="27" t="str">
        <f t="shared" si="176"/>
        <v/>
      </c>
      <c r="Y809" s="27" t="str">
        <f t="shared" si="177"/>
        <v/>
      </c>
      <c r="Z809" s="27" t="str">
        <f t="shared" si="178"/>
        <v/>
      </c>
      <c r="AA809" s="27" t="str">
        <f t="shared" si="179"/>
        <v/>
      </c>
      <c r="AB809" s="27" t="str">
        <f t="shared" si="180"/>
        <v/>
      </c>
      <c r="AC809" s="27" t="str">
        <f t="shared" si="181"/>
        <v/>
      </c>
    </row>
    <row r="810" spans="1:29" ht="15" customHeight="1" x14ac:dyDescent="0.3">
      <c r="A810" s="22" t="s">
        <v>702</v>
      </c>
      <c r="B810" s="23" t="s">
        <v>8</v>
      </c>
      <c r="C810" s="23" t="s">
        <v>9</v>
      </c>
      <c r="D810" s="24" t="s">
        <v>64</v>
      </c>
      <c r="E810" s="24" t="s">
        <v>21</v>
      </c>
      <c r="F810" s="18"/>
      <c r="G810" s="19"/>
      <c r="H810" s="20"/>
      <c r="I810" s="21"/>
      <c r="J810" s="20"/>
      <c r="K810" s="20"/>
      <c r="M810" t="str">
        <f t="shared" si="168"/>
        <v/>
      </c>
      <c r="N810" s="29" t="str">
        <f t="shared" si="169"/>
        <v xml:space="preserve"> TroyBeauty Trade</v>
      </c>
      <c r="O810" t="str">
        <f t="shared" si="170"/>
        <v>PROSOFT (TRUVA KOZMETIK TIC)</v>
      </c>
      <c r="P810" t="str">
        <f t="shared" si="172"/>
        <v/>
      </c>
      <c r="R810" t="str">
        <f t="shared" si="171"/>
        <v/>
      </c>
      <c r="T810" t="s">
        <v>871</v>
      </c>
      <c r="U810" t="str">
        <f t="shared" si="173"/>
        <v/>
      </c>
      <c r="V810" t="str">
        <f t="shared" si="174"/>
        <v/>
      </c>
      <c r="W810" t="str">
        <f t="shared" si="175"/>
        <v/>
      </c>
      <c r="X810" s="27" t="str">
        <f t="shared" si="176"/>
        <v/>
      </c>
      <c r="Y810" s="27" t="str">
        <f t="shared" si="177"/>
        <v/>
      </c>
      <c r="Z810" s="27" t="str">
        <f t="shared" si="178"/>
        <v/>
      </c>
      <c r="AA810" s="27" t="str">
        <f t="shared" si="179"/>
        <v/>
      </c>
      <c r="AB810" s="27" t="str">
        <f t="shared" si="180"/>
        <v/>
      </c>
      <c r="AC810" s="27" t="str">
        <f t="shared" si="181"/>
        <v/>
      </c>
    </row>
    <row r="811" spans="1:29" ht="14.25" customHeight="1" x14ac:dyDescent="0.3">
      <c r="A811" s="25" t="s">
        <v>816</v>
      </c>
      <c r="B811" s="4" t="s">
        <v>5</v>
      </c>
      <c r="C811" s="4"/>
      <c r="D811" s="5"/>
      <c r="E811" s="5"/>
      <c r="F811" s="10">
        <v>25.839099999999998</v>
      </c>
      <c r="G811" s="11">
        <v>9.0121000000000002</v>
      </c>
      <c r="H811" s="12">
        <v>10.0204</v>
      </c>
      <c r="I811" s="13">
        <v>1539.4739</v>
      </c>
      <c r="J811" s="12">
        <v>509.45670000000001</v>
      </c>
      <c r="K811" s="12">
        <v>585.52229999999997</v>
      </c>
      <c r="M811" t="str">
        <f t="shared" si="168"/>
        <v>BAMBINO SENS.ALOE&amp;OLIVE ALC.FREE W100BAG</v>
      </c>
      <c r="N811" s="29" t="str">
        <f t="shared" si="169"/>
        <v xml:space="preserve"> MegaBeauty</v>
      </c>
      <c r="O811" t="str">
        <f t="shared" si="170"/>
        <v>BAMBINO (ULTRA COSMETICS)</v>
      </c>
      <c r="P811" t="str">
        <f t="shared" si="172"/>
        <v xml:space="preserve"> MegaBeauty</v>
      </c>
      <c r="R811" t="str">
        <f t="shared" si="171"/>
        <v>BAMBINO (ULTRA COSMETICS)</v>
      </c>
      <c r="T811" t="s">
        <v>702</v>
      </c>
      <c r="U811" t="str">
        <f t="shared" si="173"/>
        <v>BAGS</v>
      </c>
      <c r="V811" t="str">
        <f t="shared" si="174"/>
        <v>SENSITIVE</v>
      </c>
      <c r="W811" t="str">
        <f t="shared" si="175"/>
        <v>100</v>
      </c>
      <c r="X811" s="27">
        <f t="shared" si="176"/>
        <v>0</v>
      </c>
      <c r="Y811" s="27">
        <f t="shared" si="177"/>
        <v>0</v>
      </c>
      <c r="Z811" s="27">
        <f t="shared" si="178"/>
        <v>0</v>
      </c>
      <c r="AA811" s="27">
        <f t="shared" si="179"/>
        <v>0</v>
      </c>
      <c r="AB811" s="27">
        <f t="shared" si="180"/>
        <v>0</v>
      </c>
      <c r="AC811" s="27">
        <f t="shared" si="181"/>
        <v>0</v>
      </c>
    </row>
    <row r="812" spans="1:29" ht="15" customHeight="1" x14ac:dyDescent="0.3">
      <c r="A812" s="14" t="s">
        <v>703</v>
      </c>
      <c r="B812" s="15" t="s">
        <v>6</v>
      </c>
      <c r="C812" s="16"/>
      <c r="D812" s="17"/>
      <c r="E812" s="17"/>
      <c r="F812" s="18">
        <v>25.839099999999998</v>
      </c>
      <c r="G812" s="19">
        <v>9.0121000000000002</v>
      </c>
      <c r="H812" s="20">
        <v>10.0204</v>
      </c>
      <c r="I812" s="21">
        <v>1539.4739</v>
      </c>
      <c r="J812" s="20">
        <v>509.45670000000001</v>
      </c>
      <c r="K812" s="20">
        <v>585.52229999999997</v>
      </c>
      <c r="M812" t="str">
        <f t="shared" si="168"/>
        <v/>
      </c>
      <c r="N812" s="29" t="str">
        <f t="shared" si="169"/>
        <v xml:space="preserve"> MegaBeauty</v>
      </c>
      <c r="O812" t="str">
        <f t="shared" si="170"/>
        <v>BAMBINO (ULTRA COSMETICS)</v>
      </c>
      <c r="P812" t="str">
        <f t="shared" si="172"/>
        <v/>
      </c>
      <c r="R812" t="str">
        <f t="shared" si="171"/>
        <v/>
      </c>
      <c r="T812" t="s">
        <v>871</v>
      </c>
      <c r="U812" t="str">
        <f t="shared" si="173"/>
        <v/>
      </c>
      <c r="V812" t="str">
        <f t="shared" si="174"/>
        <v/>
      </c>
      <c r="W812" t="str">
        <f t="shared" si="175"/>
        <v/>
      </c>
      <c r="X812" s="27" t="str">
        <f t="shared" si="176"/>
        <v/>
      </c>
      <c r="Y812" s="27" t="str">
        <f t="shared" si="177"/>
        <v/>
      </c>
      <c r="Z812" s="27" t="str">
        <f t="shared" si="178"/>
        <v/>
      </c>
      <c r="AA812" s="27" t="str">
        <f t="shared" si="179"/>
        <v/>
      </c>
      <c r="AB812" s="27" t="str">
        <f t="shared" si="180"/>
        <v/>
      </c>
      <c r="AC812" s="27" t="str">
        <f t="shared" si="181"/>
        <v/>
      </c>
    </row>
    <row r="813" spans="1:29" ht="15" customHeight="1" x14ac:dyDescent="0.3">
      <c r="A813" s="22" t="s">
        <v>704</v>
      </c>
      <c r="B813" s="23" t="s">
        <v>8</v>
      </c>
      <c r="C813" s="23" t="s">
        <v>9</v>
      </c>
      <c r="D813" s="24" t="s">
        <v>30</v>
      </c>
      <c r="E813" s="24" t="s">
        <v>24</v>
      </c>
      <c r="F813" s="18">
        <v>25.839099999999998</v>
      </c>
      <c r="G813" s="19">
        <v>9.0121000000000002</v>
      </c>
      <c r="H813" s="20">
        <v>10.0204</v>
      </c>
      <c r="I813" s="21">
        <v>1539.4739</v>
      </c>
      <c r="J813" s="20">
        <v>509.45670000000001</v>
      </c>
      <c r="K813" s="20">
        <v>585.52229999999997</v>
      </c>
      <c r="M813" t="str">
        <f t="shared" si="168"/>
        <v/>
      </c>
      <c r="N813" s="29" t="str">
        <f t="shared" si="169"/>
        <v xml:space="preserve"> MegaBeauty</v>
      </c>
      <c r="O813" t="str">
        <f t="shared" si="170"/>
        <v>BAMBINO (ULTRA COSMETICS)</v>
      </c>
      <c r="P813" t="str">
        <f t="shared" si="172"/>
        <v/>
      </c>
      <c r="R813" t="str">
        <f t="shared" si="171"/>
        <v/>
      </c>
      <c r="T813" t="s">
        <v>871</v>
      </c>
      <c r="U813" t="str">
        <f t="shared" si="173"/>
        <v/>
      </c>
      <c r="V813" t="str">
        <f t="shared" si="174"/>
        <v/>
      </c>
      <c r="W813" t="str">
        <f t="shared" si="175"/>
        <v/>
      </c>
      <c r="X813" s="27" t="str">
        <f t="shared" si="176"/>
        <v/>
      </c>
      <c r="Y813" s="27" t="str">
        <f t="shared" si="177"/>
        <v/>
      </c>
      <c r="Z813" s="27" t="str">
        <f t="shared" si="178"/>
        <v/>
      </c>
      <c r="AA813" s="27" t="str">
        <f t="shared" si="179"/>
        <v/>
      </c>
      <c r="AB813" s="27" t="str">
        <f t="shared" si="180"/>
        <v/>
      </c>
      <c r="AC813" s="27" t="str">
        <f t="shared" si="181"/>
        <v/>
      </c>
    </row>
    <row r="814" spans="1:29" ht="14.25" customHeight="1" x14ac:dyDescent="0.3">
      <c r="A814" s="25" t="s">
        <v>817</v>
      </c>
      <c r="B814" s="4" t="s">
        <v>5</v>
      </c>
      <c r="C814" s="4"/>
      <c r="D814" s="5"/>
      <c r="E814" s="5"/>
      <c r="F814" s="10">
        <v>19.4955</v>
      </c>
      <c r="G814" s="11">
        <v>39.761400000000002</v>
      </c>
      <c r="H814" s="12">
        <v>26.269500000000001</v>
      </c>
      <c r="I814" s="13">
        <v>286.0496</v>
      </c>
      <c r="J814" s="12">
        <v>652.10860000000002</v>
      </c>
      <c r="K814" s="12">
        <v>499.83789999999999</v>
      </c>
      <c r="M814" t="str">
        <f t="shared" si="168"/>
        <v>UNAC BABY LOTION&amp;VIT.E AL.FREE W 120 BAG</v>
      </c>
      <c r="N814" s="29" t="str">
        <f t="shared" si="169"/>
        <v xml:space="preserve"> Unac Beauty Makers SAN.</v>
      </c>
      <c r="O814" t="str">
        <f t="shared" si="170"/>
        <v>UNAC (UNAC GROUP KOZMETIK SAN.)</v>
      </c>
      <c r="P814" t="str">
        <f t="shared" si="172"/>
        <v xml:space="preserve"> Unac Beauty Makers SAN.</v>
      </c>
      <c r="R814" t="str">
        <f t="shared" si="171"/>
        <v>UNAC (UNAC GROUP KOZMETIK SAN.)</v>
      </c>
      <c r="T814" t="s">
        <v>704</v>
      </c>
      <c r="U814" t="str">
        <f t="shared" si="173"/>
        <v>BAGS</v>
      </c>
      <c r="V814" t="str">
        <f t="shared" si="174"/>
        <v>ALCOHOL FREE</v>
      </c>
      <c r="W814" t="str">
        <f t="shared" si="175"/>
        <v>120</v>
      </c>
      <c r="X814" s="27">
        <f t="shared" si="176"/>
        <v>25.839099999999998</v>
      </c>
      <c r="Y814" s="27">
        <f t="shared" si="177"/>
        <v>9.0121000000000002</v>
      </c>
      <c r="Z814" s="27">
        <f t="shared" si="178"/>
        <v>10.0204</v>
      </c>
      <c r="AA814" s="27">
        <f t="shared" si="179"/>
        <v>1539.4739</v>
      </c>
      <c r="AB814" s="27">
        <f t="shared" si="180"/>
        <v>509.45670000000001</v>
      </c>
      <c r="AC814" s="27">
        <f t="shared" si="181"/>
        <v>585.52229999999997</v>
      </c>
    </row>
    <row r="815" spans="1:29" ht="15" customHeight="1" x14ac:dyDescent="0.3">
      <c r="A815" s="14" t="s">
        <v>705</v>
      </c>
      <c r="B815" s="15" t="s">
        <v>6</v>
      </c>
      <c r="C815" s="16"/>
      <c r="D815" s="17"/>
      <c r="E815" s="17"/>
      <c r="F815" s="18">
        <v>19.4955</v>
      </c>
      <c r="G815" s="19">
        <v>39.761400000000002</v>
      </c>
      <c r="H815" s="20">
        <v>26.269500000000001</v>
      </c>
      <c r="I815" s="21">
        <v>286.0496</v>
      </c>
      <c r="J815" s="20">
        <v>652.10860000000002</v>
      </c>
      <c r="K815" s="20">
        <v>499.83789999999999</v>
      </c>
      <c r="M815" t="str">
        <f t="shared" si="168"/>
        <v/>
      </c>
      <c r="N815" s="29" t="str">
        <f t="shared" si="169"/>
        <v xml:space="preserve"> Unac Beauty Makers SAN.</v>
      </c>
      <c r="O815" t="str">
        <f t="shared" si="170"/>
        <v>UNAC (UNAC GROUP KOZMETIK SAN.)</v>
      </c>
      <c r="P815" t="str">
        <f t="shared" si="172"/>
        <v/>
      </c>
      <c r="R815" t="str">
        <f t="shared" si="171"/>
        <v/>
      </c>
      <c r="T815" t="s">
        <v>871</v>
      </c>
      <c r="U815" t="str">
        <f t="shared" si="173"/>
        <v/>
      </c>
      <c r="V815" t="str">
        <f t="shared" si="174"/>
        <v/>
      </c>
      <c r="W815" t="str">
        <f t="shared" si="175"/>
        <v/>
      </c>
      <c r="X815" s="27" t="str">
        <f t="shared" si="176"/>
        <v/>
      </c>
      <c r="Y815" s="27" t="str">
        <f t="shared" si="177"/>
        <v/>
      </c>
      <c r="Z815" s="27" t="str">
        <f t="shared" si="178"/>
        <v/>
      </c>
      <c r="AA815" s="27" t="str">
        <f t="shared" si="179"/>
        <v/>
      </c>
      <c r="AB815" s="27" t="str">
        <f t="shared" si="180"/>
        <v/>
      </c>
      <c r="AC815" s="27" t="str">
        <f t="shared" si="181"/>
        <v/>
      </c>
    </row>
    <row r="816" spans="1:29" ht="15" customHeight="1" x14ac:dyDescent="0.3">
      <c r="A816" s="22" t="s">
        <v>706</v>
      </c>
      <c r="B816" s="23" t="s">
        <v>8</v>
      </c>
      <c r="C816" s="23" t="s">
        <v>9</v>
      </c>
      <c r="D816" s="24" t="s">
        <v>249</v>
      </c>
      <c r="E816" s="24" t="s">
        <v>15</v>
      </c>
      <c r="F816" s="18">
        <v>9.0969999999999995</v>
      </c>
      <c r="G816" s="19">
        <v>13.0891</v>
      </c>
      <c r="H816" s="20">
        <v>4.6460999999999997</v>
      </c>
      <c r="I816" s="21">
        <v>134.3818</v>
      </c>
      <c r="J816" s="20">
        <v>186.4109</v>
      </c>
      <c r="K816" s="20">
        <v>56.316099999999999</v>
      </c>
      <c r="M816" t="str">
        <f t="shared" si="168"/>
        <v/>
      </c>
      <c r="N816" s="29" t="str">
        <f t="shared" si="169"/>
        <v xml:space="preserve"> Unac Beauty Makers SAN.</v>
      </c>
      <c r="O816" t="str">
        <f t="shared" si="170"/>
        <v>UNAC (UNAC GROUP KOZMETIK SAN.)</v>
      </c>
      <c r="P816" t="str">
        <f t="shared" si="172"/>
        <v/>
      </c>
      <c r="R816" t="str">
        <f t="shared" si="171"/>
        <v/>
      </c>
      <c r="T816" t="s">
        <v>871</v>
      </c>
      <c r="U816" t="str">
        <f t="shared" si="173"/>
        <v/>
      </c>
      <c r="V816" t="str">
        <f t="shared" si="174"/>
        <v/>
      </c>
      <c r="W816" t="str">
        <f t="shared" si="175"/>
        <v/>
      </c>
      <c r="X816" s="27" t="str">
        <f t="shared" si="176"/>
        <v/>
      </c>
      <c r="Y816" s="27" t="str">
        <f t="shared" si="177"/>
        <v/>
      </c>
      <c r="Z816" s="27" t="str">
        <f t="shared" si="178"/>
        <v/>
      </c>
      <c r="AA816" s="27" t="str">
        <f t="shared" si="179"/>
        <v/>
      </c>
      <c r="AB816" s="27" t="str">
        <f t="shared" si="180"/>
        <v/>
      </c>
      <c r="AC816" s="27" t="str">
        <f t="shared" si="181"/>
        <v/>
      </c>
    </row>
    <row r="817" spans="1:29" ht="15" customHeight="1" x14ac:dyDescent="0.3">
      <c r="A817" s="22" t="s">
        <v>707</v>
      </c>
      <c r="B817" s="23" t="s">
        <v>8</v>
      </c>
      <c r="C817" s="23" t="s">
        <v>9</v>
      </c>
      <c r="D817" s="24" t="s">
        <v>64</v>
      </c>
      <c r="E817" s="24" t="s">
        <v>15</v>
      </c>
      <c r="F817" s="18">
        <v>10.3986</v>
      </c>
      <c r="G817" s="19">
        <v>26.6724</v>
      </c>
      <c r="H817" s="20">
        <v>21.6234</v>
      </c>
      <c r="I817" s="21">
        <v>151.6679</v>
      </c>
      <c r="J817" s="20">
        <v>465.6979</v>
      </c>
      <c r="K817" s="20">
        <v>443.52179999999998</v>
      </c>
      <c r="M817" t="str">
        <f t="shared" si="168"/>
        <v>DOVE BABY RICHMOISTURE ALC.FREE W 50 BAG</v>
      </c>
      <c r="N817" s="29" t="str">
        <f t="shared" si="169"/>
        <v xml:space="preserve"> UniHandle</v>
      </c>
      <c r="O817" t="str">
        <f t="shared" si="170"/>
        <v>DOVE (UNILEVER)</v>
      </c>
      <c r="P817" t="str">
        <f t="shared" si="172"/>
        <v xml:space="preserve"> UniHandle</v>
      </c>
      <c r="R817" t="str">
        <f t="shared" si="171"/>
        <v>DOVE (UNILEVER)</v>
      </c>
      <c r="T817" t="s">
        <v>706</v>
      </c>
      <c r="U817" t="str">
        <f t="shared" si="173"/>
        <v>BAGS</v>
      </c>
      <c r="V817" t="str">
        <f t="shared" si="174"/>
        <v>ALCOHOL FREE &amp; HYPOALLERGENIC</v>
      </c>
      <c r="W817" t="str">
        <f t="shared" si="175"/>
        <v>50</v>
      </c>
      <c r="X817" s="27">
        <f t="shared" si="176"/>
        <v>9.0969999999999995</v>
      </c>
      <c r="Y817" s="27">
        <f t="shared" si="177"/>
        <v>13.0891</v>
      </c>
      <c r="Z817" s="27">
        <f t="shared" si="178"/>
        <v>4.6460999999999997</v>
      </c>
      <c r="AA817" s="27">
        <f t="shared" si="179"/>
        <v>134.3818</v>
      </c>
      <c r="AB817" s="27">
        <f t="shared" si="180"/>
        <v>186.4109</v>
      </c>
      <c r="AC817" s="27">
        <f t="shared" si="181"/>
        <v>56.316099999999999</v>
      </c>
    </row>
    <row r="818" spans="1:29" ht="14.25" customHeight="1" x14ac:dyDescent="0.3">
      <c r="A818" s="25" t="s">
        <v>818</v>
      </c>
      <c r="B818" s="4" t="s">
        <v>5</v>
      </c>
      <c r="C818" s="4"/>
      <c r="D818" s="5"/>
      <c r="E818" s="5"/>
      <c r="F818" s="10">
        <v>1.8396999999999999</v>
      </c>
      <c r="G818" s="11">
        <v>4.3616000000000001</v>
      </c>
      <c r="H818" s="12"/>
      <c r="I818" s="13">
        <v>115.49760000000001</v>
      </c>
      <c r="J818" s="12">
        <v>300.46589999999998</v>
      </c>
      <c r="K818" s="12"/>
      <c r="M818" t="str">
        <f t="shared" si="168"/>
        <v>DOVE BABY SENSITIVE MOISTURE W 50 BAG</v>
      </c>
      <c r="N818" s="29" t="str">
        <f t="shared" si="169"/>
        <v xml:space="preserve"> UniHandle</v>
      </c>
      <c r="O818" t="str">
        <f t="shared" si="170"/>
        <v>DOVE (UNILEVER)</v>
      </c>
      <c r="P818" t="str">
        <f t="shared" si="172"/>
        <v xml:space="preserve"> UniHandle</v>
      </c>
      <c r="R818" t="str">
        <f t="shared" si="171"/>
        <v>DOVE (UNILEVER)</v>
      </c>
      <c r="T818" t="s">
        <v>707</v>
      </c>
      <c r="U818" t="str">
        <f t="shared" si="173"/>
        <v>BAGS</v>
      </c>
      <c r="V818" t="str">
        <f t="shared" si="174"/>
        <v>SENSITIVE</v>
      </c>
      <c r="W818" t="str">
        <f t="shared" si="175"/>
        <v>50</v>
      </c>
      <c r="X818" s="27">
        <f t="shared" si="176"/>
        <v>10.3986</v>
      </c>
      <c r="Y818" s="27">
        <f t="shared" si="177"/>
        <v>26.6724</v>
      </c>
      <c r="Z818" s="27">
        <f t="shared" si="178"/>
        <v>21.6234</v>
      </c>
      <c r="AA818" s="27">
        <f t="shared" si="179"/>
        <v>151.6679</v>
      </c>
      <c r="AB818" s="27">
        <f t="shared" si="180"/>
        <v>465.6979</v>
      </c>
      <c r="AC818" s="27">
        <f t="shared" si="181"/>
        <v>443.52179999999998</v>
      </c>
    </row>
    <row r="819" spans="1:29" ht="15" customHeight="1" x14ac:dyDescent="0.3">
      <c r="A819" s="14" t="s">
        <v>708</v>
      </c>
      <c r="B819" s="15" t="s">
        <v>6</v>
      </c>
      <c r="C819" s="16"/>
      <c r="D819" s="17"/>
      <c r="E819" s="17"/>
      <c r="F819" s="18">
        <v>1.8396999999999999</v>
      </c>
      <c r="G819" s="19">
        <v>4.3616000000000001</v>
      </c>
      <c r="H819" s="20"/>
      <c r="I819" s="21">
        <v>115.49760000000001</v>
      </c>
      <c r="J819" s="20">
        <v>300.46589999999998</v>
      </c>
      <c r="K819" s="20"/>
      <c r="M819" t="str">
        <f t="shared" si="168"/>
        <v/>
      </c>
      <c r="N819" s="29" t="str">
        <f t="shared" si="169"/>
        <v xml:space="preserve"> UniHandle</v>
      </c>
      <c r="O819" t="str">
        <f t="shared" si="170"/>
        <v>DOVE (UNILEVER)</v>
      </c>
      <c r="P819" t="str">
        <f t="shared" si="172"/>
        <v/>
      </c>
      <c r="R819" t="str">
        <f t="shared" si="171"/>
        <v/>
      </c>
      <c r="T819" t="s">
        <v>871</v>
      </c>
      <c r="U819" t="str">
        <f t="shared" si="173"/>
        <v/>
      </c>
      <c r="V819" t="str">
        <f t="shared" si="174"/>
        <v/>
      </c>
      <c r="W819" t="str">
        <f t="shared" si="175"/>
        <v/>
      </c>
      <c r="X819" s="27" t="str">
        <f t="shared" si="176"/>
        <v/>
      </c>
      <c r="Y819" s="27" t="str">
        <f t="shared" si="177"/>
        <v/>
      </c>
      <c r="Z819" s="27" t="str">
        <f t="shared" si="178"/>
        <v/>
      </c>
      <c r="AA819" s="27" t="str">
        <f t="shared" si="179"/>
        <v/>
      </c>
      <c r="AB819" s="27" t="str">
        <f t="shared" si="180"/>
        <v/>
      </c>
      <c r="AC819" s="27" t="str">
        <f t="shared" si="181"/>
        <v/>
      </c>
    </row>
    <row r="820" spans="1:29" ht="15" customHeight="1" x14ac:dyDescent="0.3">
      <c r="A820" s="22" t="s">
        <v>709</v>
      </c>
      <c r="B820" s="23" t="s">
        <v>8</v>
      </c>
      <c r="C820" s="23" t="s">
        <v>9</v>
      </c>
      <c r="D820" s="24" t="s">
        <v>20</v>
      </c>
      <c r="E820" s="24" t="s">
        <v>42</v>
      </c>
      <c r="F820" s="18">
        <v>1.8396999999999999</v>
      </c>
      <c r="G820" s="19">
        <v>4.3616000000000001</v>
      </c>
      <c r="H820" s="20"/>
      <c r="I820" s="21">
        <v>115.49760000000001</v>
      </c>
      <c r="J820" s="20">
        <v>300.46589999999998</v>
      </c>
      <c r="K820" s="20"/>
      <c r="M820" t="str">
        <f t="shared" si="168"/>
        <v/>
      </c>
      <c r="N820" s="29" t="str">
        <f t="shared" si="169"/>
        <v xml:space="preserve"> UniHandle</v>
      </c>
      <c r="O820" t="str">
        <f t="shared" si="170"/>
        <v>DOVE (UNILEVER)</v>
      </c>
      <c r="P820" t="str">
        <f t="shared" si="172"/>
        <v/>
      </c>
      <c r="R820" t="str">
        <f t="shared" si="171"/>
        <v/>
      </c>
      <c r="T820" t="s">
        <v>871</v>
      </c>
      <c r="U820" t="str">
        <f t="shared" si="173"/>
        <v/>
      </c>
      <c r="V820" t="str">
        <f t="shared" si="174"/>
        <v/>
      </c>
      <c r="W820" t="str">
        <f t="shared" si="175"/>
        <v/>
      </c>
      <c r="X820" s="27" t="str">
        <f t="shared" si="176"/>
        <v/>
      </c>
      <c r="Y820" s="27" t="str">
        <f t="shared" si="177"/>
        <v/>
      </c>
      <c r="Z820" s="27" t="str">
        <f t="shared" si="178"/>
        <v/>
      </c>
      <c r="AA820" s="27" t="str">
        <f t="shared" si="179"/>
        <v/>
      </c>
      <c r="AB820" s="27" t="str">
        <f t="shared" si="180"/>
        <v/>
      </c>
      <c r="AC820" s="27" t="str">
        <f t="shared" si="181"/>
        <v/>
      </c>
    </row>
    <row r="821" spans="1:29" x14ac:dyDescent="0.3">
      <c r="M821" t="str">
        <f t="shared" si="168"/>
        <v>BEBECAN BABY PH5.5 W 72 BAG YESIL</v>
      </c>
      <c r="N821" s="29" t="str">
        <f t="shared" si="169"/>
        <v xml:space="preserve"> GreenIlgaz Group</v>
      </c>
      <c r="O821" t="str">
        <f t="shared" si="170"/>
        <v>BEBECAN (YESIL ILGAZ)</v>
      </c>
      <c r="P821" t="str">
        <f t="shared" si="172"/>
        <v xml:space="preserve"> GreenIlgaz Group</v>
      </c>
      <c r="R821" t="str">
        <f t="shared" si="171"/>
        <v>BEBECAN (YESIL ILGAZ)</v>
      </c>
      <c r="T821" t="s">
        <v>709</v>
      </c>
      <c r="U821" t="str">
        <f t="shared" si="173"/>
        <v>BAGS</v>
      </c>
      <c r="V821" t="str">
        <f t="shared" si="174"/>
        <v>PH BALANCED</v>
      </c>
      <c r="W821" t="str">
        <f t="shared" si="175"/>
        <v>72</v>
      </c>
      <c r="X821" s="27">
        <f t="shared" si="176"/>
        <v>1.8396999999999999</v>
      </c>
      <c r="Y821" s="27">
        <f t="shared" si="177"/>
        <v>4.3616000000000001</v>
      </c>
      <c r="Z821" s="27">
        <f t="shared" si="178"/>
        <v>0</v>
      </c>
      <c r="AA821" s="27">
        <f t="shared" si="179"/>
        <v>115.49760000000001</v>
      </c>
      <c r="AB821" s="27">
        <f t="shared" si="180"/>
        <v>300.46589999999998</v>
      </c>
      <c r="AC821" s="27">
        <f t="shared" si="181"/>
        <v>0</v>
      </c>
    </row>
    <row r="822" spans="1:29" x14ac:dyDescent="0.3">
      <c r="M822" t="str">
        <f t="shared" si="168"/>
        <v/>
      </c>
      <c r="N822" s="29" t="str">
        <f t="shared" si="169"/>
        <v xml:space="preserve"> GreenIlgaz Group</v>
      </c>
      <c r="O822" t="str">
        <f t="shared" si="170"/>
        <v>BEBECAN (YESIL ILGAZ)</v>
      </c>
      <c r="P822" t="str">
        <f t="shared" si="172"/>
        <v/>
      </c>
      <c r="X822" s="27" t="str">
        <f t="shared" si="176"/>
        <v/>
      </c>
    </row>
    <row r="823" spans="1:29" x14ac:dyDescent="0.3">
      <c r="M823" t="str">
        <f t="shared" si="168"/>
        <v/>
      </c>
      <c r="N823" s="29" t="str">
        <f t="shared" ref="N823:N854" si="182">IF(B819="MANUFACTURER",A819,"")</f>
        <v/>
      </c>
      <c r="O823" t="str">
        <f t="shared" si="170"/>
        <v>BEBECAN (YESIL ILGAZ)</v>
      </c>
      <c r="P823" t="str">
        <f t="shared" si="172"/>
        <v/>
      </c>
    </row>
    <row r="824" spans="1:29" x14ac:dyDescent="0.3">
      <c r="M824" t="str">
        <f t="shared" si="168"/>
        <v/>
      </c>
      <c r="N824" s="29" t="str">
        <f t="shared" si="182"/>
        <v/>
      </c>
      <c r="O824" t="str">
        <f t="shared" si="170"/>
        <v>BEBECAN (YESIL ILGAZ)</v>
      </c>
      <c r="P824" t="str">
        <f t="shared" si="172"/>
        <v/>
      </c>
    </row>
    <row r="825" spans="1:29" x14ac:dyDescent="0.3">
      <c r="M825" t="str">
        <f t="shared" si="168"/>
        <v/>
      </c>
      <c r="N825" s="29" t="str">
        <f t="shared" si="182"/>
        <v/>
      </c>
      <c r="O825" t="str">
        <f t="shared" si="170"/>
        <v>BEBECAN (YESIL ILGAZ)</v>
      </c>
    </row>
    <row r="826" spans="1:29" x14ac:dyDescent="0.3">
      <c r="N826" s="29" t="str">
        <f t="shared" si="182"/>
        <v/>
      </c>
      <c r="O826" t="str">
        <f t="shared" si="170"/>
        <v>BEBECAN (YESIL ILGAZ)</v>
      </c>
    </row>
    <row r="827" spans="1:29" x14ac:dyDescent="0.3">
      <c r="N827" s="29" t="str">
        <f t="shared" si="182"/>
        <v/>
      </c>
      <c r="O827" t="str">
        <f t="shared" si="170"/>
        <v>BEBECAN (YESIL ILGAZ)</v>
      </c>
    </row>
    <row r="828" spans="1:29" x14ac:dyDescent="0.3">
      <c r="N828" s="29" t="str">
        <f t="shared" si="182"/>
        <v/>
      </c>
      <c r="O828" t="str">
        <f t="shared" si="170"/>
        <v>BEBECAN (YESIL ILGAZ)</v>
      </c>
    </row>
    <row r="829" spans="1:29" x14ac:dyDescent="0.3">
      <c r="N829" s="29" t="str">
        <f t="shared" si="182"/>
        <v/>
      </c>
      <c r="O829" t="str">
        <f t="shared" si="170"/>
        <v>BEBECAN (YESIL ILGAZ)</v>
      </c>
    </row>
    <row r="830" spans="1:29" x14ac:dyDescent="0.3">
      <c r="N830" s="29" t="str">
        <f t="shared" si="182"/>
        <v/>
      </c>
      <c r="O830" t="str">
        <f t="shared" si="170"/>
        <v>BEBECAN (YESIL ILGAZ)</v>
      </c>
    </row>
    <row r="831" spans="1:29" x14ac:dyDescent="0.3">
      <c r="N831" s="29" t="str">
        <f t="shared" si="182"/>
        <v/>
      </c>
      <c r="O831" t="str">
        <f t="shared" si="170"/>
        <v>BEBECAN (YESIL ILGAZ)</v>
      </c>
    </row>
    <row r="832" spans="1:29" x14ac:dyDescent="0.3">
      <c r="N832" s="29" t="str">
        <f t="shared" si="182"/>
        <v/>
      </c>
      <c r="O832" t="str">
        <f t="shared" si="170"/>
        <v>BEBECAN (YESIL ILGAZ)</v>
      </c>
    </row>
    <row r="833" spans="14:15" x14ac:dyDescent="0.3">
      <c r="N833" s="29" t="str">
        <f t="shared" si="182"/>
        <v/>
      </c>
      <c r="O833" t="str">
        <f t="shared" si="170"/>
        <v>BEBECAN (YESIL ILGAZ)</v>
      </c>
    </row>
    <row r="834" spans="14:15" x14ac:dyDescent="0.3">
      <c r="N834" s="29" t="str">
        <f t="shared" si="182"/>
        <v/>
      </c>
      <c r="O834" t="str">
        <f t="shared" si="170"/>
        <v>BEBECAN (YESIL ILGAZ)</v>
      </c>
    </row>
    <row r="835" spans="14:15" x14ac:dyDescent="0.3">
      <c r="N835" s="29" t="str">
        <f t="shared" si="182"/>
        <v/>
      </c>
      <c r="O835" t="str">
        <f t="shared" si="170"/>
        <v>BEBECAN (YESIL ILGAZ)</v>
      </c>
    </row>
    <row r="836" spans="14:15" x14ac:dyDescent="0.3">
      <c r="N836" s="29" t="str">
        <f t="shared" si="182"/>
        <v/>
      </c>
      <c r="O836" t="str">
        <f t="shared" si="170"/>
        <v>BEBECAN (YESIL ILGAZ)</v>
      </c>
    </row>
    <row r="837" spans="14:15" x14ac:dyDescent="0.3">
      <c r="N837" s="29" t="str">
        <f t="shared" si="182"/>
        <v/>
      </c>
    </row>
    <row r="838" spans="14:15" x14ac:dyDescent="0.3">
      <c r="N838" s="29" t="str">
        <f t="shared" si="182"/>
        <v/>
      </c>
    </row>
    <row r="839" spans="14:15" x14ac:dyDescent="0.3">
      <c r="N839" s="29" t="str">
        <f t="shared" si="182"/>
        <v/>
      </c>
    </row>
    <row r="840" spans="14:15" x14ac:dyDescent="0.3">
      <c r="N840" s="29" t="str">
        <f t="shared" si="182"/>
        <v/>
      </c>
    </row>
    <row r="841" spans="14:15" x14ac:dyDescent="0.3">
      <c r="N841" s="29" t="str">
        <f t="shared" si="182"/>
        <v/>
      </c>
    </row>
    <row r="842" spans="14:15" x14ac:dyDescent="0.3">
      <c r="N842" s="29" t="str">
        <f t="shared" si="182"/>
        <v/>
      </c>
    </row>
    <row r="843" spans="14:15" x14ac:dyDescent="0.3">
      <c r="N843" s="29" t="str">
        <f t="shared" si="182"/>
        <v/>
      </c>
    </row>
    <row r="844" spans="14:15" x14ac:dyDescent="0.3">
      <c r="N844" s="29" t="str">
        <f t="shared" si="182"/>
        <v/>
      </c>
    </row>
    <row r="845" spans="14:15" x14ac:dyDescent="0.3">
      <c r="N845" s="29" t="str">
        <f t="shared" si="182"/>
        <v/>
      </c>
    </row>
    <row r="846" spans="14:15" x14ac:dyDescent="0.3">
      <c r="N846" s="29" t="str">
        <f t="shared" si="182"/>
        <v/>
      </c>
    </row>
    <row r="847" spans="14:15" x14ac:dyDescent="0.3">
      <c r="N847" s="29" t="str">
        <f t="shared" si="182"/>
        <v/>
      </c>
    </row>
    <row r="848" spans="14:15" x14ac:dyDescent="0.3">
      <c r="N848" s="29" t="str">
        <f t="shared" si="182"/>
        <v/>
      </c>
    </row>
    <row r="849" spans="14:14" x14ac:dyDescent="0.3">
      <c r="N849" s="29" t="str">
        <f t="shared" si="182"/>
        <v/>
      </c>
    </row>
    <row r="850" spans="14:14" x14ac:dyDescent="0.3">
      <c r="N850" s="29" t="str">
        <f t="shared" si="182"/>
        <v/>
      </c>
    </row>
    <row r="851" spans="14:14" x14ac:dyDescent="0.3">
      <c r="N851" s="29" t="str">
        <f t="shared" si="182"/>
        <v/>
      </c>
    </row>
    <row r="852" spans="14:14" x14ac:dyDescent="0.3">
      <c r="N852" s="29" t="str">
        <f t="shared" si="182"/>
        <v/>
      </c>
    </row>
    <row r="853" spans="14:14" x14ac:dyDescent="0.3">
      <c r="N853" s="29" t="str">
        <f t="shared" si="182"/>
        <v/>
      </c>
    </row>
    <row r="854" spans="14:14" x14ac:dyDescent="0.3">
      <c r="N854" s="29" t="str">
        <f t="shared" si="182"/>
        <v/>
      </c>
    </row>
    <row r="855" spans="14:14" x14ac:dyDescent="0.3">
      <c r="N855" s="29" t="str">
        <f t="shared" ref="N855:N886" si="183">IF(B851="MANUFACTURER",A851,"")</f>
        <v/>
      </c>
    </row>
    <row r="856" spans="14:14" x14ac:dyDescent="0.3">
      <c r="N856" s="29" t="str">
        <f t="shared" si="183"/>
        <v/>
      </c>
    </row>
    <row r="857" spans="14:14" x14ac:dyDescent="0.3">
      <c r="N857" s="29" t="str">
        <f t="shared" si="183"/>
        <v/>
      </c>
    </row>
    <row r="858" spans="14:14" x14ac:dyDescent="0.3">
      <c r="N858" s="29" t="str">
        <f t="shared" si="183"/>
        <v/>
      </c>
    </row>
    <row r="859" spans="14:14" x14ac:dyDescent="0.3">
      <c r="N859" s="29" t="str">
        <f t="shared" si="183"/>
        <v/>
      </c>
    </row>
    <row r="860" spans="14:14" x14ac:dyDescent="0.3">
      <c r="N860" s="29" t="str">
        <f t="shared" si="183"/>
        <v/>
      </c>
    </row>
    <row r="861" spans="14:14" x14ac:dyDescent="0.3">
      <c r="N861" s="29" t="str">
        <f t="shared" si="183"/>
        <v/>
      </c>
    </row>
    <row r="862" spans="14:14" x14ac:dyDescent="0.3">
      <c r="N862" s="29" t="str">
        <f t="shared" si="183"/>
        <v/>
      </c>
    </row>
    <row r="863" spans="14:14" x14ac:dyDescent="0.3">
      <c r="N863" s="29" t="str">
        <f t="shared" si="183"/>
        <v/>
      </c>
    </row>
    <row r="864" spans="14:14" x14ac:dyDescent="0.3">
      <c r="N864" s="29" t="str">
        <f t="shared" si="183"/>
        <v/>
      </c>
    </row>
    <row r="865" spans="14:14" x14ac:dyDescent="0.3">
      <c r="N865" s="29" t="str">
        <f t="shared" si="183"/>
        <v/>
      </c>
    </row>
    <row r="866" spans="14:14" x14ac:dyDescent="0.3">
      <c r="N866" s="29" t="str">
        <f t="shared" si="183"/>
        <v/>
      </c>
    </row>
    <row r="867" spans="14:14" x14ac:dyDescent="0.3">
      <c r="N867" s="29" t="str">
        <f t="shared" si="183"/>
        <v/>
      </c>
    </row>
    <row r="868" spans="14:14" x14ac:dyDescent="0.3">
      <c r="N868" s="29" t="str">
        <f t="shared" si="183"/>
        <v/>
      </c>
    </row>
    <row r="869" spans="14:14" x14ac:dyDescent="0.3">
      <c r="N869" s="29" t="str">
        <f t="shared" si="183"/>
        <v/>
      </c>
    </row>
    <row r="870" spans="14:14" x14ac:dyDescent="0.3">
      <c r="N870" s="29" t="str">
        <f t="shared" si="183"/>
        <v/>
      </c>
    </row>
    <row r="871" spans="14:14" x14ac:dyDescent="0.3">
      <c r="N871" s="29" t="str">
        <f t="shared" si="183"/>
        <v/>
      </c>
    </row>
    <row r="872" spans="14:14" x14ac:dyDescent="0.3">
      <c r="N872" s="29" t="str">
        <f t="shared" si="183"/>
        <v/>
      </c>
    </row>
    <row r="873" spans="14:14" x14ac:dyDescent="0.3">
      <c r="N873" s="29" t="str">
        <f t="shared" si="183"/>
        <v/>
      </c>
    </row>
    <row r="874" spans="14:14" x14ac:dyDescent="0.3">
      <c r="N874" s="29" t="str">
        <f t="shared" si="183"/>
        <v/>
      </c>
    </row>
    <row r="875" spans="14:14" x14ac:dyDescent="0.3">
      <c r="N875" s="29" t="str">
        <f t="shared" si="183"/>
        <v/>
      </c>
    </row>
    <row r="876" spans="14:14" x14ac:dyDescent="0.3">
      <c r="N876" s="29" t="str">
        <f t="shared" si="183"/>
        <v/>
      </c>
    </row>
    <row r="877" spans="14:14" x14ac:dyDescent="0.3">
      <c r="N877" s="29" t="str">
        <f t="shared" si="183"/>
        <v/>
      </c>
    </row>
    <row r="878" spans="14:14" x14ac:dyDescent="0.3">
      <c r="N878" s="29" t="str">
        <f t="shared" si="183"/>
        <v/>
      </c>
    </row>
    <row r="879" spans="14:14" x14ac:dyDescent="0.3">
      <c r="N879" s="29" t="str">
        <f t="shared" si="183"/>
        <v/>
      </c>
    </row>
    <row r="880" spans="14:14" x14ac:dyDescent="0.3">
      <c r="N880" s="29" t="str">
        <f t="shared" si="183"/>
        <v/>
      </c>
    </row>
    <row r="881" spans="14:14" x14ac:dyDescent="0.3">
      <c r="N881" s="29" t="str">
        <f t="shared" si="183"/>
        <v/>
      </c>
    </row>
    <row r="882" spans="14:14" x14ac:dyDescent="0.3">
      <c r="N882" s="29" t="str">
        <f t="shared" si="183"/>
        <v/>
      </c>
    </row>
    <row r="883" spans="14:14" x14ac:dyDescent="0.3">
      <c r="N883" s="29" t="str">
        <f t="shared" si="183"/>
        <v/>
      </c>
    </row>
    <row r="884" spans="14:14" x14ac:dyDescent="0.3">
      <c r="N884" s="29" t="str">
        <f t="shared" si="183"/>
        <v/>
      </c>
    </row>
    <row r="885" spans="14:14" x14ac:dyDescent="0.3">
      <c r="N885" s="29" t="str">
        <f t="shared" si="183"/>
        <v/>
      </c>
    </row>
    <row r="886" spans="14:14" x14ac:dyDescent="0.3">
      <c r="N886" s="29" t="str">
        <f t="shared" si="183"/>
        <v/>
      </c>
    </row>
    <row r="887" spans="14:14" x14ac:dyDescent="0.3">
      <c r="N887" s="29" t="str">
        <f t="shared" ref="N887:N918" si="184">IF(B883="MANUFACTURER",A883,"")</f>
        <v/>
      </c>
    </row>
    <row r="888" spans="14:14" x14ac:dyDescent="0.3">
      <c r="N888" s="29" t="str">
        <f t="shared" si="184"/>
        <v/>
      </c>
    </row>
    <row r="889" spans="14:14" x14ac:dyDescent="0.3">
      <c r="N889" s="29" t="str">
        <f t="shared" si="184"/>
        <v/>
      </c>
    </row>
    <row r="890" spans="14:14" x14ac:dyDescent="0.3">
      <c r="N890" s="29" t="str">
        <f t="shared" si="184"/>
        <v/>
      </c>
    </row>
    <row r="891" spans="14:14" x14ac:dyDescent="0.3">
      <c r="N891" s="29" t="str">
        <f t="shared" si="184"/>
        <v/>
      </c>
    </row>
    <row r="892" spans="14:14" x14ac:dyDescent="0.3">
      <c r="N892" s="29" t="str">
        <f t="shared" si="184"/>
        <v/>
      </c>
    </row>
    <row r="893" spans="14:14" x14ac:dyDescent="0.3">
      <c r="N893" s="29" t="str">
        <f t="shared" si="184"/>
        <v/>
      </c>
    </row>
    <row r="894" spans="14:14" x14ac:dyDescent="0.3">
      <c r="N894" s="29" t="str">
        <f t="shared" si="184"/>
        <v/>
      </c>
    </row>
    <row r="895" spans="14:14" x14ac:dyDescent="0.3">
      <c r="N895" s="29" t="str">
        <f t="shared" si="184"/>
        <v/>
      </c>
    </row>
    <row r="896" spans="14:14" x14ac:dyDescent="0.3">
      <c r="N896" s="29" t="str">
        <f t="shared" si="184"/>
        <v/>
      </c>
    </row>
    <row r="897" spans="14:14" x14ac:dyDescent="0.3">
      <c r="N897" s="29" t="str">
        <f t="shared" si="184"/>
        <v/>
      </c>
    </row>
    <row r="898" spans="14:14" x14ac:dyDescent="0.3">
      <c r="N898" s="29" t="str">
        <f t="shared" si="184"/>
        <v/>
      </c>
    </row>
    <row r="899" spans="14:14" x14ac:dyDescent="0.3">
      <c r="N899" s="29" t="str">
        <f t="shared" si="184"/>
        <v/>
      </c>
    </row>
    <row r="900" spans="14:14" x14ac:dyDescent="0.3">
      <c r="N900" s="29" t="str">
        <f t="shared" si="184"/>
        <v/>
      </c>
    </row>
    <row r="901" spans="14:14" x14ac:dyDescent="0.3">
      <c r="N901" s="29" t="str">
        <f t="shared" si="184"/>
        <v/>
      </c>
    </row>
    <row r="902" spans="14:14" x14ac:dyDescent="0.3">
      <c r="N902" s="29" t="str">
        <f t="shared" si="184"/>
        <v/>
      </c>
    </row>
    <row r="903" spans="14:14" x14ac:dyDescent="0.3">
      <c r="N903" s="29" t="str">
        <f t="shared" si="184"/>
        <v/>
      </c>
    </row>
    <row r="904" spans="14:14" x14ac:dyDescent="0.3">
      <c r="N904" s="29" t="str">
        <f t="shared" si="184"/>
        <v/>
      </c>
    </row>
    <row r="905" spans="14:14" x14ac:dyDescent="0.3">
      <c r="N905" s="29" t="str">
        <f t="shared" si="184"/>
        <v/>
      </c>
    </row>
    <row r="906" spans="14:14" x14ac:dyDescent="0.3">
      <c r="N906" s="29" t="str">
        <f t="shared" si="184"/>
        <v/>
      </c>
    </row>
    <row r="907" spans="14:14" x14ac:dyDescent="0.3">
      <c r="N907" s="29" t="str">
        <f t="shared" si="184"/>
        <v/>
      </c>
    </row>
    <row r="908" spans="14:14" x14ac:dyDescent="0.3">
      <c r="N908" s="29" t="str">
        <f t="shared" si="184"/>
        <v/>
      </c>
    </row>
    <row r="909" spans="14:14" x14ac:dyDescent="0.3">
      <c r="N909" s="29" t="str">
        <f t="shared" si="184"/>
        <v/>
      </c>
    </row>
    <row r="910" spans="14:14" x14ac:dyDescent="0.3">
      <c r="N910" s="29" t="str">
        <f t="shared" si="184"/>
        <v/>
      </c>
    </row>
    <row r="911" spans="14:14" x14ac:dyDescent="0.3">
      <c r="N911" s="29" t="str">
        <f t="shared" si="184"/>
        <v/>
      </c>
    </row>
    <row r="912" spans="14:14" x14ac:dyDescent="0.3">
      <c r="N912" s="29" t="str">
        <f t="shared" si="184"/>
        <v/>
      </c>
    </row>
    <row r="913" spans="14:14" x14ac:dyDescent="0.3">
      <c r="N913" s="29" t="str">
        <f t="shared" si="184"/>
        <v/>
      </c>
    </row>
    <row r="914" spans="14:14" x14ac:dyDescent="0.3">
      <c r="N914" s="29" t="str">
        <f t="shared" si="184"/>
        <v/>
      </c>
    </row>
    <row r="915" spans="14:14" x14ac:dyDescent="0.3">
      <c r="N915" s="29" t="str">
        <f t="shared" si="184"/>
        <v/>
      </c>
    </row>
    <row r="916" spans="14:14" x14ac:dyDescent="0.3">
      <c r="N916" s="29" t="str">
        <f t="shared" si="184"/>
        <v/>
      </c>
    </row>
    <row r="917" spans="14:14" x14ac:dyDescent="0.3">
      <c r="N917" s="29" t="str">
        <f t="shared" si="184"/>
        <v/>
      </c>
    </row>
    <row r="918" spans="14:14" x14ac:dyDescent="0.3">
      <c r="N918" s="29" t="str">
        <f t="shared" si="184"/>
        <v/>
      </c>
    </row>
    <row r="919" spans="14:14" x14ac:dyDescent="0.3">
      <c r="N919" s="29" t="str">
        <f t="shared" ref="N919:N950" si="185">IF(B915="MANUFACTURER",A915,"")</f>
        <v/>
      </c>
    </row>
    <row r="920" spans="14:14" x14ac:dyDescent="0.3">
      <c r="N920" s="29" t="str">
        <f t="shared" si="185"/>
        <v/>
      </c>
    </row>
    <row r="921" spans="14:14" x14ac:dyDescent="0.3">
      <c r="N921" s="29" t="str">
        <f t="shared" si="185"/>
        <v/>
      </c>
    </row>
    <row r="922" spans="14:14" x14ac:dyDescent="0.3">
      <c r="N922" s="29" t="str">
        <f t="shared" si="185"/>
        <v/>
      </c>
    </row>
    <row r="923" spans="14:14" x14ac:dyDescent="0.3">
      <c r="N923" s="29" t="str">
        <f t="shared" si="185"/>
        <v/>
      </c>
    </row>
    <row r="924" spans="14:14" x14ac:dyDescent="0.3">
      <c r="N924" s="29" t="str">
        <f t="shared" si="185"/>
        <v/>
      </c>
    </row>
    <row r="925" spans="14:14" x14ac:dyDescent="0.3">
      <c r="N925" s="29" t="str">
        <f t="shared" si="185"/>
        <v/>
      </c>
    </row>
    <row r="926" spans="14:14" x14ac:dyDescent="0.3">
      <c r="N926" s="29" t="str">
        <f t="shared" si="185"/>
        <v/>
      </c>
    </row>
    <row r="927" spans="14:14" x14ac:dyDescent="0.3">
      <c r="N927" s="29" t="str">
        <f t="shared" si="185"/>
        <v/>
      </c>
    </row>
    <row r="928" spans="14:14" x14ac:dyDescent="0.3">
      <c r="N928" s="29" t="str">
        <f t="shared" si="185"/>
        <v/>
      </c>
    </row>
    <row r="929" spans="14:14" x14ac:dyDescent="0.3">
      <c r="N929" s="29" t="str">
        <f t="shared" si="185"/>
        <v/>
      </c>
    </row>
    <row r="930" spans="14:14" x14ac:dyDescent="0.3">
      <c r="N930" s="29" t="str">
        <f t="shared" si="185"/>
        <v/>
      </c>
    </row>
    <row r="931" spans="14:14" x14ac:dyDescent="0.3">
      <c r="N931" s="29" t="str">
        <f t="shared" si="185"/>
        <v/>
      </c>
    </row>
    <row r="932" spans="14:14" x14ac:dyDescent="0.3">
      <c r="N932" s="29" t="str">
        <f t="shared" si="185"/>
        <v/>
      </c>
    </row>
    <row r="933" spans="14:14" x14ac:dyDescent="0.3">
      <c r="N933" s="29" t="str">
        <f t="shared" si="185"/>
        <v/>
      </c>
    </row>
    <row r="934" spans="14:14" x14ac:dyDescent="0.3">
      <c r="N934" s="29" t="str">
        <f t="shared" si="185"/>
        <v/>
      </c>
    </row>
    <row r="935" spans="14:14" x14ac:dyDescent="0.3">
      <c r="N935" s="29" t="str">
        <f t="shared" si="185"/>
        <v/>
      </c>
    </row>
    <row r="936" spans="14:14" x14ac:dyDescent="0.3">
      <c r="N936" s="29" t="str">
        <f t="shared" si="185"/>
        <v/>
      </c>
    </row>
    <row r="937" spans="14:14" x14ac:dyDescent="0.3">
      <c r="N937" s="29" t="str">
        <f t="shared" si="185"/>
        <v/>
      </c>
    </row>
    <row r="938" spans="14:14" x14ac:dyDescent="0.3">
      <c r="N938" s="29" t="str">
        <f t="shared" si="185"/>
        <v/>
      </c>
    </row>
    <row r="939" spans="14:14" x14ac:dyDescent="0.3">
      <c r="N939" s="29" t="str">
        <f t="shared" si="185"/>
        <v/>
      </c>
    </row>
    <row r="940" spans="14:14" x14ac:dyDescent="0.3">
      <c r="N940" s="29" t="str">
        <f t="shared" si="185"/>
        <v/>
      </c>
    </row>
    <row r="941" spans="14:14" x14ac:dyDescent="0.3">
      <c r="N941" s="29" t="str">
        <f t="shared" si="185"/>
        <v/>
      </c>
    </row>
    <row r="942" spans="14:14" x14ac:dyDescent="0.3">
      <c r="N942" s="29" t="str">
        <f t="shared" si="185"/>
        <v/>
      </c>
    </row>
    <row r="943" spans="14:14" x14ac:dyDescent="0.3">
      <c r="N943" s="29" t="str">
        <f t="shared" si="185"/>
        <v/>
      </c>
    </row>
    <row r="944" spans="14:14" x14ac:dyDescent="0.3">
      <c r="N944" s="29" t="str">
        <f t="shared" si="185"/>
        <v/>
      </c>
    </row>
    <row r="945" spans="14:14" x14ac:dyDescent="0.3">
      <c r="N945" s="29" t="str">
        <f t="shared" si="185"/>
        <v/>
      </c>
    </row>
    <row r="946" spans="14:14" x14ac:dyDescent="0.3">
      <c r="N946" s="29" t="str">
        <f t="shared" si="185"/>
        <v/>
      </c>
    </row>
    <row r="947" spans="14:14" x14ac:dyDescent="0.3">
      <c r="N947" s="29" t="str">
        <f t="shared" si="185"/>
        <v/>
      </c>
    </row>
    <row r="948" spans="14:14" x14ac:dyDescent="0.3">
      <c r="N948" s="29" t="str">
        <f t="shared" si="185"/>
        <v/>
      </c>
    </row>
    <row r="949" spans="14:14" x14ac:dyDescent="0.3">
      <c r="N949" s="29" t="str">
        <f t="shared" si="185"/>
        <v/>
      </c>
    </row>
    <row r="950" spans="14:14" x14ac:dyDescent="0.3">
      <c r="N950" s="29" t="str">
        <f t="shared" si="185"/>
        <v/>
      </c>
    </row>
    <row r="951" spans="14:14" x14ac:dyDescent="0.3">
      <c r="N951" s="29" t="str">
        <f t="shared" ref="N951:N982" si="186">IF(B947="MANUFACTURER",A947,"")</f>
        <v/>
      </c>
    </row>
    <row r="952" spans="14:14" x14ac:dyDescent="0.3">
      <c r="N952" s="29" t="str">
        <f t="shared" si="186"/>
        <v/>
      </c>
    </row>
    <row r="953" spans="14:14" x14ac:dyDescent="0.3">
      <c r="N953" s="29" t="str">
        <f t="shared" si="186"/>
        <v/>
      </c>
    </row>
    <row r="954" spans="14:14" x14ac:dyDescent="0.3">
      <c r="N954" s="29" t="str">
        <f t="shared" si="186"/>
        <v/>
      </c>
    </row>
    <row r="955" spans="14:14" x14ac:dyDescent="0.3">
      <c r="N955" s="29" t="str">
        <f t="shared" si="186"/>
        <v/>
      </c>
    </row>
    <row r="956" spans="14:14" x14ac:dyDescent="0.3">
      <c r="N956" s="29" t="str">
        <f t="shared" si="186"/>
        <v/>
      </c>
    </row>
    <row r="957" spans="14:14" x14ac:dyDescent="0.3">
      <c r="N957" s="29" t="str">
        <f t="shared" si="186"/>
        <v/>
      </c>
    </row>
    <row r="958" spans="14:14" x14ac:dyDescent="0.3">
      <c r="N958" s="29" t="str">
        <f t="shared" si="186"/>
        <v/>
      </c>
    </row>
    <row r="959" spans="14:14" x14ac:dyDescent="0.3">
      <c r="N959" s="29" t="str">
        <f t="shared" si="186"/>
        <v/>
      </c>
    </row>
    <row r="960" spans="14:14" x14ac:dyDescent="0.3">
      <c r="N960" s="29" t="str">
        <f t="shared" si="186"/>
        <v/>
      </c>
    </row>
    <row r="961" spans="14:14" x14ac:dyDescent="0.3">
      <c r="N961" s="29" t="str">
        <f t="shared" si="186"/>
        <v/>
      </c>
    </row>
    <row r="962" spans="14:14" x14ac:dyDescent="0.3">
      <c r="N962" s="29" t="str">
        <f t="shared" si="186"/>
        <v/>
      </c>
    </row>
    <row r="963" spans="14:14" x14ac:dyDescent="0.3">
      <c r="N963" s="29" t="str">
        <f t="shared" si="186"/>
        <v/>
      </c>
    </row>
    <row r="964" spans="14:14" x14ac:dyDescent="0.3">
      <c r="N964" s="29" t="str">
        <f t="shared" si="186"/>
        <v/>
      </c>
    </row>
    <row r="965" spans="14:14" x14ac:dyDescent="0.3">
      <c r="N965" s="29" t="str">
        <f t="shared" si="186"/>
        <v/>
      </c>
    </row>
    <row r="966" spans="14:14" x14ac:dyDescent="0.3">
      <c r="N966" s="29" t="str">
        <f t="shared" si="186"/>
        <v/>
      </c>
    </row>
    <row r="967" spans="14:14" x14ac:dyDescent="0.3">
      <c r="N967" s="29" t="str">
        <f t="shared" si="186"/>
        <v/>
      </c>
    </row>
    <row r="968" spans="14:14" x14ac:dyDescent="0.3">
      <c r="N968" s="29" t="str">
        <f t="shared" si="186"/>
        <v/>
      </c>
    </row>
    <row r="969" spans="14:14" x14ac:dyDescent="0.3">
      <c r="N969" s="29" t="str">
        <f t="shared" si="186"/>
        <v/>
      </c>
    </row>
    <row r="970" spans="14:14" x14ac:dyDescent="0.3">
      <c r="N970" s="29" t="str">
        <f t="shared" si="186"/>
        <v/>
      </c>
    </row>
    <row r="971" spans="14:14" x14ac:dyDescent="0.3">
      <c r="N971" s="29" t="str">
        <f t="shared" si="186"/>
        <v/>
      </c>
    </row>
    <row r="972" spans="14:14" x14ac:dyDescent="0.3">
      <c r="N972" s="29" t="str">
        <f t="shared" si="186"/>
        <v/>
      </c>
    </row>
    <row r="973" spans="14:14" x14ac:dyDescent="0.3">
      <c r="N973" s="29" t="str">
        <f t="shared" si="186"/>
        <v/>
      </c>
    </row>
    <row r="974" spans="14:14" x14ac:dyDescent="0.3">
      <c r="N974" s="29" t="str">
        <f t="shared" si="186"/>
        <v/>
      </c>
    </row>
    <row r="975" spans="14:14" x14ac:dyDescent="0.3">
      <c r="N975" s="29" t="str">
        <f t="shared" si="186"/>
        <v/>
      </c>
    </row>
    <row r="976" spans="14:14" x14ac:dyDescent="0.3">
      <c r="N976" s="29" t="str">
        <f t="shared" si="186"/>
        <v/>
      </c>
    </row>
    <row r="977" spans="14:14" x14ac:dyDescent="0.3">
      <c r="N977" s="29" t="str">
        <f t="shared" si="186"/>
        <v/>
      </c>
    </row>
    <row r="978" spans="14:14" x14ac:dyDescent="0.3">
      <c r="N978" s="29" t="str">
        <f t="shared" si="186"/>
        <v/>
      </c>
    </row>
    <row r="979" spans="14:14" x14ac:dyDescent="0.3">
      <c r="N979" s="29" t="str">
        <f t="shared" si="186"/>
        <v/>
      </c>
    </row>
    <row r="980" spans="14:14" x14ac:dyDescent="0.3">
      <c r="N980" s="29" t="str">
        <f t="shared" si="186"/>
        <v/>
      </c>
    </row>
    <row r="981" spans="14:14" x14ac:dyDescent="0.3">
      <c r="N981" s="29" t="str">
        <f t="shared" si="186"/>
        <v/>
      </c>
    </row>
    <row r="982" spans="14:14" x14ac:dyDescent="0.3">
      <c r="N982" s="29" t="str">
        <f t="shared" si="186"/>
        <v/>
      </c>
    </row>
    <row r="983" spans="14:14" x14ac:dyDescent="0.3">
      <c r="N983" s="29" t="str">
        <f t="shared" ref="N983:N992" si="187">IF(B979="MANUFACTURER",A979,"")</f>
        <v/>
      </c>
    </row>
    <row r="984" spans="14:14" x14ac:dyDescent="0.3">
      <c r="N984" s="29" t="str">
        <f t="shared" si="187"/>
        <v/>
      </c>
    </row>
    <row r="985" spans="14:14" x14ac:dyDescent="0.3">
      <c r="N985" s="29" t="str">
        <f t="shared" si="187"/>
        <v/>
      </c>
    </row>
    <row r="986" spans="14:14" x14ac:dyDescent="0.3">
      <c r="N986" s="29" t="str">
        <f t="shared" si="187"/>
        <v/>
      </c>
    </row>
    <row r="987" spans="14:14" x14ac:dyDescent="0.3">
      <c r="N987" s="29" t="str">
        <f t="shared" si="187"/>
        <v/>
      </c>
    </row>
    <row r="988" spans="14:14" x14ac:dyDescent="0.3">
      <c r="N988" s="29" t="str">
        <f t="shared" si="187"/>
        <v/>
      </c>
    </row>
    <row r="989" spans="14:14" x14ac:dyDescent="0.3">
      <c r="N989" s="29" t="str">
        <f t="shared" si="187"/>
        <v/>
      </c>
    </row>
    <row r="990" spans="14:14" x14ac:dyDescent="0.3">
      <c r="N990" s="29" t="str">
        <f t="shared" si="187"/>
        <v/>
      </c>
    </row>
    <row r="991" spans="14:14" x14ac:dyDescent="0.3">
      <c r="N991" s="29" t="str">
        <f t="shared" si="187"/>
        <v/>
      </c>
    </row>
    <row r="992" spans="14:14" x14ac:dyDescent="0.3">
      <c r="N992" s="29" t="str">
        <f t="shared" si="187"/>
        <v/>
      </c>
    </row>
  </sheetData>
  <mergeCells count="3">
    <mergeCell ref="A1:E2"/>
    <mergeCell ref="F1:H1"/>
    <mergeCell ref="I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DE73-C017-4202-BF50-A40429C76C93}">
  <dimension ref="A3:Z111"/>
  <sheetViews>
    <sheetView tabSelected="1" workbookViewId="0">
      <pane xSplit="1" topLeftCell="R1" activePane="topRight" state="frozen"/>
      <selection pane="topRight" activeCell="S4" sqref="S4:S6"/>
    </sheetView>
  </sheetViews>
  <sheetFormatPr defaultRowHeight="14.4" x14ac:dyDescent="0.3"/>
  <cols>
    <col min="1" max="1" width="35.21875" bestFit="1" customWidth="1"/>
    <col min="2" max="4" width="23.33203125" bestFit="1" customWidth="1"/>
    <col min="5" max="7" width="24.109375" bestFit="1" customWidth="1"/>
    <col min="8" max="10" width="24.5546875" bestFit="1" customWidth="1"/>
    <col min="11" max="11" width="23.6640625" bestFit="1" customWidth="1"/>
    <col min="12" max="13" width="24.6640625" bestFit="1" customWidth="1"/>
    <col min="14" max="16" width="24.5546875" customWidth="1"/>
    <col min="17" max="17" width="24.5546875" style="30" customWidth="1"/>
    <col min="18" max="18" width="19.21875" bestFit="1" customWidth="1"/>
    <col min="19" max="19" width="9.77734375" customWidth="1"/>
    <col min="20" max="20" width="26.77734375" bestFit="1" customWidth="1"/>
    <col min="21" max="21" width="17.5546875" bestFit="1" customWidth="1"/>
    <col min="22" max="22" width="17.5546875" customWidth="1"/>
    <col min="23" max="23" width="25" bestFit="1" customWidth="1"/>
    <col min="24" max="24" width="31.5546875" bestFit="1" customWidth="1"/>
    <col min="25" max="25" width="25" bestFit="1" customWidth="1"/>
    <col min="26" max="26" width="31.5546875" bestFit="1" customWidth="1"/>
    <col min="27" max="27" width="26.88671875" bestFit="1" customWidth="1"/>
    <col min="28" max="28" width="20.77734375" bestFit="1" customWidth="1"/>
    <col min="29" max="29" width="20.6640625" bestFit="1" customWidth="1"/>
    <col min="30" max="30" width="20.5546875" bestFit="1" customWidth="1"/>
    <col min="31" max="31" width="27.5546875" bestFit="1" customWidth="1"/>
    <col min="32" max="32" width="17.5546875" bestFit="1" customWidth="1"/>
    <col min="33" max="33" width="26.6640625" bestFit="1" customWidth="1"/>
    <col min="34" max="34" width="20.109375" bestFit="1" customWidth="1"/>
    <col min="35" max="35" width="20.6640625" bestFit="1" customWidth="1"/>
    <col min="36" max="36" width="40.33203125" bestFit="1" customWidth="1"/>
    <col min="37" max="37" width="21.77734375" bestFit="1" customWidth="1"/>
    <col min="38" max="38" width="16.44140625" bestFit="1" customWidth="1"/>
    <col min="39" max="39" width="25.88671875" bestFit="1" customWidth="1"/>
    <col min="40" max="40" width="28.44140625" bestFit="1" customWidth="1"/>
    <col min="41" max="41" width="39.77734375" bestFit="1" customWidth="1"/>
    <col min="42" max="42" width="35.5546875" bestFit="1" customWidth="1"/>
    <col min="43" max="43" width="28.5546875" bestFit="1" customWidth="1"/>
    <col min="44" max="44" width="27.21875" bestFit="1" customWidth="1"/>
    <col min="45" max="45" width="17" bestFit="1" customWidth="1"/>
    <col min="46" max="46" width="19.6640625" bestFit="1" customWidth="1"/>
    <col min="47" max="47" width="26.6640625" bestFit="1" customWidth="1"/>
    <col min="48" max="48" width="19.88671875" bestFit="1" customWidth="1"/>
    <col min="49" max="49" width="31.109375" bestFit="1" customWidth="1"/>
    <col min="50" max="50" width="6.77734375" bestFit="1" customWidth="1"/>
    <col min="51" max="51" width="26.5546875" bestFit="1" customWidth="1"/>
    <col min="52" max="52" width="29.6640625" bestFit="1" customWidth="1"/>
    <col min="53" max="53" width="14.5546875" bestFit="1" customWidth="1"/>
    <col min="54" max="54" width="32" bestFit="1" customWidth="1"/>
    <col min="55" max="55" width="16.109375" bestFit="1" customWidth="1"/>
    <col min="56" max="56" width="19" bestFit="1" customWidth="1"/>
    <col min="57" max="57" width="23.109375" bestFit="1" customWidth="1"/>
    <col min="58" max="58" width="20" bestFit="1" customWidth="1"/>
    <col min="59" max="59" width="18.21875" bestFit="1" customWidth="1"/>
    <col min="60" max="60" width="27.5546875" bestFit="1" customWidth="1"/>
    <col min="61" max="61" width="23" bestFit="1" customWidth="1"/>
    <col min="62" max="62" width="27" bestFit="1" customWidth="1"/>
    <col min="63" max="63" width="17.44140625" bestFit="1" customWidth="1"/>
    <col min="64" max="64" width="20.6640625" bestFit="1" customWidth="1"/>
    <col min="65" max="65" width="23.88671875" bestFit="1" customWidth="1"/>
    <col min="66" max="66" width="27.109375" bestFit="1" customWidth="1"/>
    <col min="67" max="67" width="29.33203125" bestFit="1" customWidth="1"/>
    <col min="68" max="68" width="26.6640625" bestFit="1" customWidth="1"/>
    <col min="69" max="69" width="30.44140625" bestFit="1" customWidth="1"/>
    <col min="70" max="70" width="24.6640625" bestFit="1" customWidth="1"/>
    <col min="71" max="71" width="23.88671875" bestFit="1" customWidth="1"/>
    <col min="72" max="72" width="24.44140625" bestFit="1" customWidth="1"/>
    <col min="73" max="73" width="37.88671875" bestFit="1" customWidth="1"/>
    <col min="74" max="74" width="25.5546875" bestFit="1" customWidth="1"/>
    <col min="75" max="75" width="26.77734375" bestFit="1" customWidth="1"/>
    <col min="76" max="76" width="16.6640625" bestFit="1" customWidth="1"/>
    <col min="77" max="77" width="31.109375" bestFit="1" customWidth="1"/>
    <col min="78" max="78" width="21.88671875" bestFit="1" customWidth="1"/>
    <col min="79" max="79" width="26.21875" bestFit="1" customWidth="1"/>
    <col min="80" max="80" width="23.5546875" bestFit="1" customWidth="1"/>
    <col min="81" max="81" width="24.6640625" bestFit="1" customWidth="1"/>
    <col min="82" max="82" width="28.44140625" bestFit="1" customWidth="1"/>
    <col min="83" max="83" width="19" bestFit="1" customWidth="1"/>
    <col min="84" max="84" width="21.109375" bestFit="1" customWidth="1"/>
    <col min="85" max="85" width="35.33203125" bestFit="1" customWidth="1"/>
    <col min="86" max="86" width="27.33203125" bestFit="1" customWidth="1"/>
    <col min="87" max="87" width="24.6640625" bestFit="1" customWidth="1"/>
    <col min="88" max="88" width="18.44140625" bestFit="1" customWidth="1"/>
    <col min="89" max="89" width="22.77734375" bestFit="1" customWidth="1"/>
    <col min="90" max="90" width="19.21875" bestFit="1" customWidth="1"/>
    <col min="91" max="91" width="28.77734375" bestFit="1" customWidth="1"/>
    <col min="92" max="92" width="15.88671875" bestFit="1" customWidth="1"/>
    <col min="93" max="93" width="21.6640625" bestFit="1" customWidth="1"/>
    <col min="94" max="94" width="37" bestFit="1" customWidth="1"/>
    <col min="95" max="95" width="21.33203125" bestFit="1" customWidth="1"/>
    <col min="96" max="96" width="14.44140625" bestFit="1" customWidth="1"/>
    <col min="97" max="97" width="24.33203125" bestFit="1" customWidth="1"/>
    <col min="98" max="98" width="27.33203125" bestFit="1" customWidth="1"/>
    <col min="99" max="99" width="23.6640625" bestFit="1" customWidth="1"/>
    <col min="100" max="100" width="21.88671875" bestFit="1" customWidth="1"/>
    <col min="101" max="101" width="20.6640625" bestFit="1" customWidth="1"/>
    <col min="102" max="102" width="15.44140625" bestFit="1" customWidth="1"/>
    <col min="103" max="103" width="25.21875" bestFit="1" customWidth="1"/>
    <col min="104" max="104" width="29" bestFit="1" customWidth="1"/>
    <col min="105" max="105" width="41.88671875" bestFit="1" customWidth="1"/>
    <col min="106" max="106" width="19.109375" bestFit="1" customWidth="1"/>
    <col min="107" max="107" width="29.77734375" bestFit="1" customWidth="1"/>
    <col min="108" max="108" width="19" bestFit="1" customWidth="1"/>
    <col min="109" max="109" width="30.6640625" bestFit="1" customWidth="1"/>
    <col min="110" max="110" width="24.6640625" bestFit="1" customWidth="1"/>
    <col min="111" max="111" width="21.44140625" bestFit="1" customWidth="1"/>
    <col min="112" max="112" width="23.88671875" bestFit="1" customWidth="1"/>
    <col min="113" max="113" width="36.33203125" bestFit="1" customWidth="1"/>
    <col min="114" max="114" width="26.33203125" bestFit="1" customWidth="1"/>
    <col min="115" max="115" width="22.6640625" bestFit="1" customWidth="1"/>
    <col min="116" max="116" width="35.33203125" bestFit="1" customWidth="1"/>
    <col min="117" max="117" width="40.44140625" bestFit="1" customWidth="1"/>
    <col min="118" max="118" width="14.77734375" bestFit="1" customWidth="1"/>
    <col min="119" max="119" width="25.6640625" bestFit="1" customWidth="1"/>
    <col min="120" max="120" width="23.33203125" bestFit="1" customWidth="1"/>
    <col min="121" max="121" width="18.44140625" bestFit="1" customWidth="1"/>
    <col min="122" max="122" width="15.44140625" bestFit="1" customWidth="1"/>
    <col min="123" max="123" width="21.109375" bestFit="1" customWidth="1"/>
    <col min="124" max="124" width="20.77734375" bestFit="1" customWidth="1"/>
    <col min="125" max="125" width="24.109375" bestFit="1" customWidth="1"/>
    <col min="126" max="126" width="28.88671875" bestFit="1" customWidth="1"/>
    <col min="127" max="127" width="35.5546875" bestFit="1" customWidth="1"/>
    <col min="128" max="128" width="19.6640625" bestFit="1" customWidth="1"/>
    <col min="129" max="129" width="36.88671875" bestFit="1" customWidth="1"/>
    <col min="130" max="130" width="18" bestFit="1" customWidth="1"/>
    <col min="131" max="131" width="34.5546875" bestFit="1" customWidth="1"/>
    <col min="132" max="132" width="26.6640625" bestFit="1" customWidth="1"/>
    <col min="133" max="133" width="25.77734375" bestFit="1" customWidth="1"/>
    <col min="134" max="134" width="22.5546875" bestFit="1" customWidth="1"/>
    <col min="135" max="135" width="25.21875" bestFit="1" customWidth="1"/>
    <col min="136" max="136" width="24.77734375" bestFit="1" customWidth="1"/>
    <col min="137" max="137" width="27.5546875" bestFit="1" customWidth="1"/>
    <col min="138" max="138" width="26.33203125" bestFit="1" customWidth="1"/>
    <col min="139" max="139" width="26.77734375" bestFit="1" customWidth="1"/>
    <col min="140" max="140" width="29.33203125" bestFit="1" customWidth="1"/>
    <col min="141" max="141" width="22.109375" bestFit="1" customWidth="1"/>
    <col min="142" max="142" width="21.109375" bestFit="1" customWidth="1"/>
    <col min="143" max="143" width="22.6640625" bestFit="1" customWidth="1"/>
    <col min="144" max="144" width="25" bestFit="1" customWidth="1"/>
    <col min="145" max="145" width="23.33203125" bestFit="1" customWidth="1"/>
    <col min="146" max="146" width="17.5546875" bestFit="1" customWidth="1"/>
    <col min="147" max="147" width="31.5546875" bestFit="1" customWidth="1"/>
    <col min="148" max="148" width="23.44140625" bestFit="1" customWidth="1"/>
    <col min="149" max="149" width="17.21875" bestFit="1" customWidth="1"/>
    <col min="150" max="150" width="15.77734375" bestFit="1" customWidth="1"/>
    <col min="151" max="151" width="34.6640625" bestFit="1" customWidth="1"/>
    <col min="152" max="152" width="21.77734375" bestFit="1" customWidth="1"/>
    <col min="153" max="153" width="20.109375" bestFit="1" customWidth="1"/>
    <col min="154" max="154" width="26.5546875" bestFit="1" customWidth="1"/>
    <col min="155" max="155" width="13.33203125" bestFit="1" customWidth="1"/>
    <col min="156" max="156" width="23.44140625" bestFit="1" customWidth="1"/>
    <col min="157" max="157" width="42.21875" bestFit="1" customWidth="1"/>
    <col min="158" max="158" width="20.5546875" bestFit="1" customWidth="1"/>
    <col min="159" max="159" width="19.33203125" bestFit="1" customWidth="1"/>
    <col min="160" max="160" width="24.88671875" bestFit="1" customWidth="1"/>
    <col min="161" max="161" width="35.5546875" bestFit="1" customWidth="1"/>
    <col min="162" max="162" width="17.33203125" bestFit="1" customWidth="1"/>
    <col min="163" max="163" width="21.88671875" bestFit="1" customWidth="1"/>
    <col min="164" max="164" width="20.88671875" bestFit="1" customWidth="1"/>
    <col min="165" max="165" width="20.6640625" bestFit="1" customWidth="1"/>
    <col min="166" max="166" width="26.5546875" bestFit="1" customWidth="1"/>
    <col min="167" max="167" width="30.33203125" bestFit="1" customWidth="1"/>
    <col min="168" max="168" width="24.44140625" bestFit="1" customWidth="1"/>
    <col min="169" max="169" width="28.88671875" bestFit="1" customWidth="1"/>
    <col min="170" max="170" width="33.88671875" bestFit="1" customWidth="1"/>
    <col min="171" max="171" width="21.6640625" bestFit="1" customWidth="1"/>
    <col min="172" max="172" width="13.5546875" bestFit="1" customWidth="1"/>
    <col min="173" max="173" width="28" bestFit="1" customWidth="1"/>
    <col min="174" max="174" width="21.77734375" bestFit="1" customWidth="1"/>
    <col min="175" max="175" width="30" bestFit="1" customWidth="1"/>
    <col min="176" max="176" width="20.109375" bestFit="1" customWidth="1"/>
    <col min="177" max="177" width="25.109375" bestFit="1" customWidth="1"/>
    <col min="178" max="178" width="18.5546875" bestFit="1" customWidth="1"/>
    <col min="179" max="179" width="10.77734375" bestFit="1" customWidth="1"/>
  </cols>
  <sheetData>
    <row r="3" spans="1:26" x14ac:dyDescent="0.3">
      <c r="A3" s="31" t="s">
        <v>888</v>
      </c>
      <c r="B3" t="s">
        <v>890</v>
      </c>
      <c r="C3" t="s">
        <v>891</v>
      </c>
      <c r="D3" t="s">
        <v>892</v>
      </c>
      <c r="E3" t="s">
        <v>893</v>
      </c>
      <c r="F3" t="s">
        <v>894</v>
      </c>
      <c r="G3" t="s">
        <v>895</v>
      </c>
      <c r="H3" t="s">
        <v>899</v>
      </c>
      <c r="I3" t="s">
        <v>900</v>
      </c>
      <c r="J3" t="s">
        <v>901</v>
      </c>
      <c r="K3" t="s">
        <v>915</v>
      </c>
      <c r="L3" t="s">
        <v>916</v>
      </c>
      <c r="M3" t="s">
        <v>917</v>
      </c>
      <c r="N3" s="44" t="s">
        <v>903</v>
      </c>
      <c r="O3" s="44" t="s">
        <v>904</v>
      </c>
      <c r="P3" s="44" t="s">
        <v>905</v>
      </c>
      <c r="Q3" s="39"/>
      <c r="R3" s="43" t="s">
        <v>902</v>
      </c>
      <c r="S3" s="44">
        <v>2022</v>
      </c>
      <c r="T3" s="44">
        <v>2023</v>
      </c>
      <c r="U3" s="44">
        <v>2024</v>
      </c>
      <c r="V3" s="45"/>
      <c r="W3" s="45" t="s">
        <v>908</v>
      </c>
      <c r="X3" s="45" t="s">
        <v>909</v>
      </c>
      <c r="Y3" s="45" t="s">
        <v>910</v>
      </c>
      <c r="Z3" s="45" t="s">
        <v>911</v>
      </c>
    </row>
    <row r="4" spans="1:26" x14ac:dyDescent="0.3">
      <c r="A4" s="32" t="s">
        <v>714</v>
      </c>
      <c r="B4" s="27">
        <v>3341.5013000000004</v>
      </c>
      <c r="C4" s="27">
        <v>3428.0433000000003</v>
      </c>
      <c r="D4" s="27">
        <v>1852.1966</v>
      </c>
      <c r="E4">
        <v>125970.2506</v>
      </c>
      <c r="F4">
        <v>127615.61489999999</v>
      </c>
      <c r="G4">
        <v>64977.618299999995</v>
      </c>
      <c r="H4" s="33">
        <v>0.99167133539951491</v>
      </c>
      <c r="I4" s="33">
        <v>0.83817512254552917</v>
      </c>
      <c r="J4" s="33">
        <v>0.83998659774124951</v>
      </c>
      <c r="K4" s="33">
        <v>8621.7412000000004</v>
      </c>
      <c r="L4" s="33">
        <v>318563.48379999999</v>
      </c>
      <c r="M4" s="33">
        <v>0.8899443518954312</v>
      </c>
      <c r="N4" s="38">
        <f>IFERROR((C4/B4)-1,0)</f>
        <v>2.5899137013652984E-2</v>
      </c>
      <c r="O4" s="38">
        <f>IFERROR((F4/E4)-1,0)</f>
        <v>1.3061530735733795E-2</v>
      </c>
      <c r="P4" s="38">
        <f>IFERROR((I4/H4)-1,0)</f>
        <v>-0.15478536827138067</v>
      </c>
      <c r="Q4" s="40"/>
      <c r="R4" s="43" t="s">
        <v>896</v>
      </c>
      <c r="S4" s="35">
        <f>SUM(B4:B110)</f>
        <v>11880.158900000002</v>
      </c>
      <c r="T4" s="35">
        <f>SUM(C4:C110)</f>
        <v>12264.847400000002</v>
      </c>
      <c r="U4" s="35">
        <f>SUM(D4:D110)</f>
        <v>6590.0513000000037</v>
      </c>
      <c r="V4" s="46" t="s">
        <v>906</v>
      </c>
      <c r="W4" s="47">
        <f>T4-S4</f>
        <v>384.6885000000002</v>
      </c>
      <c r="X4" s="50">
        <f>IFERROR(((T4-S4)/T4),0)</f>
        <v>3.1365127298689434E-2</v>
      </c>
      <c r="Y4" s="47">
        <f>U4-T4</f>
        <v>-5674.7960999999987</v>
      </c>
      <c r="Z4" s="51">
        <f>IFERROR(((U4-T4)/T4),0)</f>
        <v>-0.46268786841978954</v>
      </c>
    </row>
    <row r="5" spans="1:26" x14ac:dyDescent="0.3">
      <c r="A5" s="32" t="s">
        <v>791</v>
      </c>
      <c r="B5" s="27">
        <v>1818.5406000000007</v>
      </c>
      <c r="C5" s="27">
        <v>2101.7048</v>
      </c>
      <c r="D5" s="27">
        <v>1233.5608</v>
      </c>
      <c r="E5">
        <v>45983.128800000006</v>
      </c>
      <c r="F5">
        <v>53803.277899999994</v>
      </c>
      <c r="G5">
        <v>29897.358499999995</v>
      </c>
      <c r="H5" s="33">
        <v>4.6613626778546076</v>
      </c>
      <c r="I5" s="33">
        <v>3.3633866811777211</v>
      </c>
      <c r="J5" s="33">
        <v>1.7329291601717913</v>
      </c>
      <c r="K5" s="33">
        <v>5153.8061999999991</v>
      </c>
      <c r="L5" s="33">
        <v>129683.76520000001</v>
      </c>
      <c r="M5" s="33">
        <v>3.2525595064013735</v>
      </c>
      <c r="N5" s="38">
        <f t="shared" ref="N5:N68" si="0">IFERROR((C5/B5)-1,0)</f>
        <v>0.15570958382782285</v>
      </c>
      <c r="O5" s="38">
        <f t="shared" ref="O5:O68" si="1">IFERROR((F5/E5)-1,0)</f>
        <v>0.17006561545677124</v>
      </c>
      <c r="P5" s="38">
        <f t="shared" ref="P5:P68" si="2">IFERROR((I5/H5)-1,0)</f>
        <v>-0.27845419598937537</v>
      </c>
      <c r="Q5" s="40"/>
      <c r="R5" s="43" t="s">
        <v>897</v>
      </c>
      <c r="S5" s="35">
        <f>SUM(E4:E110)</f>
        <v>470248.16190000012</v>
      </c>
      <c r="T5" s="34">
        <f>SUM(F4:F110)</f>
        <v>475047.06150000019</v>
      </c>
      <c r="U5" s="34">
        <f>SUM(G4:G110)</f>
        <v>239949.3996</v>
      </c>
      <c r="V5" s="45" t="s">
        <v>878</v>
      </c>
      <c r="W5" s="47">
        <f t="shared" ref="W5:W6" si="3">T5-S5</f>
        <v>4798.8996000000625</v>
      </c>
      <c r="X5" s="50">
        <f t="shared" ref="X5:X6" si="4">IFERROR(((T5-S5)/T5),0)</f>
        <v>1.0101945657441059E-2</v>
      </c>
      <c r="Y5" s="47">
        <f t="shared" ref="Y5:Y6" si="5">U5-T5</f>
        <v>-235097.66190000018</v>
      </c>
      <c r="Z5" s="51">
        <f t="shared" ref="Z5:Z6" si="6">IFERROR(((U5-T5)/T5),0)</f>
        <v>-0.49489341362866235</v>
      </c>
    </row>
    <row r="6" spans="1:26" x14ac:dyDescent="0.3">
      <c r="A6" s="32" t="s">
        <v>744</v>
      </c>
      <c r="B6" s="27">
        <v>1012.9229999999999</v>
      </c>
      <c r="C6" s="27">
        <v>822.98120000000029</v>
      </c>
      <c r="D6" s="27">
        <v>367.98779999999999</v>
      </c>
      <c r="E6">
        <v>57405.587099999997</v>
      </c>
      <c r="F6">
        <v>44546.771699999998</v>
      </c>
      <c r="G6">
        <v>18766.2333</v>
      </c>
      <c r="H6" s="33">
        <v>0.37077166070714523</v>
      </c>
      <c r="I6" s="33">
        <v>0.40427676792660677</v>
      </c>
      <c r="J6" s="33">
        <v>0.44246363809894956</v>
      </c>
      <c r="K6" s="33">
        <v>2203.8919999999998</v>
      </c>
      <c r="L6" s="33">
        <v>120718.59209999998</v>
      </c>
      <c r="M6" s="33">
        <v>0.40583735557756723</v>
      </c>
      <c r="N6" s="38">
        <f t="shared" si="0"/>
        <v>-0.18751849844460011</v>
      </c>
      <c r="O6" s="38">
        <f t="shared" si="1"/>
        <v>-0.22399937096018308</v>
      </c>
      <c r="P6" s="38">
        <f t="shared" si="2"/>
        <v>9.0365879516141279E-2</v>
      </c>
      <c r="Q6" s="40"/>
      <c r="R6" s="43" t="s">
        <v>898</v>
      </c>
      <c r="S6" s="36">
        <f>IFERROR(S4/S5,0)</f>
        <v>2.5263594549735546E-2</v>
      </c>
      <c r="T6" s="36">
        <f t="shared" ref="T6:U6" si="7">IFERROR(T4/T5,0)</f>
        <v>2.5818173385333102E-2</v>
      </c>
      <c r="U6" s="36">
        <f t="shared" si="7"/>
        <v>2.7464337526935841E-2</v>
      </c>
      <c r="V6" s="48" t="s">
        <v>907</v>
      </c>
      <c r="W6" s="49">
        <f t="shared" si="3"/>
        <v>5.5457883559755644E-4</v>
      </c>
      <c r="X6" s="50">
        <f t="shared" si="4"/>
        <v>2.1480173183460141E-2</v>
      </c>
      <c r="Y6" s="47">
        <f t="shared" si="5"/>
        <v>1.6461641416027385E-3</v>
      </c>
      <c r="Z6" s="51">
        <f t="shared" si="6"/>
        <v>6.3759899549590077E-2</v>
      </c>
    </row>
    <row r="7" spans="1:26" x14ac:dyDescent="0.3">
      <c r="A7" s="32" t="s">
        <v>803</v>
      </c>
      <c r="B7" s="27">
        <v>632.96199999999999</v>
      </c>
      <c r="C7" s="27">
        <v>529.41079999999999</v>
      </c>
      <c r="D7" s="27">
        <v>262.13729999999998</v>
      </c>
      <c r="E7">
        <v>36136.764000000003</v>
      </c>
      <c r="F7">
        <v>28913.011900000001</v>
      </c>
      <c r="G7">
        <v>13646.294400000001</v>
      </c>
      <c r="H7" s="33">
        <v>0.21332747506563882</v>
      </c>
      <c r="I7" s="33">
        <v>0.19800460486459329</v>
      </c>
      <c r="J7" s="33">
        <v>0.16508940381620135</v>
      </c>
      <c r="K7" s="33">
        <v>1424.5100999999997</v>
      </c>
      <c r="L7" s="33">
        <v>78696.070299999992</v>
      </c>
      <c r="M7" s="33">
        <v>0.19214049458214447</v>
      </c>
      <c r="N7" s="38">
        <f t="shared" si="0"/>
        <v>-0.16359781471873514</v>
      </c>
      <c r="O7" s="38">
        <f t="shared" si="1"/>
        <v>-0.1999003590913675</v>
      </c>
      <c r="P7" s="38">
        <f t="shared" si="2"/>
        <v>-7.1827926507501361E-2</v>
      </c>
      <c r="Q7" s="41"/>
    </row>
    <row r="8" spans="1:26" x14ac:dyDescent="0.3">
      <c r="A8" s="32" t="s">
        <v>715</v>
      </c>
      <c r="B8" s="27">
        <v>511.78090000000003</v>
      </c>
      <c r="C8" s="27">
        <v>507.30459999999999</v>
      </c>
      <c r="D8" s="27">
        <v>295.71350000000001</v>
      </c>
      <c r="E8">
        <v>23199.702200000003</v>
      </c>
      <c r="F8">
        <v>21680.5389</v>
      </c>
      <c r="G8">
        <v>11434.483999999997</v>
      </c>
      <c r="H8" s="33">
        <v>0.26853895880481771</v>
      </c>
      <c r="I8" s="33">
        <v>0.31561664280055579</v>
      </c>
      <c r="J8" s="33">
        <v>0.34844293498375173</v>
      </c>
      <c r="K8" s="33">
        <v>1314.799</v>
      </c>
      <c r="L8" s="33">
        <v>56314.725099999996</v>
      </c>
      <c r="M8" s="33">
        <v>0.31086617886304174</v>
      </c>
      <c r="N8" s="38">
        <f t="shared" si="0"/>
        <v>-8.7465163315004757E-3</v>
      </c>
      <c r="O8" s="38">
        <f t="shared" si="1"/>
        <v>-6.5482017264859693E-2</v>
      </c>
      <c r="P8" s="38">
        <f t="shared" si="2"/>
        <v>0.17531044361408865</v>
      </c>
      <c r="Q8" s="41"/>
    </row>
    <row r="9" spans="1:26" x14ac:dyDescent="0.3">
      <c r="A9" s="32" t="s">
        <v>725</v>
      </c>
      <c r="B9" s="27">
        <v>471.64439999999991</v>
      </c>
      <c r="C9" s="27">
        <v>448.00139999999999</v>
      </c>
      <c r="D9" s="27">
        <v>276.14019999999999</v>
      </c>
      <c r="E9">
        <v>13724.1564</v>
      </c>
      <c r="F9">
        <v>13181.3513</v>
      </c>
      <c r="G9">
        <v>8823.5240000000013</v>
      </c>
      <c r="H9" s="33">
        <v>0.42840832611345819</v>
      </c>
      <c r="I9" s="33">
        <v>0.42837004923795463</v>
      </c>
      <c r="J9" s="33">
        <v>0.35372089011694319</v>
      </c>
      <c r="K9" s="33">
        <v>1195.7860000000001</v>
      </c>
      <c r="L9" s="33">
        <v>35729.0317</v>
      </c>
      <c r="M9" s="33">
        <v>0.40349975515611863</v>
      </c>
      <c r="N9" s="38">
        <f t="shared" si="0"/>
        <v>-5.0128868274488037E-2</v>
      </c>
      <c r="O9" s="38">
        <f t="shared" si="1"/>
        <v>-3.9551072151873701E-2</v>
      </c>
      <c r="P9" s="38">
        <f t="shared" si="2"/>
        <v>-8.9346712401239259E-5</v>
      </c>
      <c r="Q9" s="41"/>
    </row>
    <row r="10" spans="1:26" x14ac:dyDescent="0.3">
      <c r="A10" s="32" t="s">
        <v>767</v>
      </c>
      <c r="B10" s="27">
        <v>394.68370000000004</v>
      </c>
      <c r="C10" s="27">
        <v>409.49670000000009</v>
      </c>
      <c r="D10" s="27">
        <v>321.26349999999996</v>
      </c>
      <c r="E10">
        <v>18974.913400000005</v>
      </c>
      <c r="F10">
        <v>19732.122499999998</v>
      </c>
      <c r="G10">
        <v>15809.170200000002</v>
      </c>
      <c r="H10" s="33">
        <v>0.6038304579610474</v>
      </c>
      <c r="I10" s="33">
        <v>0.67133093089527818</v>
      </c>
      <c r="J10" s="33">
        <v>0.6803563978828211</v>
      </c>
      <c r="K10" s="33">
        <v>1125.4439000000002</v>
      </c>
      <c r="L10" s="33">
        <v>54516.20610000001</v>
      </c>
      <c r="M10" s="33">
        <v>0.65183926224638189</v>
      </c>
      <c r="N10" s="38">
        <f t="shared" si="0"/>
        <v>3.7531319383090844E-2</v>
      </c>
      <c r="O10" s="38">
        <f t="shared" si="1"/>
        <v>3.9905800044388817E-2</v>
      </c>
      <c r="P10" s="38">
        <f t="shared" si="2"/>
        <v>0.11178712839719851</v>
      </c>
      <c r="Q10" s="41"/>
    </row>
    <row r="11" spans="1:26" x14ac:dyDescent="0.3">
      <c r="A11" s="32" t="s">
        <v>750</v>
      </c>
      <c r="B11" s="27">
        <v>332.01659999999998</v>
      </c>
      <c r="C11" s="27">
        <v>406.09359999999998</v>
      </c>
      <c r="D11" s="27">
        <v>185.50480000000002</v>
      </c>
      <c r="E11">
        <v>9811.9588999999996</v>
      </c>
      <c r="F11">
        <v>12002.1489</v>
      </c>
      <c r="G11">
        <v>5143.8026999999993</v>
      </c>
      <c r="H11" s="33">
        <v>0.23468800193360156</v>
      </c>
      <c r="I11" s="33">
        <v>0.16843793064962206</v>
      </c>
      <c r="J11" s="33">
        <v>0.14433614857187363</v>
      </c>
      <c r="K11" s="33">
        <v>923.6149999999999</v>
      </c>
      <c r="L11" s="33">
        <v>26957.910500000002</v>
      </c>
      <c r="M11" s="33">
        <v>0.18248736038503241</v>
      </c>
      <c r="N11" s="38">
        <f t="shared" si="0"/>
        <v>0.2231123383589857</v>
      </c>
      <c r="O11" s="38">
        <f t="shared" si="1"/>
        <v>0.22321638546610711</v>
      </c>
      <c r="P11" s="38">
        <f t="shared" si="2"/>
        <v>-0.28228997962462143</v>
      </c>
      <c r="Q11" s="41"/>
    </row>
    <row r="12" spans="1:26" x14ac:dyDescent="0.3">
      <c r="A12" s="32" t="s">
        <v>805</v>
      </c>
      <c r="B12" s="27">
        <v>466.31510000000003</v>
      </c>
      <c r="C12" s="27">
        <v>321.99379999999996</v>
      </c>
      <c r="D12" s="27">
        <v>119.93089999999999</v>
      </c>
      <c r="E12">
        <v>27928.056800000002</v>
      </c>
      <c r="F12">
        <v>19049.502499999999</v>
      </c>
      <c r="G12">
        <v>6464.4499000000005</v>
      </c>
      <c r="H12" s="33">
        <v>0.2047672633997781</v>
      </c>
      <c r="I12" s="33">
        <v>0.22479618841025797</v>
      </c>
      <c r="J12" s="33">
        <v>0.16924243395388938</v>
      </c>
      <c r="K12" s="33">
        <v>908.23979999999995</v>
      </c>
      <c r="L12" s="33">
        <v>53442.0092</v>
      </c>
      <c r="M12" s="33">
        <v>0.19960196192130847</v>
      </c>
      <c r="N12" s="38">
        <f t="shared" si="0"/>
        <v>-0.309493087399486</v>
      </c>
      <c r="O12" s="38">
        <f t="shared" si="1"/>
        <v>-0.31790805796413313</v>
      </c>
      <c r="P12" s="38">
        <f t="shared" si="2"/>
        <v>9.7813120505382267E-2</v>
      </c>
      <c r="Q12" s="41"/>
    </row>
    <row r="13" spans="1:26" x14ac:dyDescent="0.3">
      <c r="A13" s="32" t="s">
        <v>771</v>
      </c>
      <c r="B13" s="27">
        <v>336.51569999999992</v>
      </c>
      <c r="C13" s="27">
        <v>318.62270000000001</v>
      </c>
      <c r="D13" s="27">
        <v>125.76550000000002</v>
      </c>
      <c r="E13">
        <v>10227.005499999999</v>
      </c>
      <c r="F13">
        <v>9928.9133000000002</v>
      </c>
      <c r="G13">
        <v>3640.5187000000001</v>
      </c>
      <c r="H13" s="33">
        <v>0.51165192041021967</v>
      </c>
      <c r="I13" s="33">
        <v>0.41377931169965559</v>
      </c>
      <c r="J13" s="33">
        <v>0.38910625254875303</v>
      </c>
      <c r="K13" s="33">
        <v>780.90390000000002</v>
      </c>
      <c r="L13" s="33">
        <v>23796.437499999996</v>
      </c>
      <c r="M13" s="33">
        <v>0.43817916155287617</v>
      </c>
      <c r="N13" s="38">
        <f t="shared" si="0"/>
        <v>-5.3171367636041689E-2</v>
      </c>
      <c r="O13" s="38">
        <f t="shared" si="1"/>
        <v>-2.9147554482101268E-2</v>
      </c>
      <c r="P13" s="38">
        <f t="shared" si="2"/>
        <v>-0.19128748433523746</v>
      </c>
      <c r="Q13" s="41"/>
    </row>
    <row r="14" spans="1:26" x14ac:dyDescent="0.3">
      <c r="A14" s="32" t="s">
        <v>749</v>
      </c>
      <c r="B14" s="27">
        <v>230.7483</v>
      </c>
      <c r="C14" s="27">
        <v>302.06579999999997</v>
      </c>
      <c r="D14" s="27">
        <v>144.00239999999999</v>
      </c>
      <c r="E14">
        <v>11792.6654</v>
      </c>
      <c r="F14">
        <v>15544.817700000001</v>
      </c>
      <c r="G14">
        <v>7126.6585000000005</v>
      </c>
      <c r="H14" s="33">
        <v>3.8603040424155993E-2</v>
      </c>
      <c r="I14" s="33">
        <v>0.32207509686214014</v>
      </c>
      <c r="J14" s="33">
        <v>0.31659001750557975</v>
      </c>
      <c r="K14" s="33">
        <v>676.81649999999991</v>
      </c>
      <c r="L14" s="33">
        <v>34464.141600000003</v>
      </c>
      <c r="M14" s="33">
        <v>0.22575605159729195</v>
      </c>
      <c r="N14" s="38">
        <f t="shared" si="0"/>
        <v>0.30907053269731555</v>
      </c>
      <c r="O14" s="38">
        <f t="shared" si="1"/>
        <v>0.31817677961082502</v>
      </c>
      <c r="P14" s="38">
        <f t="shared" si="2"/>
        <v>7.3432572492554371</v>
      </c>
      <c r="Q14" s="41"/>
    </row>
    <row r="15" spans="1:26" x14ac:dyDescent="0.3">
      <c r="A15" s="32" t="s">
        <v>754</v>
      </c>
      <c r="B15" s="27">
        <v>220.27779999999998</v>
      </c>
      <c r="C15" s="27">
        <v>271.9984</v>
      </c>
      <c r="D15" s="27">
        <v>141.2388</v>
      </c>
      <c r="E15">
        <v>1748.9223999999999</v>
      </c>
      <c r="F15">
        <v>2358.5311999999999</v>
      </c>
      <c r="G15">
        <v>1240.7412999999999</v>
      </c>
      <c r="H15" s="33">
        <v>0.70351841497035073</v>
      </c>
      <c r="I15" s="33">
        <v>0.65978192932792479</v>
      </c>
      <c r="J15" s="33">
        <v>0.68063185296220352</v>
      </c>
      <c r="K15" s="33">
        <v>633.51499999999999</v>
      </c>
      <c r="L15" s="33">
        <v>5348.1949000000004</v>
      </c>
      <c r="M15" s="33">
        <v>0.6813107324201596</v>
      </c>
      <c r="N15" s="38">
        <f t="shared" si="0"/>
        <v>0.23479715159675663</v>
      </c>
      <c r="O15" s="38">
        <f t="shared" si="1"/>
        <v>0.34856252055551473</v>
      </c>
      <c r="P15" s="38">
        <f t="shared" si="2"/>
        <v>-6.2168217223239508E-2</v>
      </c>
      <c r="Q15" s="41"/>
    </row>
    <row r="16" spans="1:26" x14ac:dyDescent="0.3">
      <c r="A16" s="32" t="s">
        <v>790</v>
      </c>
      <c r="B16" s="27">
        <v>192.72300000000001</v>
      </c>
      <c r="C16" s="27">
        <v>183.24340000000001</v>
      </c>
      <c r="D16" s="27">
        <v>97.209599999999995</v>
      </c>
      <c r="E16">
        <v>7900.9691000000003</v>
      </c>
      <c r="F16">
        <v>6838.8454000000002</v>
      </c>
      <c r="G16">
        <v>3264.5805999999998</v>
      </c>
      <c r="H16" s="33">
        <v>2.4392324227669744E-2</v>
      </c>
      <c r="I16" s="33">
        <v>2.6794493702109425E-2</v>
      </c>
      <c r="J16" s="33">
        <v>2.9777056201338695E-2</v>
      </c>
      <c r="K16" s="33">
        <v>473.17600000000004</v>
      </c>
      <c r="L16" s="33">
        <v>18004.395100000002</v>
      </c>
      <c r="M16" s="33">
        <v>2.6987958043705951E-2</v>
      </c>
      <c r="N16" s="38">
        <f t="shared" si="0"/>
        <v>-4.9187694255485859E-2</v>
      </c>
      <c r="O16" s="38">
        <f t="shared" si="1"/>
        <v>-0.13442954738299129</v>
      </c>
      <c r="P16" s="38">
        <f t="shared" si="2"/>
        <v>9.8480548717647443E-2</v>
      </c>
      <c r="Q16" s="41"/>
    </row>
    <row r="17" spans="1:17" x14ac:dyDescent="0.3">
      <c r="A17" s="32" t="s">
        <v>762</v>
      </c>
      <c r="B17" s="27">
        <v>168.57929999999996</v>
      </c>
      <c r="C17" s="27">
        <v>187.82539999999997</v>
      </c>
      <c r="D17" s="27">
        <v>100.92089999999999</v>
      </c>
      <c r="E17">
        <v>4051.7896999999994</v>
      </c>
      <c r="F17">
        <v>4420.8852000000006</v>
      </c>
      <c r="G17">
        <v>2421.1072999999997</v>
      </c>
      <c r="H17" s="33">
        <v>0.248427495391777</v>
      </c>
      <c r="I17" s="33">
        <v>0.20654951702498509</v>
      </c>
      <c r="J17" s="33">
        <v>0.20987569331917333</v>
      </c>
      <c r="K17" s="33">
        <v>457.32560000000007</v>
      </c>
      <c r="L17" s="33">
        <v>10893.7822</v>
      </c>
      <c r="M17" s="33">
        <v>0.22161756857864517</v>
      </c>
      <c r="N17" s="38">
        <f t="shared" si="0"/>
        <v>0.11416644866837156</v>
      </c>
      <c r="O17" s="38">
        <f t="shared" si="1"/>
        <v>9.1094436614022944E-2</v>
      </c>
      <c r="P17" s="38">
        <f t="shared" si="2"/>
        <v>-0.16857223593849457</v>
      </c>
      <c r="Q17" s="41"/>
    </row>
    <row r="18" spans="1:17" x14ac:dyDescent="0.3">
      <c r="A18" s="32" t="s">
        <v>777</v>
      </c>
      <c r="B18" s="27">
        <v>131.4905</v>
      </c>
      <c r="C18" s="27">
        <v>246.0711</v>
      </c>
      <c r="D18" s="27">
        <v>78.18180000000001</v>
      </c>
      <c r="E18">
        <v>7528.2013999999999</v>
      </c>
      <c r="F18">
        <v>14073.580099999999</v>
      </c>
      <c r="G18">
        <v>4344.6673999999994</v>
      </c>
      <c r="H18" s="33">
        <v>0.20668170783387305</v>
      </c>
      <c r="I18" s="33">
        <v>0.14280447195187662</v>
      </c>
      <c r="J18" s="33">
        <v>0.11116953549153565</v>
      </c>
      <c r="K18" s="33">
        <v>455.74339999999995</v>
      </c>
      <c r="L18" s="33">
        <v>25946.448899999999</v>
      </c>
      <c r="M18" s="33">
        <v>0.15355190509242841</v>
      </c>
      <c r="N18" s="38">
        <f t="shared" si="0"/>
        <v>0.87139831394663503</v>
      </c>
      <c r="O18" s="38">
        <f t="shared" si="1"/>
        <v>0.86944787369795917</v>
      </c>
      <c r="P18" s="38">
        <f t="shared" si="2"/>
        <v>-0.30906090602531588</v>
      </c>
      <c r="Q18" s="41"/>
    </row>
    <row r="19" spans="1:17" x14ac:dyDescent="0.3">
      <c r="A19" s="32" t="s">
        <v>735</v>
      </c>
      <c r="B19" s="27">
        <v>212.4264</v>
      </c>
      <c r="C19" s="27">
        <v>118.9335</v>
      </c>
      <c r="D19" s="27">
        <v>32.277000000000001</v>
      </c>
      <c r="E19">
        <v>11963.1037</v>
      </c>
      <c r="F19">
        <v>6284.8911999999991</v>
      </c>
      <c r="G19">
        <v>1340.7376999999999</v>
      </c>
      <c r="H19" s="33">
        <v>0.31967460032929174</v>
      </c>
      <c r="I19" s="33">
        <v>0.22264682665964872</v>
      </c>
      <c r="J19" s="33">
        <v>0.18991233909757119</v>
      </c>
      <c r="K19" s="33">
        <v>363.63689999999997</v>
      </c>
      <c r="L19" s="33">
        <v>19588.732599999999</v>
      </c>
      <c r="M19" s="33">
        <v>0.24407792202883721</v>
      </c>
      <c r="N19" s="38">
        <f t="shared" si="0"/>
        <v>-0.44011902475398545</v>
      </c>
      <c r="O19" s="38">
        <f t="shared" si="1"/>
        <v>-0.47464375820799753</v>
      </c>
      <c r="P19" s="38">
        <f t="shared" si="2"/>
        <v>-0.30352043474738455</v>
      </c>
      <c r="Q19" s="41"/>
    </row>
    <row r="20" spans="1:17" x14ac:dyDescent="0.3">
      <c r="A20" s="32" t="s">
        <v>804</v>
      </c>
      <c r="B20" s="27">
        <v>154.93450000000001</v>
      </c>
      <c r="C20" s="27">
        <v>154.98239999999998</v>
      </c>
      <c r="D20" s="27">
        <v>45.514200000000002</v>
      </c>
      <c r="E20">
        <v>4738.4237000000003</v>
      </c>
      <c r="F20">
        <v>5792.3320999999996</v>
      </c>
      <c r="G20">
        <v>1599.6686</v>
      </c>
      <c r="H20" s="33">
        <v>0.5332099458313313</v>
      </c>
      <c r="I20" s="33">
        <v>0.5263950198742724</v>
      </c>
      <c r="J20" s="33">
        <v>0.43368003680644929</v>
      </c>
      <c r="K20" s="33">
        <v>355.43110000000001</v>
      </c>
      <c r="L20" s="33">
        <v>12130.4244</v>
      </c>
      <c r="M20" s="33">
        <v>0.49776166750401762</v>
      </c>
      <c r="N20" s="38">
        <f t="shared" si="0"/>
        <v>3.0916290432392302E-4</v>
      </c>
      <c r="O20" s="38">
        <f t="shared" si="1"/>
        <v>0.22241750985670605</v>
      </c>
      <c r="P20" s="38">
        <f t="shared" si="2"/>
        <v>-1.2780943060680783E-2</v>
      </c>
      <c r="Q20" s="41"/>
    </row>
    <row r="21" spans="1:17" x14ac:dyDescent="0.3">
      <c r="A21" s="32" t="s">
        <v>738</v>
      </c>
      <c r="B21" s="27">
        <v>28.101299999999998</v>
      </c>
      <c r="C21" s="27">
        <v>242.19460000000001</v>
      </c>
      <c r="D21" s="27">
        <v>67.606300000000005</v>
      </c>
      <c r="E21">
        <v>1283.3091999999999</v>
      </c>
      <c r="F21">
        <v>13602.248999999998</v>
      </c>
      <c r="G21">
        <v>3938.0097999999998</v>
      </c>
      <c r="H21" s="33">
        <v>0.10245520069308479</v>
      </c>
      <c r="I21" s="33">
        <v>0.20917722258025637</v>
      </c>
      <c r="J21" s="33">
        <v>0.1618755807192391</v>
      </c>
      <c r="K21" s="33">
        <v>337.90219999999999</v>
      </c>
      <c r="L21" s="33">
        <v>18823.567999999999</v>
      </c>
      <c r="M21" s="33">
        <v>0.15783600133086009</v>
      </c>
      <c r="N21" s="38">
        <f t="shared" si="0"/>
        <v>7.6186261845537402</v>
      </c>
      <c r="O21" s="38">
        <f t="shared" si="1"/>
        <v>9.5993543878591368</v>
      </c>
      <c r="P21" s="38">
        <f t="shared" si="2"/>
        <v>1.0416457257925686</v>
      </c>
      <c r="Q21" s="41"/>
    </row>
    <row r="22" spans="1:17" x14ac:dyDescent="0.3">
      <c r="A22" s="32" t="s">
        <v>739</v>
      </c>
      <c r="B22" s="27">
        <v>0</v>
      </c>
      <c r="C22" s="27">
        <v>170.66500000000002</v>
      </c>
      <c r="D22" s="27">
        <v>101.533</v>
      </c>
      <c r="E22">
        <v>0</v>
      </c>
      <c r="F22">
        <v>10947.355800000001</v>
      </c>
      <c r="G22">
        <v>5713.8588</v>
      </c>
      <c r="H22" s="33">
        <v>0</v>
      </c>
      <c r="I22" s="33">
        <v>3.1177460088473843E-2</v>
      </c>
      <c r="J22" s="33">
        <v>3.5532583705203652E-2</v>
      </c>
      <c r="K22" s="33">
        <v>272.19799999999998</v>
      </c>
      <c r="L22" s="33">
        <v>16661.214599999999</v>
      </c>
      <c r="M22" s="33">
        <v>2.2236681264559167E-2</v>
      </c>
      <c r="N22" s="38">
        <f t="shared" si="0"/>
        <v>0</v>
      </c>
      <c r="O22" s="38">
        <f t="shared" si="1"/>
        <v>0</v>
      </c>
      <c r="P22" s="38">
        <f t="shared" si="2"/>
        <v>0</v>
      </c>
      <c r="Q22" s="41"/>
    </row>
    <row r="23" spans="1:17" x14ac:dyDescent="0.3">
      <c r="A23" s="32" t="s">
        <v>718</v>
      </c>
      <c r="B23" s="27">
        <v>104.6661</v>
      </c>
      <c r="C23" s="27">
        <v>94.425000000000011</v>
      </c>
      <c r="D23" s="27">
        <v>45.948399999999999</v>
      </c>
      <c r="E23">
        <v>5728.6424000000006</v>
      </c>
      <c r="F23">
        <v>5002.3732</v>
      </c>
      <c r="G23">
        <v>2228.9191000000001</v>
      </c>
      <c r="H23" s="33">
        <v>0.16794292291121818</v>
      </c>
      <c r="I23" s="33">
        <v>0.1553095775582328</v>
      </c>
      <c r="J23" s="33">
        <v>0.16503484804308835</v>
      </c>
      <c r="K23" s="33">
        <v>245.0395</v>
      </c>
      <c r="L23" s="33">
        <v>12959.9347</v>
      </c>
      <c r="M23" s="33">
        <v>0.16276244950417978</v>
      </c>
      <c r="N23" s="38">
        <f t="shared" si="0"/>
        <v>-9.7845434195025782E-2</v>
      </c>
      <c r="O23" s="38">
        <f t="shared" si="1"/>
        <v>-0.12677858893758154</v>
      </c>
      <c r="P23" s="38">
        <f t="shared" si="2"/>
        <v>-7.5224041203950653E-2</v>
      </c>
      <c r="Q23" s="41"/>
    </row>
    <row r="24" spans="1:17" x14ac:dyDescent="0.3">
      <c r="A24" s="32" t="s">
        <v>727</v>
      </c>
      <c r="B24" s="27">
        <v>113.3091</v>
      </c>
      <c r="C24" s="27">
        <v>81.313800000000015</v>
      </c>
      <c r="D24" s="27">
        <v>48.297300000000007</v>
      </c>
      <c r="E24">
        <v>1483.433</v>
      </c>
      <c r="F24">
        <v>1045.7730999999999</v>
      </c>
      <c r="G24">
        <v>598.3963</v>
      </c>
      <c r="H24" s="33">
        <v>0.40514899032426288</v>
      </c>
      <c r="I24" s="33">
        <v>0.37359103780455938</v>
      </c>
      <c r="J24" s="33">
        <v>0.32422543051872099</v>
      </c>
      <c r="K24" s="33">
        <v>242.92020000000002</v>
      </c>
      <c r="L24" s="33">
        <v>3127.6023999999998</v>
      </c>
      <c r="M24" s="33">
        <v>0.36765515288251444</v>
      </c>
      <c r="N24" s="38">
        <f t="shared" si="0"/>
        <v>-0.2823718483334523</v>
      </c>
      <c r="O24" s="38">
        <f t="shared" si="1"/>
        <v>-0.29503179449290939</v>
      </c>
      <c r="P24" s="38">
        <f t="shared" si="2"/>
        <v>-7.789221563762494E-2</v>
      </c>
      <c r="Q24" s="41"/>
    </row>
    <row r="25" spans="1:17" x14ac:dyDescent="0.3">
      <c r="A25" s="32" t="s">
        <v>794</v>
      </c>
      <c r="B25" s="27">
        <v>78.612899999999996</v>
      </c>
      <c r="C25" s="27">
        <v>83.733099999999993</v>
      </c>
      <c r="D25" s="27">
        <v>33.060899999999997</v>
      </c>
      <c r="E25">
        <v>5148.8364000000001</v>
      </c>
      <c r="F25">
        <v>5284.2040999999999</v>
      </c>
      <c r="G25">
        <v>2040.6587000000002</v>
      </c>
      <c r="H25" s="33">
        <v>0.12764248408794279</v>
      </c>
      <c r="I25" s="33">
        <v>3.1115633712930284E-2</v>
      </c>
      <c r="J25" s="33">
        <v>3.0680162786102982E-2</v>
      </c>
      <c r="K25" s="33">
        <v>195.40690000000001</v>
      </c>
      <c r="L25" s="33">
        <v>12473.699199999999</v>
      </c>
      <c r="M25" s="33">
        <v>6.3146093528992017E-2</v>
      </c>
      <c r="N25" s="38">
        <f t="shared" si="0"/>
        <v>6.5131804067780186E-2</v>
      </c>
      <c r="O25" s="38">
        <f t="shared" si="1"/>
        <v>2.6290930510046939E-2</v>
      </c>
      <c r="P25" s="38">
        <f t="shared" si="2"/>
        <v>-0.75622823439026532</v>
      </c>
      <c r="Q25" s="41"/>
    </row>
    <row r="26" spans="1:17" x14ac:dyDescent="0.3">
      <c r="A26" s="32" t="s">
        <v>775</v>
      </c>
      <c r="B26" s="27">
        <v>27.204999999999998</v>
      </c>
      <c r="C26" s="27">
        <v>84.962299999999999</v>
      </c>
      <c r="D26" s="27">
        <v>67.934899999999999</v>
      </c>
      <c r="E26">
        <v>1705.1169</v>
      </c>
      <c r="F26">
        <v>4625.1880000000001</v>
      </c>
      <c r="G26">
        <v>3467.3734000000004</v>
      </c>
      <c r="H26" s="33">
        <v>3.1965100848201145E-2</v>
      </c>
      <c r="I26" s="33">
        <v>5.3326157583129113E-2</v>
      </c>
      <c r="J26" s="33">
        <v>3.7763456247157122E-2</v>
      </c>
      <c r="K26" s="33">
        <v>180.10220000000001</v>
      </c>
      <c r="L26" s="33">
        <v>9797.6783000000014</v>
      </c>
      <c r="M26" s="33">
        <v>4.1018238226162462E-2</v>
      </c>
      <c r="N26" s="38">
        <f t="shared" si="0"/>
        <v>2.1230398823745635</v>
      </c>
      <c r="O26" s="38">
        <f t="shared" si="1"/>
        <v>1.7125342549827525</v>
      </c>
      <c r="P26" s="38">
        <f t="shared" si="2"/>
        <v>0.66826182830986047</v>
      </c>
      <c r="Q26" s="41"/>
    </row>
    <row r="27" spans="1:17" x14ac:dyDescent="0.3">
      <c r="A27" s="32" t="s">
        <v>731</v>
      </c>
      <c r="B27" s="27">
        <v>36.026000000000003</v>
      </c>
      <c r="C27" s="27">
        <v>55.229700000000001</v>
      </c>
      <c r="D27" s="27">
        <v>85.139499999999998</v>
      </c>
      <c r="E27">
        <v>1024.5518</v>
      </c>
      <c r="F27">
        <v>1623.7086999999999</v>
      </c>
      <c r="G27">
        <v>2439.0853000000002</v>
      </c>
      <c r="H27" s="33">
        <v>0.105339637914073</v>
      </c>
      <c r="I27" s="33">
        <v>0.21419204278403609</v>
      </c>
      <c r="J27" s="33">
        <v>0.24254456835896429</v>
      </c>
      <c r="K27" s="33">
        <v>176.39520000000002</v>
      </c>
      <c r="L27" s="33">
        <v>5087.3457999999991</v>
      </c>
      <c r="M27" s="33">
        <v>0.18735874968569113</v>
      </c>
      <c r="N27" s="38">
        <f t="shared" si="0"/>
        <v>0.53305112973963231</v>
      </c>
      <c r="O27" s="38">
        <f t="shared" si="1"/>
        <v>0.58479903114708298</v>
      </c>
      <c r="P27" s="38">
        <f t="shared" si="2"/>
        <v>1.0333470574367789</v>
      </c>
      <c r="Q27" s="41"/>
    </row>
    <row r="28" spans="1:17" x14ac:dyDescent="0.3">
      <c r="A28" s="32" t="s">
        <v>752</v>
      </c>
      <c r="B28" s="27">
        <v>113.4866</v>
      </c>
      <c r="C28" s="27">
        <v>49.046300000000002</v>
      </c>
      <c r="D28" s="27">
        <v>12.3329</v>
      </c>
      <c r="E28">
        <v>2663.5763000000002</v>
      </c>
      <c r="F28">
        <v>1050.6374999999998</v>
      </c>
      <c r="G28">
        <v>244.387</v>
      </c>
      <c r="H28" s="33">
        <v>0.46211146384456636</v>
      </c>
      <c r="I28" s="33">
        <v>0.43618522865365755</v>
      </c>
      <c r="J28" s="33">
        <v>0.38968108700243537</v>
      </c>
      <c r="K28" s="33">
        <v>174.86579999999998</v>
      </c>
      <c r="L28" s="33">
        <v>3958.6008000000002</v>
      </c>
      <c r="M28" s="33">
        <v>0.42932592650021978</v>
      </c>
      <c r="N28" s="38">
        <f t="shared" si="0"/>
        <v>-0.56782298526874531</v>
      </c>
      <c r="O28" s="38">
        <f t="shared" si="1"/>
        <v>-0.60555381875112801</v>
      </c>
      <c r="P28" s="38">
        <f t="shared" si="2"/>
        <v>-5.6103856362302307E-2</v>
      </c>
      <c r="Q28" s="41"/>
    </row>
    <row r="29" spans="1:17" x14ac:dyDescent="0.3">
      <c r="A29" s="32" t="s">
        <v>800</v>
      </c>
      <c r="B29" s="27">
        <v>26.3474</v>
      </c>
      <c r="C29" s="27">
        <v>72.591800000000006</v>
      </c>
      <c r="D29" s="27">
        <v>62.007400000000004</v>
      </c>
      <c r="E29">
        <v>920.46799999999996</v>
      </c>
      <c r="F29">
        <v>3084.2015000000001</v>
      </c>
      <c r="G29">
        <v>2719.9431</v>
      </c>
      <c r="H29" s="33">
        <v>2.8623917398540744E-2</v>
      </c>
      <c r="I29" s="33">
        <v>4.4860817462236156E-2</v>
      </c>
      <c r="J29" s="33">
        <v>4.8470158180086792E-2</v>
      </c>
      <c r="K29" s="33">
        <v>160.94659999999999</v>
      </c>
      <c r="L29" s="33">
        <v>6724.6126000000004</v>
      </c>
      <c r="M29" s="33">
        <v>4.0651631013621237E-2</v>
      </c>
      <c r="N29" s="38">
        <f t="shared" si="0"/>
        <v>1.7551788791303888</v>
      </c>
      <c r="O29" s="38">
        <f t="shared" si="1"/>
        <v>2.3506884541342017</v>
      </c>
      <c r="P29" s="38">
        <f t="shared" si="2"/>
        <v>0.56724940327431117</v>
      </c>
      <c r="Q29" s="41"/>
    </row>
    <row r="30" spans="1:17" x14ac:dyDescent="0.3">
      <c r="A30" s="32" t="s">
        <v>774</v>
      </c>
      <c r="B30" s="27">
        <v>62.723399999999998</v>
      </c>
      <c r="C30" s="27">
        <v>72.770799999999994</v>
      </c>
      <c r="D30" s="27">
        <v>17.9863</v>
      </c>
      <c r="E30">
        <v>4142.5167000000001</v>
      </c>
      <c r="F30">
        <v>3738.1193999999996</v>
      </c>
      <c r="G30">
        <v>966.62200000000007</v>
      </c>
      <c r="H30" s="33">
        <v>6.407180423374223E-2</v>
      </c>
      <c r="I30" s="33">
        <v>7.5451356588170218E-2</v>
      </c>
      <c r="J30" s="33">
        <v>5.9029109917218534E-2</v>
      </c>
      <c r="K30" s="33">
        <v>153.48050000000001</v>
      </c>
      <c r="L30" s="33">
        <v>8847.2580999999991</v>
      </c>
      <c r="M30" s="33">
        <v>6.6184090246377003E-2</v>
      </c>
      <c r="N30" s="38">
        <f t="shared" si="0"/>
        <v>0.16018583176294654</v>
      </c>
      <c r="O30" s="38">
        <f t="shared" si="1"/>
        <v>-9.7621163482575879E-2</v>
      </c>
      <c r="P30" s="38">
        <f t="shared" si="2"/>
        <v>0.17760624178638551</v>
      </c>
      <c r="Q30" s="41"/>
    </row>
    <row r="31" spans="1:17" x14ac:dyDescent="0.3">
      <c r="A31" s="32" t="s">
        <v>748</v>
      </c>
      <c r="B31" s="27">
        <v>77.652300000000011</v>
      </c>
      <c r="C31" s="27">
        <v>36.366199999999999</v>
      </c>
      <c r="D31" s="27">
        <v>17.4221</v>
      </c>
      <c r="E31">
        <v>3136.2814000000003</v>
      </c>
      <c r="F31">
        <v>1512.1393</v>
      </c>
      <c r="G31">
        <v>684.81539999999995</v>
      </c>
      <c r="H31" s="33">
        <v>0.1118685553040457</v>
      </c>
      <c r="I31" s="33">
        <v>4.7732427131251698E-2</v>
      </c>
      <c r="J31" s="33">
        <v>5.0478486578289558E-2</v>
      </c>
      <c r="K31" s="33">
        <v>131.44060000000002</v>
      </c>
      <c r="L31" s="33">
        <v>5333.2360999999992</v>
      </c>
      <c r="M31" s="33">
        <v>7.0026489671195652E-2</v>
      </c>
      <c r="N31" s="38">
        <f t="shared" si="0"/>
        <v>-0.53167903590750054</v>
      </c>
      <c r="O31" s="38">
        <f t="shared" si="1"/>
        <v>-0.51785598702973523</v>
      </c>
      <c r="P31" s="38">
        <f t="shared" si="2"/>
        <v>-0.57331685386013498</v>
      </c>
      <c r="Q31" s="41"/>
    </row>
    <row r="32" spans="1:17" x14ac:dyDescent="0.3">
      <c r="A32" s="32" t="s">
        <v>795</v>
      </c>
      <c r="B32" s="27">
        <v>65.863799999999998</v>
      </c>
      <c r="C32" s="27">
        <v>45.340400000000002</v>
      </c>
      <c r="D32" s="27">
        <v>13.16</v>
      </c>
      <c r="E32">
        <v>4126.7389000000003</v>
      </c>
      <c r="F32">
        <v>2357.3103000000001</v>
      </c>
      <c r="G32">
        <v>741.50080000000003</v>
      </c>
      <c r="H32" s="33">
        <v>5.0618888586387592E-2</v>
      </c>
      <c r="I32" s="33">
        <v>5.8657179598693397E-2</v>
      </c>
      <c r="J32" s="33">
        <v>3.9074192392323646E-2</v>
      </c>
      <c r="K32" s="33">
        <v>124.36420000000001</v>
      </c>
      <c r="L32" s="33">
        <v>7225.55</v>
      </c>
      <c r="M32" s="33">
        <v>4.9450086859134885E-2</v>
      </c>
      <c r="N32" s="38">
        <f t="shared" si="0"/>
        <v>-0.31160364266865859</v>
      </c>
      <c r="O32" s="38">
        <f t="shared" si="1"/>
        <v>-0.4287716385449053</v>
      </c>
      <c r="P32" s="38">
        <f t="shared" si="2"/>
        <v>0.15880022728249821</v>
      </c>
      <c r="Q32" s="41"/>
    </row>
    <row r="33" spans="1:17" x14ac:dyDescent="0.3">
      <c r="A33" s="32" t="s">
        <v>810</v>
      </c>
      <c r="B33" s="27">
        <v>55.096399999999996</v>
      </c>
      <c r="C33" s="27">
        <v>43.348199999999991</v>
      </c>
      <c r="D33" s="27">
        <v>24.530200000000001</v>
      </c>
      <c r="E33">
        <v>2000.4356</v>
      </c>
      <c r="F33">
        <v>1647.0114000000001</v>
      </c>
      <c r="G33">
        <v>929.35159999999996</v>
      </c>
      <c r="H33" s="33">
        <v>4.699586745435809E-2</v>
      </c>
      <c r="I33" s="33">
        <v>6.9381483587173109E-2</v>
      </c>
      <c r="J33" s="33">
        <v>7.227346537600679E-2</v>
      </c>
      <c r="K33" s="33">
        <v>122.9748</v>
      </c>
      <c r="L33" s="33">
        <v>4576.7986000000001</v>
      </c>
      <c r="M33" s="33">
        <v>6.2883605472512663E-2</v>
      </c>
      <c r="N33" s="38">
        <f t="shared" si="0"/>
        <v>-0.21322990249816698</v>
      </c>
      <c r="O33" s="38">
        <f t="shared" si="1"/>
        <v>-0.1766736204854582</v>
      </c>
      <c r="P33" s="38">
        <f t="shared" si="2"/>
        <v>0.47633158712424462</v>
      </c>
      <c r="Q33" s="41"/>
    </row>
    <row r="34" spans="1:17" x14ac:dyDescent="0.3">
      <c r="A34" s="32" t="s">
        <v>799</v>
      </c>
      <c r="B34" s="27">
        <v>60.899099999999997</v>
      </c>
      <c r="C34" s="27">
        <v>35.979600000000005</v>
      </c>
      <c r="D34" s="27">
        <v>13.2828</v>
      </c>
      <c r="E34">
        <v>1646.9926999999998</v>
      </c>
      <c r="F34">
        <v>1006.4904</v>
      </c>
      <c r="G34">
        <v>408.45429999999999</v>
      </c>
      <c r="H34" s="33">
        <v>0.26157765282177775</v>
      </c>
      <c r="I34" s="33">
        <v>0.19329181763680853</v>
      </c>
      <c r="J34" s="33">
        <v>6.4076706993217658E-2</v>
      </c>
      <c r="K34" s="33">
        <v>110.1615</v>
      </c>
      <c r="L34" s="33">
        <v>3061.9373999999998</v>
      </c>
      <c r="M34" s="33">
        <v>0.1729820591506013</v>
      </c>
      <c r="N34" s="38">
        <f t="shared" si="0"/>
        <v>-0.40919323930895524</v>
      </c>
      <c r="O34" s="38">
        <f t="shared" si="1"/>
        <v>-0.38889200905383481</v>
      </c>
      <c r="P34" s="38">
        <f t="shared" si="2"/>
        <v>-0.26105378058229922</v>
      </c>
      <c r="Q34" s="41"/>
    </row>
    <row r="35" spans="1:17" x14ac:dyDescent="0.3">
      <c r="A35" s="32" t="s">
        <v>817</v>
      </c>
      <c r="B35" s="27">
        <v>19.4956</v>
      </c>
      <c r="C35" s="27">
        <v>39.761499999999998</v>
      </c>
      <c r="D35" s="27">
        <v>26.269500000000001</v>
      </c>
      <c r="E35">
        <v>286.04970000000003</v>
      </c>
      <c r="F35">
        <v>652.10879999999997</v>
      </c>
      <c r="G35">
        <v>499.83789999999999</v>
      </c>
      <c r="H35" s="33">
        <v>0.13625681922822636</v>
      </c>
      <c r="I35" s="33">
        <v>0.12749042723352794</v>
      </c>
      <c r="J35" s="33">
        <v>0.13125424678968822</v>
      </c>
      <c r="K35" s="33">
        <v>85.526600000000002</v>
      </c>
      <c r="L35" s="33">
        <v>1437.9964</v>
      </c>
      <c r="M35" s="33">
        <v>0.13166716441714749</v>
      </c>
      <c r="N35" s="38">
        <f t="shared" si="0"/>
        <v>1.039511479513326</v>
      </c>
      <c r="O35" s="38">
        <f t="shared" si="1"/>
        <v>1.2797045408542638</v>
      </c>
      <c r="P35" s="38">
        <f t="shared" si="2"/>
        <v>-6.4337271663555851E-2</v>
      </c>
      <c r="Q35" s="41"/>
    </row>
    <row r="36" spans="1:17" x14ac:dyDescent="0.3">
      <c r="A36" s="32" t="s">
        <v>761</v>
      </c>
      <c r="B36" s="27">
        <v>41.451899999999995</v>
      </c>
      <c r="C36" s="27">
        <v>23.849699999999999</v>
      </c>
      <c r="D36" s="27">
        <v>14.791499999999999</v>
      </c>
      <c r="E36">
        <v>1547.7049999999999</v>
      </c>
      <c r="F36">
        <v>1096.4468000000002</v>
      </c>
      <c r="G36">
        <v>817.30310000000009</v>
      </c>
      <c r="H36" s="33">
        <v>5.5640402866708849E-2</v>
      </c>
      <c r="I36" s="33">
        <v>8.7771283971242647E-2</v>
      </c>
      <c r="J36" s="33">
        <v>0.10876540381513013</v>
      </c>
      <c r="K36" s="33">
        <v>80.093099999999993</v>
      </c>
      <c r="L36" s="33">
        <v>3461.4548999999997</v>
      </c>
      <c r="M36" s="33">
        <v>8.4059030217693884E-2</v>
      </c>
      <c r="N36" s="38">
        <f t="shared" si="0"/>
        <v>-0.42464157252140433</v>
      </c>
      <c r="O36" s="38">
        <f t="shared" si="1"/>
        <v>-0.29156602840980661</v>
      </c>
      <c r="P36" s="38">
        <f t="shared" si="2"/>
        <v>0.5774739119252239</v>
      </c>
      <c r="Q36" s="41"/>
    </row>
    <row r="37" spans="1:17" x14ac:dyDescent="0.3">
      <c r="A37" s="32" t="s">
        <v>742</v>
      </c>
      <c r="B37" s="27">
        <v>15.6526</v>
      </c>
      <c r="C37" s="27">
        <v>38.264299999999999</v>
      </c>
      <c r="D37" s="27">
        <v>12.5625</v>
      </c>
      <c r="E37">
        <v>709.86449999999991</v>
      </c>
      <c r="F37">
        <v>1422.4409000000001</v>
      </c>
      <c r="G37">
        <v>440.1789</v>
      </c>
      <c r="H37" s="33">
        <v>6.8183673226721794E-2</v>
      </c>
      <c r="I37" s="33">
        <v>5.4730762002838995E-2</v>
      </c>
      <c r="J37" s="33">
        <v>9.0975507846566495E-2</v>
      </c>
      <c r="K37" s="33">
        <v>66.479399999999998</v>
      </c>
      <c r="L37" s="33">
        <v>2572.4843000000001</v>
      </c>
      <c r="M37" s="33">
        <v>7.1296647692042442E-2</v>
      </c>
      <c r="N37" s="38">
        <f t="shared" si="0"/>
        <v>1.4445970637465981</v>
      </c>
      <c r="O37" s="38">
        <f t="shared" si="1"/>
        <v>1.0038203065514617</v>
      </c>
      <c r="P37" s="38">
        <f t="shared" si="2"/>
        <v>-0.19730399650294117</v>
      </c>
      <c r="Q37" s="41"/>
    </row>
    <row r="38" spans="1:17" x14ac:dyDescent="0.3">
      <c r="A38" s="32" t="s">
        <v>722</v>
      </c>
      <c r="B38" s="27">
        <v>0</v>
      </c>
      <c r="C38" s="27">
        <v>13.192</v>
      </c>
      <c r="D38" s="27">
        <v>52.811099999999996</v>
      </c>
      <c r="E38">
        <v>0</v>
      </c>
      <c r="F38">
        <v>565.53910000000008</v>
      </c>
      <c r="G38">
        <v>2091.2260999999999</v>
      </c>
      <c r="H38" s="33">
        <v>0</v>
      </c>
      <c r="I38" s="33">
        <v>8.1983399702917625E-2</v>
      </c>
      <c r="J38" s="33">
        <v>8.389535487864952E-2</v>
      </c>
      <c r="K38" s="33">
        <v>66.003100000000003</v>
      </c>
      <c r="L38" s="33">
        <v>2656.7651999999998</v>
      </c>
      <c r="M38" s="33">
        <v>5.5292918193855706E-2</v>
      </c>
      <c r="N38" s="38">
        <f t="shared" si="0"/>
        <v>0</v>
      </c>
      <c r="O38" s="38">
        <f t="shared" si="1"/>
        <v>0</v>
      </c>
      <c r="P38" s="38">
        <f t="shared" si="2"/>
        <v>0</v>
      </c>
      <c r="Q38" s="41"/>
    </row>
    <row r="39" spans="1:17" x14ac:dyDescent="0.3">
      <c r="A39" s="32" t="s">
        <v>769</v>
      </c>
      <c r="B39" s="27">
        <v>23.7456</v>
      </c>
      <c r="C39" s="27">
        <v>29.356499999999997</v>
      </c>
      <c r="D39" s="27">
        <v>11.906700000000001</v>
      </c>
      <c r="E39">
        <v>713.0412</v>
      </c>
      <c r="F39">
        <v>960.05749999999989</v>
      </c>
      <c r="G39">
        <v>372.1223</v>
      </c>
      <c r="H39" s="33">
        <v>0.10369334135071115</v>
      </c>
      <c r="I39" s="33">
        <v>6.119513076160088E-2</v>
      </c>
      <c r="J39" s="33">
        <v>6.4300397245566007E-2</v>
      </c>
      <c r="K39" s="33">
        <v>65.008799999999994</v>
      </c>
      <c r="L39" s="33">
        <v>2045.2209999999998</v>
      </c>
      <c r="M39" s="33">
        <v>7.6396289785959345E-2</v>
      </c>
      <c r="N39" s="38">
        <f t="shared" si="0"/>
        <v>0.23629219729128748</v>
      </c>
      <c r="O39" s="38">
        <f t="shared" si="1"/>
        <v>0.34642640565510074</v>
      </c>
      <c r="P39" s="38">
        <f t="shared" si="2"/>
        <v>-0.409845126365183</v>
      </c>
      <c r="Q39" s="41"/>
    </row>
    <row r="40" spans="1:17" x14ac:dyDescent="0.3">
      <c r="A40" s="32" t="s">
        <v>733</v>
      </c>
      <c r="B40" s="27">
        <v>0</v>
      </c>
      <c r="C40" s="27">
        <v>1.8077000000000001</v>
      </c>
      <c r="D40" s="27">
        <v>54.250700000000002</v>
      </c>
      <c r="E40">
        <v>0</v>
      </c>
      <c r="F40">
        <v>127.6024</v>
      </c>
      <c r="G40">
        <v>2956.24</v>
      </c>
      <c r="H40" s="33">
        <v>0</v>
      </c>
      <c r="I40" s="33">
        <v>1.4166661442104538E-2</v>
      </c>
      <c r="J40" s="33">
        <v>1.8351250236787273E-2</v>
      </c>
      <c r="K40" s="33">
        <v>56.058399999999999</v>
      </c>
      <c r="L40" s="33">
        <v>3083.8424</v>
      </c>
      <c r="M40" s="33">
        <v>1.0839303892963939E-2</v>
      </c>
      <c r="N40" s="38">
        <f t="shared" si="0"/>
        <v>0</v>
      </c>
      <c r="O40" s="38">
        <f t="shared" si="1"/>
        <v>0</v>
      </c>
      <c r="P40" s="38">
        <f t="shared" si="2"/>
        <v>0</v>
      </c>
      <c r="Q40" s="41"/>
    </row>
    <row r="41" spans="1:17" x14ac:dyDescent="0.3">
      <c r="A41" s="32" t="s">
        <v>811</v>
      </c>
      <c r="B41" s="27">
        <v>34.924300000000002</v>
      </c>
      <c r="C41" s="27">
        <v>13.6989</v>
      </c>
      <c r="D41" s="27">
        <v>2.1793999999999998</v>
      </c>
      <c r="E41">
        <v>2361.752</v>
      </c>
      <c r="F41">
        <v>920.36569999999995</v>
      </c>
      <c r="G41">
        <v>151.65029999999999</v>
      </c>
      <c r="H41" s="33">
        <v>4.306082439338936E-2</v>
      </c>
      <c r="I41" s="33">
        <v>4.0664776277556297E-2</v>
      </c>
      <c r="J41" s="33">
        <v>1.4371221158151351E-2</v>
      </c>
      <c r="K41" s="33">
        <v>50.802600000000005</v>
      </c>
      <c r="L41" s="33">
        <v>3433.7679999999996</v>
      </c>
      <c r="M41" s="33">
        <v>3.2698940609699002E-2</v>
      </c>
      <c r="N41" s="38">
        <f t="shared" si="0"/>
        <v>-0.60775448613143279</v>
      </c>
      <c r="O41" s="38">
        <f t="shared" si="1"/>
        <v>-0.61030383376408703</v>
      </c>
      <c r="P41" s="38">
        <f t="shared" si="2"/>
        <v>-5.5643340544146658E-2</v>
      </c>
      <c r="Q41" s="41"/>
    </row>
    <row r="42" spans="1:17" x14ac:dyDescent="0.3">
      <c r="A42" s="32" t="s">
        <v>765</v>
      </c>
      <c r="B42" s="27">
        <v>20.5806</v>
      </c>
      <c r="C42" s="27">
        <v>16.885899999999999</v>
      </c>
      <c r="D42" s="27">
        <v>8.2624999999999993</v>
      </c>
      <c r="E42">
        <v>116.04810000000001</v>
      </c>
      <c r="F42">
        <v>107.194</v>
      </c>
      <c r="G42">
        <v>44.347099999999998</v>
      </c>
      <c r="H42" s="33">
        <v>1.1301031834611153</v>
      </c>
      <c r="I42" s="33">
        <v>1.0891499358218462</v>
      </c>
      <c r="J42" s="33">
        <v>1.0970865297077648</v>
      </c>
      <c r="K42" s="33">
        <v>45.728999999999999</v>
      </c>
      <c r="L42" s="33">
        <v>267.58920000000001</v>
      </c>
      <c r="M42" s="33">
        <v>1.1054465496635753</v>
      </c>
      <c r="N42" s="38">
        <f t="shared" si="0"/>
        <v>-0.17952343469092258</v>
      </c>
      <c r="O42" s="38">
        <f t="shared" si="1"/>
        <v>-7.6296811408372966E-2</v>
      </c>
      <c r="P42" s="38">
        <f t="shared" si="2"/>
        <v>-3.6238503031062574E-2</v>
      </c>
      <c r="Q42" s="41"/>
    </row>
    <row r="43" spans="1:17" x14ac:dyDescent="0.3">
      <c r="A43" s="32" t="s">
        <v>788</v>
      </c>
      <c r="B43" s="27">
        <v>26.606400000000001</v>
      </c>
      <c r="C43" s="27">
        <v>12.7163</v>
      </c>
      <c r="D43" s="27">
        <v>6.1868999999999996</v>
      </c>
      <c r="E43">
        <v>773.97839999999997</v>
      </c>
      <c r="F43">
        <v>348.97550000000001</v>
      </c>
      <c r="G43">
        <v>165.1816</v>
      </c>
      <c r="H43" s="33">
        <v>0.10405363584679793</v>
      </c>
      <c r="I43" s="33">
        <v>7.3690535163426579E-2</v>
      </c>
      <c r="J43" s="33">
        <v>7.5236865414258572E-2</v>
      </c>
      <c r="K43" s="33">
        <v>45.509600000000006</v>
      </c>
      <c r="L43" s="33">
        <v>1288.1355000000001</v>
      </c>
      <c r="M43" s="33">
        <v>8.4327012141494365E-2</v>
      </c>
      <c r="N43" s="38">
        <f t="shared" si="0"/>
        <v>-0.52205860244151781</v>
      </c>
      <c r="O43" s="38">
        <f t="shared" si="1"/>
        <v>-0.54911467813572057</v>
      </c>
      <c r="P43" s="38">
        <f t="shared" si="2"/>
        <v>-0.29180240013982872</v>
      </c>
      <c r="Q43" s="41"/>
    </row>
    <row r="44" spans="1:17" x14ac:dyDescent="0.3">
      <c r="A44" s="32" t="s">
        <v>816</v>
      </c>
      <c r="B44" s="27">
        <v>25.839099999999998</v>
      </c>
      <c r="C44" s="27">
        <v>9.0121000000000002</v>
      </c>
      <c r="D44" s="27">
        <v>10.0204</v>
      </c>
      <c r="E44">
        <v>1539.4739</v>
      </c>
      <c r="F44">
        <v>509.45670000000001</v>
      </c>
      <c r="G44">
        <v>585.52229999999997</v>
      </c>
      <c r="H44" s="33">
        <v>1.6784370296891685E-2</v>
      </c>
      <c r="I44" s="33">
        <v>1.7689628971412096E-2</v>
      </c>
      <c r="J44" s="33">
        <v>1.7113609507272396E-2</v>
      </c>
      <c r="K44" s="33">
        <v>44.871600000000001</v>
      </c>
      <c r="L44" s="33">
        <v>2634.4529000000002</v>
      </c>
      <c r="M44" s="33">
        <v>1.7195869591858728E-2</v>
      </c>
      <c r="N44" s="38">
        <f t="shared" si="0"/>
        <v>-0.65122237229624869</v>
      </c>
      <c r="O44" s="38">
        <f t="shared" si="1"/>
        <v>-0.66907090792510349</v>
      </c>
      <c r="P44" s="38">
        <f t="shared" si="2"/>
        <v>5.3934622420005685E-2</v>
      </c>
      <c r="Q44" s="41"/>
    </row>
    <row r="45" spans="1:17" x14ac:dyDescent="0.3">
      <c r="A45" s="32" t="s">
        <v>745</v>
      </c>
      <c r="B45" s="27">
        <v>14.2293</v>
      </c>
      <c r="C45" s="27">
        <v>21.789000000000001</v>
      </c>
      <c r="D45" s="27">
        <v>7.9466000000000001</v>
      </c>
      <c r="E45">
        <v>761.61429999999996</v>
      </c>
      <c r="F45">
        <v>1129.7994000000001</v>
      </c>
      <c r="G45">
        <v>412.24349999999998</v>
      </c>
      <c r="H45" s="33">
        <v>1.868307882349373E-2</v>
      </c>
      <c r="I45" s="33">
        <v>1.9285724527734745E-2</v>
      </c>
      <c r="J45" s="33">
        <v>1.9276471308825975E-2</v>
      </c>
      <c r="K45" s="33">
        <v>43.9649</v>
      </c>
      <c r="L45" s="33">
        <v>2303.6572000000001</v>
      </c>
      <c r="M45" s="33">
        <v>1.908175822001815E-2</v>
      </c>
      <c r="N45" s="38">
        <f t="shared" si="0"/>
        <v>0.53127701292403717</v>
      </c>
      <c r="O45" s="38">
        <f t="shared" si="1"/>
        <v>0.48342724132149328</v>
      </c>
      <c r="P45" s="38">
        <f t="shared" si="2"/>
        <v>3.2256230888626058E-2</v>
      </c>
      <c r="Q45" s="41"/>
    </row>
    <row r="46" spans="1:17" x14ac:dyDescent="0.3">
      <c r="A46" s="32" t="s">
        <v>721</v>
      </c>
      <c r="B46" s="27">
        <v>11.963200000000001</v>
      </c>
      <c r="C46" s="27">
        <v>18.136400000000002</v>
      </c>
      <c r="D46" s="27">
        <v>9.0268999999999995</v>
      </c>
      <c r="E46">
        <v>603.27649999999994</v>
      </c>
      <c r="F46">
        <v>937.45159999999987</v>
      </c>
      <c r="G46">
        <v>454.77449999999999</v>
      </c>
      <c r="H46" s="33">
        <v>9.7581956790745203E-2</v>
      </c>
      <c r="I46" s="33">
        <v>9.8309807267625685E-2</v>
      </c>
      <c r="J46" s="33">
        <v>0.10726382138635132</v>
      </c>
      <c r="K46" s="33">
        <v>39.126499999999993</v>
      </c>
      <c r="L46" s="33">
        <v>1995.5025999999998</v>
      </c>
      <c r="M46" s="33">
        <v>0.1010518618149074</v>
      </c>
      <c r="N46" s="38">
        <f t="shared" si="0"/>
        <v>0.51601578173064078</v>
      </c>
      <c r="O46" s="38">
        <f t="shared" si="1"/>
        <v>0.55393356114484815</v>
      </c>
      <c r="P46" s="38">
        <f t="shared" si="2"/>
        <v>7.4588633064747167E-3</v>
      </c>
      <c r="Q46" s="41"/>
    </row>
    <row r="47" spans="1:17" x14ac:dyDescent="0.3">
      <c r="A47" s="32" t="s">
        <v>802</v>
      </c>
      <c r="B47" s="27">
        <v>18.511199999999999</v>
      </c>
      <c r="C47" s="27">
        <v>14.1861</v>
      </c>
      <c r="D47" s="27">
        <v>5.5843999999999996</v>
      </c>
      <c r="E47">
        <v>978.49419999999998</v>
      </c>
      <c r="F47">
        <v>734.42629999999997</v>
      </c>
      <c r="G47">
        <v>305.17070000000001</v>
      </c>
      <c r="H47" s="33">
        <v>3.4907043240263044E-2</v>
      </c>
      <c r="I47" s="33">
        <v>3.5618802871793739E-2</v>
      </c>
      <c r="J47" s="33">
        <v>1.8299266607180831E-2</v>
      </c>
      <c r="K47" s="33">
        <v>38.281700000000001</v>
      </c>
      <c r="L47" s="33">
        <v>2018.0912000000001</v>
      </c>
      <c r="M47" s="33">
        <v>2.9608370906412537E-2</v>
      </c>
      <c r="N47" s="38">
        <f t="shared" si="0"/>
        <v>-0.23364773758589386</v>
      </c>
      <c r="O47" s="38">
        <f t="shared" si="1"/>
        <v>-0.2494321376662223</v>
      </c>
      <c r="P47" s="38">
        <f t="shared" si="2"/>
        <v>2.0390143806557903E-2</v>
      </c>
      <c r="Q47" s="41"/>
    </row>
    <row r="48" spans="1:17" x14ac:dyDescent="0.3">
      <c r="A48" s="32" t="s">
        <v>756</v>
      </c>
      <c r="B48" s="27">
        <v>34.405900000000003</v>
      </c>
      <c r="C48" s="27">
        <v>2.0082999999999998</v>
      </c>
      <c r="D48" s="27">
        <v>5.9499999999999997E-2</v>
      </c>
      <c r="E48">
        <v>1027.0906</v>
      </c>
      <c r="F48">
        <v>44.666600000000003</v>
      </c>
      <c r="G48">
        <v>0.51659999999999995</v>
      </c>
      <c r="H48" s="33">
        <v>0.29243470017345841</v>
      </c>
      <c r="I48" s="33">
        <v>0.31512921626868623</v>
      </c>
      <c r="J48" s="33">
        <v>0.21829288025889967</v>
      </c>
      <c r="K48" s="33">
        <v>36.473700000000001</v>
      </c>
      <c r="L48" s="33">
        <v>1072.2737999999999</v>
      </c>
      <c r="M48" s="33">
        <v>0.27528559890034815</v>
      </c>
      <c r="N48" s="38">
        <f t="shared" si="0"/>
        <v>-0.94162919731790184</v>
      </c>
      <c r="O48" s="38">
        <f t="shared" si="1"/>
        <v>-0.9565115287784739</v>
      </c>
      <c r="P48" s="38">
        <f t="shared" si="2"/>
        <v>7.760541441137625E-2</v>
      </c>
      <c r="Q48" s="41"/>
    </row>
    <row r="49" spans="1:17" x14ac:dyDescent="0.3">
      <c r="A49" s="32" t="s">
        <v>764</v>
      </c>
      <c r="B49" s="27">
        <v>11.181699999999999</v>
      </c>
      <c r="C49" s="27">
        <v>15.1816</v>
      </c>
      <c r="D49" s="27">
        <v>9.6165000000000003</v>
      </c>
      <c r="E49">
        <v>586.38080000000002</v>
      </c>
      <c r="F49">
        <v>752.94479999999999</v>
      </c>
      <c r="G49">
        <v>438.76389999999998</v>
      </c>
      <c r="H49" s="33">
        <v>1.9069007716487306E-2</v>
      </c>
      <c r="I49" s="33">
        <v>2.0162965465728697E-2</v>
      </c>
      <c r="J49" s="33">
        <v>2.1917254359349072E-2</v>
      </c>
      <c r="K49" s="33">
        <v>35.979799999999997</v>
      </c>
      <c r="L49" s="33">
        <v>1778.0895</v>
      </c>
      <c r="M49" s="33">
        <v>2.0383075847188358E-2</v>
      </c>
      <c r="N49" s="38">
        <f t="shared" si="0"/>
        <v>0.35771841491007628</v>
      </c>
      <c r="O49" s="38">
        <f t="shared" si="1"/>
        <v>0.28405432101460337</v>
      </c>
      <c r="P49" s="38">
        <f t="shared" si="2"/>
        <v>5.7368362607328693E-2</v>
      </c>
      <c r="Q49" s="41"/>
    </row>
    <row r="50" spans="1:17" x14ac:dyDescent="0.3">
      <c r="A50" s="32" t="s">
        <v>792</v>
      </c>
      <c r="B50" s="27">
        <v>12.300700000000001</v>
      </c>
      <c r="C50" s="27">
        <v>12.5441</v>
      </c>
      <c r="D50" s="27">
        <v>8.6649999999999991</v>
      </c>
      <c r="E50">
        <v>127.5915</v>
      </c>
      <c r="F50">
        <v>142.67039999999997</v>
      </c>
      <c r="G50">
        <v>110.3914</v>
      </c>
      <c r="H50" s="33">
        <v>0.17054125889106808</v>
      </c>
      <c r="I50" s="33">
        <v>0.18035797458254976</v>
      </c>
      <c r="J50" s="33">
        <v>0.19110388869760198</v>
      </c>
      <c r="K50" s="33">
        <v>33.509799999999998</v>
      </c>
      <c r="L50" s="33">
        <v>380.6533</v>
      </c>
      <c r="M50" s="33">
        <v>0.18066770739040661</v>
      </c>
      <c r="N50" s="38">
        <f t="shared" si="0"/>
        <v>1.9787491768761045E-2</v>
      </c>
      <c r="O50" s="38">
        <f t="shared" si="1"/>
        <v>0.11818107005560696</v>
      </c>
      <c r="P50" s="38">
        <f t="shared" si="2"/>
        <v>5.7562115791299773E-2</v>
      </c>
      <c r="Q50" s="41"/>
    </row>
    <row r="51" spans="1:17" x14ac:dyDescent="0.3">
      <c r="A51" s="32" t="s">
        <v>757</v>
      </c>
      <c r="B51" s="27">
        <v>0</v>
      </c>
      <c r="C51" s="27">
        <v>10.2052</v>
      </c>
      <c r="D51" s="27">
        <v>14.4321</v>
      </c>
      <c r="E51">
        <v>0</v>
      </c>
      <c r="F51">
        <v>569.2527</v>
      </c>
      <c r="G51">
        <v>716.4248</v>
      </c>
      <c r="H51" s="33">
        <v>0</v>
      </c>
      <c r="I51" s="33">
        <v>1.7927363366041126E-2</v>
      </c>
      <c r="J51" s="33">
        <v>2.014461252597621E-2</v>
      </c>
      <c r="K51" s="33">
        <v>24.6373</v>
      </c>
      <c r="L51" s="33">
        <v>1285.6775</v>
      </c>
      <c r="M51" s="33">
        <v>1.2690658630672445E-2</v>
      </c>
      <c r="N51" s="38">
        <f t="shared" si="0"/>
        <v>0</v>
      </c>
      <c r="O51" s="38">
        <f t="shared" si="1"/>
        <v>0</v>
      </c>
      <c r="P51" s="38">
        <f t="shared" si="2"/>
        <v>0</v>
      </c>
      <c r="Q51" s="41"/>
    </row>
    <row r="52" spans="1:17" x14ac:dyDescent="0.3">
      <c r="A52" s="32" t="s">
        <v>814</v>
      </c>
      <c r="B52" s="27">
        <v>0</v>
      </c>
      <c r="C52" s="27">
        <v>5.9899999999999995E-2</v>
      </c>
      <c r="D52" s="27">
        <v>22.319899999999997</v>
      </c>
      <c r="E52">
        <v>0</v>
      </c>
      <c r="F52">
        <v>3.96</v>
      </c>
      <c r="G52">
        <v>1362.7346</v>
      </c>
      <c r="H52" s="33">
        <v>0</v>
      </c>
      <c r="I52" s="33">
        <v>3.0252211474153426E-2</v>
      </c>
      <c r="J52" s="33">
        <v>4.9308678208649648E-2</v>
      </c>
      <c r="K52" s="33">
        <v>22.379799999999999</v>
      </c>
      <c r="L52" s="33">
        <v>1366.6946</v>
      </c>
      <c r="M52" s="33">
        <v>2.652029656093436E-2</v>
      </c>
      <c r="N52" s="38">
        <f t="shared" si="0"/>
        <v>0</v>
      </c>
      <c r="O52" s="38">
        <f t="shared" si="1"/>
        <v>0</v>
      </c>
      <c r="P52" s="38">
        <f t="shared" si="2"/>
        <v>0</v>
      </c>
      <c r="Q52" s="41"/>
    </row>
    <row r="53" spans="1:17" x14ac:dyDescent="0.3">
      <c r="A53" s="32" t="s">
        <v>796</v>
      </c>
      <c r="B53" s="27">
        <v>2.9096000000000002</v>
      </c>
      <c r="C53" s="27">
        <v>6.0198</v>
      </c>
      <c r="D53" s="27">
        <v>5.5109000000000004</v>
      </c>
      <c r="E53">
        <v>55.366500000000002</v>
      </c>
      <c r="F53">
        <v>108.4705</v>
      </c>
      <c r="G53">
        <v>98.710099999999997</v>
      </c>
      <c r="H53" s="33">
        <v>5.2551633207806168E-2</v>
      </c>
      <c r="I53" s="33">
        <v>5.5497116727589529E-2</v>
      </c>
      <c r="J53" s="33">
        <v>5.5829140077864381E-2</v>
      </c>
      <c r="K53" s="33">
        <v>14.440300000000001</v>
      </c>
      <c r="L53" s="33">
        <v>262.5471</v>
      </c>
      <c r="M53" s="33">
        <v>5.462596333775336E-2</v>
      </c>
      <c r="N53" s="38">
        <f t="shared" si="0"/>
        <v>1.0689441847676657</v>
      </c>
      <c r="O53" s="38">
        <f t="shared" si="1"/>
        <v>0.95913593960246724</v>
      </c>
      <c r="P53" s="38">
        <f t="shared" si="2"/>
        <v>5.604932406450569E-2</v>
      </c>
      <c r="Q53" s="41"/>
    </row>
    <row r="54" spans="1:17" x14ac:dyDescent="0.3">
      <c r="A54" s="32" t="s">
        <v>778</v>
      </c>
      <c r="B54" s="27">
        <v>8.7314000000000007</v>
      </c>
      <c r="C54" s="27">
        <v>3.2121000000000004</v>
      </c>
      <c r="D54" s="27">
        <v>0</v>
      </c>
      <c r="E54">
        <v>524.32740000000001</v>
      </c>
      <c r="F54">
        <v>172.9469</v>
      </c>
      <c r="G54">
        <v>0</v>
      </c>
      <c r="H54" s="33">
        <v>3.504654250364235E-2</v>
      </c>
      <c r="I54" s="33">
        <v>3.7947624277421106E-2</v>
      </c>
      <c r="J54" s="33">
        <v>0</v>
      </c>
      <c r="K54" s="33">
        <v>11.9435</v>
      </c>
      <c r="L54" s="33">
        <v>697.27430000000004</v>
      </c>
      <c r="M54" s="33">
        <v>2.433138892702115E-2</v>
      </c>
      <c r="N54" s="38">
        <f t="shared" si="0"/>
        <v>-0.63212085118079575</v>
      </c>
      <c r="O54" s="38">
        <f t="shared" si="1"/>
        <v>-0.67015475445303829</v>
      </c>
      <c r="P54" s="38">
        <f t="shared" si="2"/>
        <v>8.2777973703889618E-2</v>
      </c>
      <c r="Q54" s="41"/>
    </row>
    <row r="55" spans="1:17" x14ac:dyDescent="0.3">
      <c r="A55" s="32" t="s">
        <v>751</v>
      </c>
      <c r="B55" s="27">
        <v>4.01</v>
      </c>
      <c r="C55" s="27">
        <v>6.6558000000000002</v>
      </c>
      <c r="D55" s="27">
        <v>0</v>
      </c>
      <c r="E55">
        <v>83.552000000000007</v>
      </c>
      <c r="F55">
        <v>115.5257</v>
      </c>
      <c r="G55">
        <v>0</v>
      </c>
      <c r="H55" s="33">
        <v>0.19495260697981723</v>
      </c>
      <c r="I55" s="33">
        <v>0.11263039321683696</v>
      </c>
      <c r="J55" s="33">
        <v>0</v>
      </c>
      <c r="K55" s="33">
        <v>10.665799999999999</v>
      </c>
      <c r="L55" s="33">
        <v>199.07769999999999</v>
      </c>
      <c r="M55" s="33">
        <v>0.10252766673221805</v>
      </c>
      <c r="N55" s="38">
        <f t="shared" si="0"/>
        <v>0.65980049875311741</v>
      </c>
      <c r="O55" s="38">
        <f t="shared" si="1"/>
        <v>0.38268024703178849</v>
      </c>
      <c r="P55" s="38">
        <f t="shared" si="2"/>
        <v>-0.42226782723404566</v>
      </c>
      <c r="Q55" s="41"/>
    </row>
    <row r="56" spans="1:17" x14ac:dyDescent="0.3">
      <c r="A56" s="32" t="s">
        <v>716</v>
      </c>
      <c r="B56" s="27">
        <v>0</v>
      </c>
      <c r="C56" s="27">
        <v>4.4634999999999998</v>
      </c>
      <c r="D56" s="27">
        <v>5.9010000000000007</v>
      </c>
      <c r="E56">
        <v>0</v>
      </c>
      <c r="F56">
        <v>231.33420000000001</v>
      </c>
      <c r="G56">
        <v>348.19820000000004</v>
      </c>
      <c r="H56" s="33">
        <v>0</v>
      </c>
      <c r="I56" s="33">
        <v>1.9294596302665147E-2</v>
      </c>
      <c r="J56" s="33">
        <v>3.6320305379557459E-2</v>
      </c>
      <c r="K56" s="33">
        <v>10.3645</v>
      </c>
      <c r="L56" s="33">
        <v>579.53240000000005</v>
      </c>
      <c r="M56" s="33">
        <v>1.8538300560740868E-2</v>
      </c>
      <c r="N56" s="38">
        <f t="shared" si="0"/>
        <v>0</v>
      </c>
      <c r="O56" s="38">
        <f t="shared" si="1"/>
        <v>0</v>
      </c>
      <c r="P56" s="38">
        <f t="shared" si="2"/>
        <v>0</v>
      </c>
      <c r="Q56" s="41"/>
    </row>
    <row r="57" spans="1:17" x14ac:dyDescent="0.3">
      <c r="A57" s="32" t="s">
        <v>741</v>
      </c>
      <c r="B57" s="27">
        <v>8.6898999999999997</v>
      </c>
      <c r="C57" s="27">
        <v>1.198</v>
      </c>
      <c r="D57" s="27">
        <v>0.1404</v>
      </c>
      <c r="E57">
        <v>161.0712</v>
      </c>
      <c r="F57">
        <v>29.083500000000001</v>
      </c>
      <c r="G57">
        <v>1.4401999999999999</v>
      </c>
      <c r="H57" s="33">
        <v>0.23567239020028197</v>
      </c>
      <c r="I57" s="33">
        <v>0.27303171541995752</v>
      </c>
      <c r="J57" s="33">
        <v>9.7486460213859191E-2</v>
      </c>
      <c r="K57" s="33">
        <v>10.028300000000002</v>
      </c>
      <c r="L57" s="33">
        <v>191.5949</v>
      </c>
      <c r="M57" s="33">
        <v>0.20206352194469956</v>
      </c>
      <c r="N57" s="38">
        <f t="shared" si="0"/>
        <v>-0.86213880481938809</v>
      </c>
      <c r="O57" s="38">
        <f t="shared" si="1"/>
        <v>-0.81943699432300743</v>
      </c>
      <c r="P57" s="38">
        <f t="shared" si="2"/>
        <v>0.15852228251228917</v>
      </c>
      <c r="Q57" s="41"/>
    </row>
    <row r="58" spans="1:17" x14ac:dyDescent="0.3">
      <c r="A58" s="32" t="s">
        <v>743</v>
      </c>
      <c r="B58" s="27">
        <v>9.2643000000000004</v>
      </c>
      <c r="C58" s="27">
        <v>0.1729</v>
      </c>
      <c r="D58" s="27">
        <v>3.0000000000000001E-3</v>
      </c>
      <c r="E58">
        <v>358.95989999999995</v>
      </c>
      <c r="F58">
        <v>4.9572000000000003</v>
      </c>
      <c r="G58">
        <v>7.1999999999999995E-2</v>
      </c>
      <c r="H58" s="33">
        <v>4.881329512708104E-2</v>
      </c>
      <c r="I58" s="33">
        <v>6.3691061212281783E-2</v>
      </c>
      <c r="J58" s="33">
        <v>4.1666666666666671E-2</v>
      </c>
      <c r="K58" s="33">
        <v>9.4402000000000008</v>
      </c>
      <c r="L58" s="33">
        <v>363.98909999999995</v>
      </c>
      <c r="M58" s="33">
        <v>5.1390341002009836E-2</v>
      </c>
      <c r="N58" s="38">
        <f t="shared" si="0"/>
        <v>-0.98133696015888949</v>
      </c>
      <c r="O58" s="38">
        <f t="shared" si="1"/>
        <v>-0.98619010089984982</v>
      </c>
      <c r="P58" s="38">
        <f t="shared" si="2"/>
        <v>0.30478921872550946</v>
      </c>
      <c r="Q58" s="41"/>
    </row>
    <row r="59" spans="1:17" x14ac:dyDescent="0.3">
      <c r="A59" s="32" t="s">
        <v>747</v>
      </c>
      <c r="B59" s="27">
        <v>9.1873000000000005</v>
      </c>
      <c r="C59" s="27">
        <v>0</v>
      </c>
      <c r="D59" s="27">
        <v>0</v>
      </c>
      <c r="E59">
        <v>430.16890000000001</v>
      </c>
      <c r="F59">
        <v>0</v>
      </c>
      <c r="G59">
        <v>0</v>
      </c>
      <c r="H59" s="33">
        <v>4.2220521923236956E-2</v>
      </c>
      <c r="I59" s="33">
        <v>0</v>
      </c>
      <c r="J59" s="33">
        <v>0</v>
      </c>
      <c r="K59" s="33">
        <v>9.1873000000000005</v>
      </c>
      <c r="L59" s="33">
        <v>430.16890000000001</v>
      </c>
      <c r="M59" s="33">
        <v>1.4073507307745654E-2</v>
      </c>
      <c r="N59" s="38">
        <f t="shared" si="0"/>
        <v>-1</v>
      </c>
      <c r="O59" s="38">
        <f t="shared" si="1"/>
        <v>-1</v>
      </c>
      <c r="P59" s="38">
        <f t="shared" si="2"/>
        <v>-1</v>
      </c>
      <c r="Q59" s="41"/>
    </row>
    <row r="60" spans="1:17" x14ac:dyDescent="0.3">
      <c r="A60" s="32" t="s">
        <v>737</v>
      </c>
      <c r="B60" s="27">
        <v>8.9794</v>
      </c>
      <c r="C60" s="27">
        <v>0</v>
      </c>
      <c r="D60" s="27">
        <v>0</v>
      </c>
      <c r="E60">
        <v>618.46879999999999</v>
      </c>
      <c r="F60">
        <v>0</v>
      </c>
      <c r="G60">
        <v>0</v>
      </c>
      <c r="H60" s="33">
        <v>1.4518759879237239E-2</v>
      </c>
      <c r="I60" s="33">
        <v>0</v>
      </c>
      <c r="J60" s="33">
        <v>0</v>
      </c>
      <c r="K60" s="33">
        <v>8.9794</v>
      </c>
      <c r="L60" s="33">
        <v>618.46879999999999</v>
      </c>
      <c r="M60" s="33">
        <v>4.8395866264124131E-3</v>
      </c>
      <c r="N60" s="38">
        <f t="shared" si="0"/>
        <v>-1</v>
      </c>
      <c r="O60" s="38">
        <f t="shared" si="1"/>
        <v>-1</v>
      </c>
      <c r="P60" s="38">
        <f t="shared" si="2"/>
        <v>-1</v>
      </c>
      <c r="Q60" s="41"/>
    </row>
    <row r="61" spans="1:17" x14ac:dyDescent="0.3">
      <c r="A61" s="32" t="s">
        <v>746</v>
      </c>
      <c r="B61" s="27">
        <v>7.4866999999999999</v>
      </c>
      <c r="C61" s="27">
        <v>1.5100000000000001E-2</v>
      </c>
      <c r="D61" s="27">
        <v>0</v>
      </c>
      <c r="E61">
        <v>509.18150000000003</v>
      </c>
      <c r="F61">
        <v>0.77590000000000003</v>
      </c>
      <c r="G61">
        <v>0</v>
      </c>
      <c r="H61" s="33">
        <v>1.4703401439368869E-2</v>
      </c>
      <c r="I61" s="33">
        <v>1.9461270782317307E-2</v>
      </c>
      <c r="J61" s="33">
        <v>0</v>
      </c>
      <c r="K61" s="33">
        <v>7.5018000000000002</v>
      </c>
      <c r="L61" s="33">
        <v>509.95740000000001</v>
      </c>
      <c r="M61" s="33">
        <v>1.1388224073895392E-2</v>
      </c>
      <c r="N61" s="38">
        <f t="shared" si="0"/>
        <v>-0.99798309001295626</v>
      </c>
      <c r="O61" s="38">
        <f t="shared" si="1"/>
        <v>-0.99847618187227938</v>
      </c>
      <c r="P61" s="38">
        <f t="shared" si="2"/>
        <v>0.32358970559078104</v>
      </c>
      <c r="Q61" s="41"/>
    </row>
    <row r="62" spans="1:17" x14ac:dyDescent="0.3">
      <c r="A62" s="32" t="s">
        <v>773</v>
      </c>
      <c r="B62" s="27">
        <v>0</v>
      </c>
      <c r="C62" s="27">
        <v>6.2138</v>
      </c>
      <c r="D62" s="27">
        <v>8.77E-2</v>
      </c>
      <c r="E62">
        <v>0</v>
      </c>
      <c r="F62">
        <v>384.83499999999998</v>
      </c>
      <c r="G62">
        <v>5.7408999999999999</v>
      </c>
      <c r="H62" s="33">
        <v>0</v>
      </c>
      <c r="I62" s="33">
        <v>1.6146660256993257E-2</v>
      </c>
      <c r="J62" s="33">
        <v>1.5276350398021216E-2</v>
      </c>
      <c r="K62" s="33">
        <v>6.3014999999999999</v>
      </c>
      <c r="L62" s="33">
        <v>390.57589999999999</v>
      </c>
      <c r="M62" s="33">
        <v>1.0474336885004825E-2</v>
      </c>
      <c r="N62" s="38">
        <f t="shared" si="0"/>
        <v>0</v>
      </c>
      <c r="O62" s="38">
        <f t="shared" si="1"/>
        <v>0</v>
      </c>
      <c r="P62" s="38">
        <f t="shared" si="2"/>
        <v>0</v>
      </c>
      <c r="Q62" s="41"/>
    </row>
    <row r="63" spans="1:17" x14ac:dyDescent="0.3">
      <c r="A63" s="32" t="s">
        <v>818</v>
      </c>
      <c r="B63" s="27">
        <v>1.8396999999999999</v>
      </c>
      <c r="C63" s="27">
        <v>4.3616000000000001</v>
      </c>
      <c r="D63" s="27">
        <v>0</v>
      </c>
      <c r="E63">
        <v>115.49760000000001</v>
      </c>
      <c r="F63">
        <v>300.46589999999998</v>
      </c>
      <c r="G63">
        <v>0</v>
      </c>
      <c r="H63" s="33">
        <v>1.5928469509323136E-2</v>
      </c>
      <c r="I63" s="33">
        <v>1.4516123127449739E-2</v>
      </c>
      <c r="J63" s="33">
        <v>0</v>
      </c>
      <c r="K63" s="33">
        <v>6.2012999999999998</v>
      </c>
      <c r="L63" s="33">
        <v>415.96349999999995</v>
      </c>
      <c r="M63" s="33">
        <v>1.0148197545590959E-2</v>
      </c>
      <c r="N63" s="38">
        <f t="shared" si="0"/>
        <v>1.370821329564603</v>
      </c>
      <c r="O63" s="38">
        <f t="shared" si="1"/>
        <v>1.6014904205801677</v>
      </c>
      <c r="P63" s="38">
        <f t="shared" si="2"/>
        <v>-8.8668053201642061E-2</v>
      </c>
      <c r="Q63" s="41"/>
    </row>
    <row r="64" spans="1:17" x14ac:dyDescent="0.3">
      <c r="A64" s="32" t="s">
        <v>763</v>
      </c>
      <c r="B64" s="27">
        <v>6.1032999999999999</v>
      </c>
      <c r="C64" s="27">
        <v>8.2299999999999998E-2</v>
      </c>
      <c r="D64" s="27">
        <v>0</v>
      </c>
      <c r="E64">
        <v>422.25490000000002</v>
      </c>
      <c r="F64">
        <v>3.4649000000000001</v>
      </c>
      <c r="G64">
        <v>0</v>
      </c>
      <c r="H64" s="33">
        <v>3.8074903494241044E-2</v>
      </c>
      <c r="I64" s="33">
        <v>2.3752489249328983E-2</v>
      </c>
      <c r="J64" s="33">
        <v>0</v>
      </c>
      <c r="K64" s="33">
        <v>6.1856</v>
      </c>
      <c r="L64" s="33">
        <v>425.71980000000002</v>
      </c>
      <c r="M64" s="33">
        <v>2.0609130914523339E-2</v>
      </c>
      <c r="N64" s="38">
        <f t="shared" si="0"/>
        <v>-0.98651549161928798</v>
      </c>
      <c r="O64" s="38">
        <f t="shared" si="1"/>
        <v>-0.99179429297327282</v>
      </c>
      <c r="P64" s="38">
        <f t="shared" si="2"/>
        <v>-0.37616416406881703</v>
      </c>
      <c r="Q64" s="41"/>
    </row>
    <row r="65" spans="1:17" x14ac:dyDescent="0.3">
      <c r="A65" s="32" t="s">
        <v>723</v>
      </c>
      <c r="B65" s="27">
        <v>3.1665000000000001</v>
      </c>
      <c r="C65" s="27">
        <v>2.1886999999999999</v>
      </c>
      <c r="D65" s="27">
        <v>0.46299999999999997</v>
      </c>
      <c r="E65">
        <v>65.203199999999995</v>
      </c>
      <c r="F65">
        <v>50.370399999999997</v>
      </c>
      <c r="G65">
        <v>10.166499999999999</v>
      </c>
      <c r="H65" s="33">
        <v>4.8563567432273268E-2</v>
      </c>
      <c r="I65" s="33">
        <v>8.997371745759386E-2</v>
      </c>
      <c r="J65" s="33">
        <v>9.0773355842049749E-2</v>
      </c>
      <c r="K65" s="33">
        <v>5.8182</v>
      </c>
      <c r="L65" s="33">
        <v>125.74009999999998</v>
      </c>
      <c r="M65" s="33">
        <v>7.6436880243972286E-2</v>
      </c>
      <c r="N65" s="38">
        <f t="shared" si="0"/>
        <v>-0.30879519974735514</v>
      </c>
      <c r="O65" s="38">
        <f t="shared" si="1"/>
        <v>-0.22748576756968986</v>
      </c>
      <c r="P65" s="38">
        <f t="shared" si="2"/>
        <v>0.8526999191950051</v>
      </c>
      <c r="Q65" s="41"/>
    </row>
    <row r="66" spans="1:17" x14ac:dyDescent="0.3">
      <c r="A66" s="32" t="s">
        <v>807</v>
      </c>
      <c r="B66" s="27">
        <v>5.2523</v>
      </c>
      <c r="C66" s="27">
        <v>0</v>
      </c>
      <c r="D66" s="27">
        <v>0</v>
      </c>
      <c r="E66">
        <v>269.2595</v>
      </c>
      <c r="F66">
        <v>0</v>
      </c>
      <c r="G66">
        <v>0</v>
      </c>
      <c r="H66" s="33">
        <v>8.3834881724228316E-2</v>
      </c>
      <c r="I66" s="33">
        <v>0</v>
      </c>
      <c r="J66" s="33">
        <v>0</v>
      </c>
      <c r="K66" s="33">
        <v>5.2523</v>
      </c>
      <c r="L66" s="33">
        <v>269.2595</v>
      </c>
      <c r="M66" s="33">
        <v>2.7944960574742769E-2</v>
      </c>
      <c r="N66" s="38">
        <f t="shared" si="0"/>
        <v>-1</v>
      </c>
      <c r="O66" s="38">
        <f t="shared" si="1"/>
        <v>-1</v>
      </c>
      <c r="P66" s="38">
        <f t="shared" si="2"/>
        <v>-1</v>
      </c>
      <c r="Q66" s="41"/>
    </row>
    <row r="67" spans="1:17" x14ac:dyDescent="0.3">
      <c r="A67" s="32" t="s">
        <v>719</v>
      </c>
      <c r="B67" s="27">
        <v>1.5393000000000001</v>
      </c>
      <c r="C67" s="27">
        <v>2.0579000000000001</v>
      </c>
      <c r="D67" s="27">
        <v>0.68209999999999993</v>
      </c>
      <c r="E67">
        <v>71.357399999999998</v>
      </c>
      <c r="F67">
        <v>96.843099999999993</v>
      </c>
      <c r="G67">
        <v>27.710999999999999</v>
      </c>
      <c r="H67" s="33">
        <v>4.6139056124402625E-2</v>
      </c>
      <c r="I67" s="33">
        <v>4.7976727033873491E-2</v>
      </c>
      <c r="J67" s="33">
        <v>4.7935396980771497E-2</v>
      </c>
      <c r="K67" s="33">
        <v>4.2793000000000001</v>
      </c>
      <c r="L67" s="33">
        <v>195.91149999999999</v>
      </c>
      <c r="M67" s="33">
        <v>4.7350393379682526E-2</v>
      </c>
      <c r="N67" s="38">
        <f t="shared" si="0"/>
        <v>0.33690638601961931</v>
      </c>
      <c r="O67" s="38">
        <f t="shared" si="1"/>
        <v>0.35715566990949776</v>
      </c>
      <c r="P67" s="38">
        <f t="shared" si="2"/>
        <v>3.982896625618082E-2</v>
      </c>
      <c r="Q67" s="41"/>
    </row>
    <row r="68" spans="1:17" x14ac:dyDescent="0.3">
      <c r="A68" s="32" t="s">
        <v>809</v>
      </c>
      <c r="B68" s="27">
        <v>0</v>
      </c>
      <c r="C68" s="27">
        <v>0</v>
      </c>
      <c r="D68" s="27">
        <v>3.1633</v>
      </c>
      <c r="E68">
        <v>0</v>
      </c>
      <c r="F68">
        <v>0</v>
      </c>
      <c r="G68">
        <v>171.71680000000001</v>
      </c>
      <c r="H68" s="33">
        <v>0</v>
      </c>
      <c r="I68" s="33">
        <v>0</v>
      </c>
      <c r="J68" s="33">
        <v>1.8421610465603831E-2</v>
      </c>
      <c r="K68" s="33">
        <v>3.1633</v>
      </c>
      <c r="L68" s="33">
        <v>171.71680000000001</v>
      </c>
      <c r="M68" s="33">
        <v>6.1405368218679438E-3</v>
      </c>
      <c r="N68" s="38">
        <f t="shared" si="0"/>
        <v>0</v>
      </c>
      <c r="O68" s="38">
        <f t="shared" si="1"/>
        <v>0</v>
      </c>
      <c r="P68" s="38">
        <f t="shared" si="2"/>
        <v>0</v>
      </c>
      <c r="Q68" s="41"/>
    </row>
    <row r="69" spans="1:17" x14ac:dyDescent="0.3">
      <c r="A69" s="32" t="s">
        <v>787</v>
      </c>
      <c r="B69" s="27">
        <v>1.4567000000000001</v>
      </c>
      <c r="C69" s="27">
        <v>0.97109999999999996</v>
      </c>
      <c r="D69" s="27">
        <v>0.44120000000000004</v>
      </c>
      <c r="E69">
        <v>8.1128999999999998</v>
      </c>
      <c r="F69">
        <v>4.8048999999999999</v>
      </c>
      <c r="G69">
        <v>2.4375</v>
      </c>
      <c r="H69" s="33">
        <v>0.64317330201635881</v>
      </c>
      <c r="I69" s="33">
        <v>0.51870486760270218</v>
      </c>
      <c r="J69" s="33">
        <v>0.38548856671381426</v>
      </c>
      <c r="K69" s="33">
        <v>2.8689999999999998</v>
      </c>
      <c r="L69" s="33">
        <v>15.355300000000002</v>
      </c>
      <c r="M69" s="33">
        <v>0.51578891211095834</v>
      </c>
      <c r="N69" s="38">
        <f t="shared" ref="N69:N111" si="8">IFERROR((C69/B69)-1,0)</f>
        <v>-0.33335621610489474</v>
      </c>
      <c r="O69" s="38">
        <f t="shared" ref="O69:O111" si="9">IFERROR((F69/E69)-1,0)</f>
        <v>-0.4077456889644886</v>
      </c>
      <c r="P69" s="38">
        <f t="shared" ref="P69:P111" si="10">IFERROR((I69/H69)-1,0)</f>
        <v>-0.19352238972520475</v>
      </c>
      <c r="Q69" s="41"/>
    </row>
    <row r="70" spans="1:17" x14ac:dyDescent="0.3">
      <c r="A70" s="32" t="s">
        <v>801</v>
      </c>
      <c r="B70" s="27">
        <v>0.97350000000000003</v>
      </c>
      <c r="C70" s="27">
        <v>1.3668</v>
      </c>
      <c r="D70" s="27">
        <v>0.25619999999999998</v>
      </c>
      <c r="E70">
        <v>4.9279999999999999</v>
      </c>
      <c r="F70">
        <v>7.3565000000000005</v>
      </c>
      <c r="G70">
        <v>1.4279999999999999</v>
      </c>
      <c r="H70" s="33">
        <v>0.37369897959183673</v>
      </c>
      <c r="I70" s="33">
        <v>0.37159956249786885</v>
      </c>
      <c r="J70" s="33">
        <v>0.35267178362573104</v>
      </c>
      <c r="K70" s="33">
        <v>2.5964999999999998</v>
      </c>
      <c r="L70" s="33">
        <v>13.712500000000002</v>
      </c>
      <c r="M70" s="33">
        <v>0.36599010857181224</v>
      </c>
      <c r="N70" s="38">
        <f t="shared" si="8"/>
        <v>0.40400616332819728</v>
      </c>
      <c r="O70" s="38">
        <f t="shared" si="9"/>
        <v>0.49279626623376638</v>
      </c>
      <c r="P70" s="38">
        <f t="shared" si="10"/>
        <v>-5.6179363836126317E-3</v>
      </c>
      <c r="Q70" s="41"/>
    </row>
    <row r="71" spans="1:17" x14ac:dyDescent="0.3">
      <c r="A71" s="32" t="s">
        <v>712</v>
      </c>
      <c r="B71" s="27">
        <v>1.9350000000000001</v>
      </c>
      <c r="C71" s="27">
        <v>0.624</v>
      </c>
      <c r="D71" s="27">
        <v>0</v>
      </c>
      <c r="E71">
        <v>24.822900000000001</v>
      </c>
      <c r="F71">
        <v>9.4085999999999999</v>
      </c>
      <c r="G71">
        <v>0</v>
      </c>
      <c r="H71" s="33">
        <v>7.7952213480294408E-2</v>
      </c>
      <c r="I71" s="33">
        <v>6.6322300873668777E-2</v>
      </c>
      <c r="J71" s="33">
        <v>0</v>
      </c>
      <c r="K71" s="33">
        <v>2.5590000000000002</v>
      </c>
      <c r="L71" s="33">
        <v>34.231499999999997</v>
      </c>
      <c r="M71" s="33">
        <v>4.8091504784654397E-2</v>
      </c>
      <c r="N71" s="38">
        <f t="shared" si="8"/>
        <v>-0.67751937984496124</v>
      </c>
      <c r="O71" s="38">
        <f t="shared" si="9"/>
        <v>-0.62097095826837312</v>
      </c>
      <c r="P71" s="38">
        <f t="shared" si="10"/>
        <v>-0.14919284632713559</v>
      </c>
      <c r="Q71" s="41"/>
    </row>
    <row r="72" spans="1:17" x14ac:dyDescent="0.3">
      <c r="A72" s="32" t="s">
        <v>786</v>
      </c>
      <c r="B72" s="27">
        <v>2.1507000000000001</v>
      </c>
      <c r="C72" s="27">
        <v>0.15629999999999999</v>
      </c>
      <c r="D72" s="27">
        <v>5.8099999999999999E-2</v>
      </c>
      <c r="E72">
        <v>55.849800000000002</v>
      </c>
      <c r="F72">
        <v>3.1030000000000002</v>
      </c>
      <c r="G72">
        <v>1.1613</v>
      </c>
      <c r="H72" s="33">
        <v>7.4651509036037816E-2</v>
      </c>
      <c r="I72" s="33">
        <v>5.0370609087979371E-2</v>
      </c>
      <c r="J72" s="33">
        <v>5.0030138637733576E-2</v>
      </c>
      <c r="K72" s="33">
        <v>2.3651</v>
      </c>
      <c r="L72" s="33">
        <v>60.114099999999993</v>
      </c>
      <c r="M72" s="33">
        <v>5.8350752253916928E-2</v>
      </c>
      <c r="N72" s="38">
        <f t="shared" si="8"/>
        <v>-0.92732598688798995</v>
      </c>
      <c r="O72" s="38">
        <f t="shared" si="9"/>
        <v>-0.94444026657212743</v>
      </c>
      <c r="P72" s="38">
        <f t="shared" si="10"/>
        <v>-0.325256652699906</v>
      </c>
      <c r="Q72" s="41"/>
    </row>
    <row r="73" spans="1:17" x14ac:dyDescent="0.3">
      <c r="A73" s="32" t="s">
        <v>726</v>
      </c>
      <c r="B73" s="27">
        <v>0.22359999999999999</v>
      </c>
      <c r="C73" s="27">
        <v>1.0136000000000001</v>
      </c>
      <c r="D73" s="27">
        <v>1.0571999999999999</v>
      </c>
      <c r="E73">
        <v>12.2155</v>
      </c>
      <c r="F73">
        <v>49.151600000000002</v>
      </c>
      <c r="G73">
        <v>44.717399999999998</v>
      </c>
      <c r="H73" s="33">
        <v>1.8304612991690884E-2</v>
      </c>
      <c r="I73" s="33">
        <v>2.0621912613221136E-2</v>
      </c>
      <c r="J73" s="33">
        <v>4.82572262216018E-2</v>
      </c>
      <c r="K73" s="33">
        <v>2.2944</v>
      </c>
      <c r="L73" s="33">
        <v>106.08449999999999</v>
      </c>
      <c r="M73" s="33">
        <v>2.9061250608837942E-2</v>
      </c>
      <c r="N73" s="38">
        <f t="shared" si="8"/>
        <v>3.5330948121645802</v>
      </c>
      <c r="O73" s="38">
        <f t="shared" si="9"/>
        <v>3.0237075846260897</v>
      </c>
      <c r="P73" s="38">
        <f t="shared" si="10"/>
        <v>0.12659648267800905</v>
      </c>
      <c r="Q73" s="41"/>
    </row>
    <row r="74" spans="1:17" x14ac:dyDescent="0.3">
      <c r="A74" s="32" t="s">
        <v>728</v>
      </c>
      <c r="B74" s="27">
        <v>0.52039999999999997</v>
      </c>
      <c r="C74" s="27">
        <v>1.6072</v>
      </c>
      <c r="D74" s="27">
        <v>0.16420000000000001</v>
      </c>
      <c r="E74">
        <v>10.5198</v>
      </c>
      <c r="F74">
        <v>34.4998</v>
      </c>
      <c r="G74">
        <v>3.1461000000000001</v>
      </c>
      <c r="H74" s="33">
        <v>4.9468621076446319E-2</v>
      </c>
      <c r="I74" s="33">
        <v>4.6585777308853965E-2</v>
      </c>
      <c r="J74" s="33">
        <v>5.219160230126188E-2</v>
      </c>
      <c r="K74" s="33">
        <v>2.2918000000000003</v>
      </c>
      <c r="L74" s="33">
        <v>48.165699999999994</v>
      </c>
      <c r="M74" s="33">
        <v>4.9415333562187386E-2</v>
      </c>
      <c r="N74" s="38">
        <f t="shared" si="8"/>
        <v>2.0883935434281322</v>
      </c>
      <c r="O74" s="38">
        <f t="shared" si="9"/>
        <v>2.2795110173197211</v>
      </c>
      <c r="P74" s="38">
        <f t="shared" si="10"/>
        <v>-5.8276210350342139E-2</v>
      </c>
      <c r="Q74" s="41"/>
    </row>
    <row r="75" spans="1:17" x14ac:dyDescent="0.3">
      <c r="A75" s="32" t="s">
        <v>813</v>
      </c>
      <c r="B75" s="27">
        <v>2.0785999999999998</v>
      </c>
      <c r="C75" s="27">
        <v>7.1199999999999999E-2</v>
      </c>
      <c r="D75" s="27">
        <v>0</v>
      </c>
      <c r="E75">
        <v>104.04649999999999</v>
      </c>
      <c r="F75">
        <v>3.8216000000000001</v>
      </c>
      <c r="G75">
        <v>0</v>
      </c>
      <c r="H75" s="33">
        <v>1.9977606166473642E-2</v>
      </c>
      <c r="I75" s="33">
        <v>1.8630939920452165E-2</v>
      </c>
      <c r="J75" s="33">
        <v>0</v>
      </c>
      <c r="K75" s="33">
        <v>2.1497999999999999</v>
      </c>
      <c r="L75" s="33">
        <v>107.8681</v>
      </c>
      <c r="M75" s="33">
        <v>1.2869515362308603E-2</v>
      </c>
      <c r="N75" s="38">
        <f t="shared" si="8"/>
        <v>-0.96574617531030504</v>
      </c>
      <c r="O75" s="38">
        <f t="shared" si="9"/>
        <v>-0.96327026858183595</v>
      </c>
      <c r="P75" s="38">
        <f t="shared" si="10"/>
        <v>-6.7408789361432575E-2</v>
      </c>
      <c r="Q75" s="41"/>
    </row>
    <row r="76" spans="1:17" x14ac:dyDescent="0.3">
      <c r="A76" s="32" t="s">
        <v>812</v>
      </c>
      <c r="B76" s="27">
        <v>0</v>
      </c>
      <c r="C76" s="27">
        <v>0</v>
      </c>
      <c r="D76" s="27">
        <v>1.9407000000000001</v>
      </c>
      <c r="E76">
        <v>0</v>
      </c>
      <c r="F76">
        <v>0</v>
      </c>
      <c r="G76">
        <v>110.1146</v>
      </c>
      <c r="H76" s="33">
        <v>0</v>
      </c>
      <c r="I76" s="33">
        <v>0</v>
      </c>
      <c r="J76" s="33">
        <v>1.7624365887902241E-2</v>
      </c>
      <c r="K76" s="33">
        <v>1.9407000000000001</v>
      </c>
      <c r="L76" s="33">
        <v>110.1146</v>
      </c>
      <c r="M76" s="33">
        <v>5.8747886293007466E-3</v>
      </c>
      <c r="N76" s="38">
        <f t="shared" si="8"/>
        <v>0</v>
      </c>
      <c r="O76" s="38">
        <f t="shared" si="9"/>
        <v>0</v>
      </c>
      <c r="P76" s="38">
        <f t="shared" si="10"/>
        <v>0</v>
      </c>
      <c r="Q76" s="41"/>
    </row>
    <row r="77" spans="1:17" x14ac:dyDescent="0.3">
      <c r="A77" s="32" t="s">
        <v>760</v>
      </c>
      <c r="B77" s="27">
        <v>0.33289999999999997</v>
      </c>
      <c r="C77" s="27">
        <v>2.7199999999999998E-2</v>
      </c>
      <c r="D77" s="27">
        <v>1.4401999999999999</v>
      </c>
      <c r="E77">
        <v>16.585699999999999</v>
      </c>
      <c r="F77">
        <v>2.2242999999999999</v>
      </c>
      <c r="G77">
        <v>35.560600000000001</v>
      </c>
      <c r="H77" s="33">
        <v>2.0071507382865963E-2</v>
      </c>
      <c r="I77" s="33">
        <v>1.2228566290518364E-2</v>
      </c>
      <c r="J77" s="33">
        <v>9.12484957989117E-2</v>
      </c>
      <c r="K77" s="33">
        <v>1.8002999999999998</v>
      </c>
      <c r="L77" s="33">
        <v>54.370599999999996</v>
      </c>
      <c r="M77" s="33">
        <v>4.1182856490765342E-2</v>
      </c>
      <c r="N77" s="38">
        <f t="shared" si="8"/>
        <v>-0.91829378191649147</v>
      </c>
      <c r="O77" s="38">
        <f t="shared" si="9"/>
        <v>-0.86589049602971235</v>
      </c>
      <c r="P77" s="38">
        <f t="shared" si="10"/>
        <v>-0.39074997919900745</v>
      </c>
      <c r="Q77" s="41"/>
    </row>
    <row r="78" spans="1:17" x14ac:dyDescent="0.3">
      <c r="A78" s="32" t="s">
        <v>783</v>
      </c>
      <c r="B78" s="27">
        <v>0</v>
      </c>
      <c r="C78" s="27">
        <v>0.79349999999999998</v>
      </c>
      <c r="D78" s="27">
        <v>0.7298</v>
      </c>
      <c r="E78">
        <v>0</v>
      </c>
      <c r="F78">
        <v>47.268799999999999</v>
      </c>
      <c r="G78">
        <v>43.602699999999999</v>
      </c>
      <c r="H78" s="33">
        <v>0</v>
      </c>
      <c r="I78" s="33">
        <v>1.6786971533019668E-2</v>
      </c>
      <c r="J78" s="33">
        <v>1.6737495613803732E-2</v>
      </c>
      <c r="K78" s="33">
        <v>1.5232999999999999</v>
      </c>
      <c r="L78" s="33">
        <v>90.871499999999997</v>
      </c>
      <c r="M78" s="33">
        <v>1.1174822382274468E-2</v>
      </c>
      <c r="N78" s="38">
        <f t="shared" si="8"/>
        <v>0</v>
      </c>
      <c r="O78" s="38">
        <f t="shared" si="9"/>
        <v>0</v>
      </c>
      <c r="P78" s="38">
        <f t="shared" si="10"/>
        <v>0</v>
      </c>
      <c r="Q78" s="41"/>
    </row>
    <row r="79" spans="1:17" x14ac:dyDescent="0.3">
      <c r="A79" s="32" t="s">
        <v>768</v>
      </c>
      <c r="B79" s="27">
        <v>0.17230000000000001</v>
      </c>
      <c r="C79" s="27">
        <v>0.6331</v>
      </c>
      <c r="D79" s="27">
        <v>0.15670000000000001</v>
      </c>
      <c r="E79">
        <v>7.7868000000000004</v>
      </c>
      <c r="F79">
        <v>27.705500000000001</v>
      </c>
      <c r="G79">
        <v>6.8449999999999998</v>
      </c>
      <c r="H79" s="33">
        <v>6.5165767096026353E-2</v>
      </c>
      <c r="I79" s="33">
        <v>6.5818364273947313E-2</v>
      </c>
      <c r="J79" s="33">
        <v>2.2892622352081813E-2</v>
      </c>
      <c r="K79" s="33">
        <v>0.96210000000000007</v>
      </c>
      <c r="L79" s="33">
        <v>42.337299999999999</v>
      </c>
      <c r="M79" s="33">
        <v>5.1292251240685156E-2</v>
      </c>
      <c r="N79" s="38">
        <f t="shared" si="8"/>
        <v>2.6744051073708643</v>
      </c>
      <c r="O79" s="38">
        <f t="shared" si="9"/>
        <v>2.5580084245132788</v>
      </c>
      <c r="P79" s="38">
        <f t="shared" si="10"/>
        <v>1.0014417185626234E-2</v>
      </c>
      <c r="Q79" s="41"/>
    </row>
    <row r="80" spans="1:17" x14ac:dyDescent="0.3">
      <c r="A80" s="32" t="s">
        <v>717</v>
      </c>
      <c r="B80" s="27">
        <v>0.70520000000000005</v>
      </c>
      <c r="C80" s="27">
        <v>0</v>
      </c>
      <c r="D80" s="27">
        <v>0</v>
      </c>
      <c r="E80">
        <v>47.325299999999999</v>
      </c>
      <c r="F80">
        <v>0</v>
      </c>
      <c r="G80">
        <v>0</v>
      </c>
      <c r="H80" s="33">
        <v>1.4901120542289221E-2</v>
      </c>
      <c r="I80" s="33">
        <v>0</v>
      </c>
      <c r="J80" s="33">
        <v>0</v>
      </c>
      <c r="K80" s="33">
        <v>0.70520000000000005</v>
      </c>
      <c r="L80" s="33">
        <v>47.325299999999999</v>
      </c>
      <c r="M80" s="33">
        <v>4.9670401807630736E-3</v>
      </c>
      <c r="N80" s="38">
        <f t="shared" si="8"/>
        <v>-1</v>
      </c>
      <c r="O80" s="38">
        <f t="shared" si="9"/>
        <v>-1</v>
      </c>
      <c r="P80" s="38">
        <f t="shared" si="10"/>
        <v>-1</v>
      </c>
      <c r="Q80" s="41"/>
    </row>
    <row r="81" spans="1:17" x14ac:dyDescent="0.3">
      <c r="A81" s="32" t="s">
        <v>755</v>
      </c>
      <c r="B81" s="27">
        <v>0</v>
      </c>
      <c r="C81" s="27">
        <v>0.44869999999999999</v>
      </c>
      <c r="D81" s="27">
        <v>0.18529999999999999</v>
      </c>
      <c r="E81">
        <v>0</v>
      </c>
      <c r="F81">
        <v>7.1882999999999999</v>
      </c>
      <c r="G81">
        <v>2.9676</v>
      </c>
      <c r="H81" s="33">
        <v>0</v>
      </c>
      <c r="I81" s="33">
        <v>0.12484526250200548</v>
      </c>
      <c r="J81" s="33">
        <v>0.12486640325072756</v>
      </c>
      <c r="K81" s="33">
        <v>0.6339999999999999</v>
      </c>
      <c r="L81" s="33">
        <v>10.155899999999999</v>
      </c>
      <c r="M81" s="33">
        <v>8.3237221917577681E-2</v>
      </c>
      <c r="N81" s="38">
        <f t="shared" si="8"/>
        <v>0</v>
      </c>
      <c r="O81" s="38">
        <f t="shared" si="9"/>
        <v>0</v>
      </c>
      <c r="P81" s="38">
        <f t="shared" si="10"/>
        <v>0</v>
      </c>
      <c r="Q81" s="41"/>
    </row>
    <row r="82" spans="1:17" x14ac:dyDescent="0.3">
      <c r="A82" s="32" t="s">
        <v>789</v>
      </c>
      <c r="B82" s="27">
        <v>0</v>
      </c>
      <c r="C82" s="27">
        <v>0</v>
      </c>
      <c r="D82" s="27">
        <v>0.624</v>
      </c>
      <c r="E82">
        <v>0</v>
      </c>
      <c r="F82">
        <v>0</v>
      </c>
      <c r="G82">
        <v>34.035699999999999</v>
      </c>
      <c r="H82" s="33">
        <v>0</v>
      </c>
      <c r="I82" s="33">
        <v>0</v>
      </c>
      <c r="J82" s="33">
        <v>1.8333690801129402E-2</v>
      </c>
      <c r="K82" s="33">
        <v>0.624</v>
      </c>
      <c r="L82" s="33">
        <v>34.035699999999999</v>
      </c>
      <c r="M82" s="33">
        <v>6.1112302670431337E-3</v>
      </c>
      <c r="N82" s="38">
        <f t="shared" si="8"/>
        <v>0</v>
      </c>
      <c r="O82" s="38">
        <f t="shared" si="9"/>
        <v>0</v>
      </c>
      <c r="P82" s="38">
        <f t="shared" si="10"/>
        <v>0</v>
      </c>
      <c r="Q82" s="41"/>
    </row>
    <row r="83" spans="1:17" x14ac:dyDescent="0.3">
      <c r="A83" s="32" t="s">
        <v>806</v>
      </c>
      <c r="B83" s="27">
        <v>0.14579999999999999</v>
      </c>
      <c r="C83" s="27">
        <v>0.29949999999999999</v>
      </c>
      <c r="D83" s="27">
        <v>5.04E-2</v>
      </c>
      <c r="E83">
        <v>2.8886000000000003</v>
      </c>
      <c r="F83">
        <v>6.5742999999999991</v>
      </c>
      <c r="G83">
        <v>1.1331</v>
      </c>
      <c r="H83" s="33">
        <v>0.10270350582421638</v>
      </c>
      <c r="I83" s="33">
        <v>8.836428972729643E-2</v>
      </c>
      <c r="J83" s="33">
        <v>0.10030636537485851</v>
      </c>
      <c r="K83" s="33">
        <v>0.49569999999999997</v>
      </c>
      <c r="L83" s="33">
        <v>10.596</v>
      </c>
      <c r="M83" s="33">
        <v>9.7124720308790449E-2</v>
      </c>
      <c r="N83" s="38">
        <f t="shared" si="8"/>
        <v>1.054183813443073</v>
      </c>
      <c r="O83" s="38">
        <f t="shared" si="9"/>
        <v>1.2759468254517756</v>
      </c>
      <c r="P83" s="38">
        <f t="shared" si="10"/>
        <v>-0.13961759125791118</v>
      </c>
      <c r="Q83" s="41"/>
    </row>
    <row r="84" spans="1:17" x14ac:dyDescent="0.3">
      <c r="A84" s="32" t="s">
        <v>784</v>
      </c>
      <c r="B84" s="27">
        <v>0.36020000000000002</v>
      </c>
      <c r="C84" s="27">
        <v>5.21E-2</v>
      </c>
      <c r="D84" s="27">
        <v>9.4000000000000004E-3</v>
      </c>
      <c r="E84">
        <v>19.065100000000001</v>
      </c>
      <c r="F84">
        <v>2.6206</v>
      </c>
      <c r="G84">
        <v>0.48</v>
      </c>
      <c r="H84" s="33">
        <v>1.8893160801674264E-2</v>
      </c>
      <c r="I84" s="33">
        <v>1.9880943295428527E-2</v>
      </c>
      <c r="J84" s="33">
        <v>1.9583333333333335E-2</v>
      </c>
      <c r="K84" s="33">
        <v>0.42170000000000002</v>
      </c>
      <c r="L84" s="33">
        <v>22.165700000000001</v>
      </c>
      <c r="M84" s="33">
        <v>1.9452479143478706E-2</v>
      </c>
      <c r="N84" s="38">
        <f t="shared" si="8"/>
        <v>-0.85535813436979458</v>
      </c>
      <c r="O84" s="38">
        <f t="shared" si="9"/>
        <v>-0.86254464964778577</v>
      </c>
      <c r="P84" s="38">
        <f t="shared" si="10"/>
        <v>5.2282543091822342E-2</v>
      </c>
      <c r="Q84" s="41"/>
    </row>
    <row r="85" spans="1:17" x14ac:dyDescent="0.3">
      <c r="A85" s="32" t="s">
        <v>780</v>
      </c>
      <c r="B85" s="27">
        <v>6.0000000000000001E-3</v>
      </c>
      <c r="C85" s="27">
        <v>0.35439999999999999</v>
      </c>
      <c r="D85" s="27">
        <v>0</v>
      </c>
      <c r="E85">
        <v>0.33839999999999998</v>
      </c>
      <c r="F85">
        <v>16.541699999999999</v>
      </c>
      <c r="G85">
        <v>0</v>
      </c>
      <c r="H85" s="33">
        <v>1.7730496453900711E-2</v>
      </c>
      <c r="I85" s="33">
        <v>2.1424641965456997E-2</v>
      </c>
      <c r="J85" s="33">
        <v>0</v>
      </c>
      <c r="K85" s="33">
        <v>0.3604</v>
      </c>
      <c r="L85" s="33">
        <v>16.880099999999999</v>
      </c>
      <c r="M85" s="33">
        <v>1.305171280645257E-2</v>
      </c>
      <c r="N85" s="38">
        <f t="shared" si="8"/>
        <v>58.066666666666663</v>
      </c>
      <c r="O85" s="38">
        <f t="shared" si="9"/>
        <v>47.88209219858156</v>
      </c>
      <c r="P85" s="38">
        <f t="shared" si="10"/>
        <v>0.20834980685177462</v>
      </c>
      <c r="Q85" s="41"/>
    </row>
    <row r="86" spans="1:17" x14ac:dyDescent="0.3">
      <c r="A86" s="32" t="s">
        <v>776</v>
      </c>
      <c r="B86" s="27">
        <v>0.31309999999999999</v>
      </c>
      <c r="C86" s="27">
        <v>4.0300000000000002E-2</v>
      </c>
      <c r="D86" s="27">
        <v>0</v>
      </c>
      <c r="E86">
        <v>2.3519999999999999</v>
      </c>
      <c r="F86">
        <v>0.30399999999999999</v>
      </c>
      <c r="G86">
        <v>0</v>
      </c>
      <c r="H86" s="33">
        <v>0.26621582787745512</v>
      </c>
      <c r="I86" s="33">
        <v>0.13256578947368422</v>
      </c>
      <c r="J86" s="33">
        <v>0</v>
      </c>
      <c r="K86" s="33">
        <v>0.35339999999999999</v>
      </c>
      <c r="L86" s="33">
        <v>2.6559999999999997</v>
      </c>
      <c r="M86" s="33">
        <v>0.13292720578371311</v>
      </c>
      <c r="N86" s="38">
        <f t="shared" si="8"/>
        <v>-0.87128712871287128</v>
      </c>
      <c r="O86" s="38">
        <f t="shared" si="9"/>
        <v>-0.87074829931972786</v>
      </c>
      <c r="P86" s="38">
        <f t="shared" si="10"/>
        <v>-0.50203640959054052</v>
      </c>
      <c r="Q86" s="41"/>
    </row>
    <row r="87" spans="1:17" x14ac:dyDescent="0.3">
      <c r="A87" s="32" t="s">
        <v>753</v>
      </c>
      <c r="B87" s="27">
        <v>6.6299999999999998E-2</v>
      </c>
      <c r="C87" s="27">
        <v>0.12959999999999999</v>
      </c>
      <c r="D87" s="27">
        <v>7.1499999999999994E-2</v>
      </c>
      <c r="E87">
        <v>0.504</v>
      </c>
      <c r="F87">
        <v>0.91539999999999999</v>
      </c>
      <c r="G87">
        <v>0.52459999999999996</v>
      </c>
      <c r="H87" s="33">
        <v>0.13154761904761905</v>
      </c>
      <c r="I87" s="33">
        <v>0.14157745247979026</v>
      </c>
      <c r="J87" s="33">
        <v>0.13629431948150972</v>
      </c>
      <c r="K87" s="33">
        <v>0.26739999999999997</v>
      </c>
      <c r="L87" s="33">
        <v>1.944</v>
      </c>
      <c r="M87" s="33">
        <v>0.13647313033630634</v>
      </c>
      <c r="N87" s="38">
        <f t="shared" si="8"/>
        <v>0.9547511312217194</v>
      </c>
      <c r="O87" s="38">
        <f t="shared" si="9"/>
        <v>0.81626984126984126</v>
      </c>
      <c r="P87" s="38">
        <f t="shared" si="10"/>
        <v>7.6244887629174807E-2</v>
      </c>
      <c r="Q87" s="41"/>
    </row>
    <row r="88" spans="1:17" x14ac:dyDescent="0.3">
      <c r="A88" s="32" t="s">
        <v>740</v>
      </c>
      <c r="B88" s="27">
        <v>0.24010000000000001</v>
      </c>
      <c r="C88" s="27">
        <v>0</v>
      </c>
      <c r="D88" s="27">
        <v>0</v>
      </c>
      <c r="E88">
        <v>10.8056</v>
      </c>
      <c r="F88">
        <v>0</v>
      </c>
      <c r="G88">
        <v>0</v>
      </c>
      <c r="H88" s="33">
        <v>2.2219960020729991E-2</v>
      </c>
      <c r="I88" s="33">
        <v>0</v>
      </c>
      <c r="J88" s="33">
        <v>0</v>
      </c>
      <c r="K88" s="33">
        <v>0.24010000000000001</v>
      </c>
      <c r="L88" s="33">
        <v>10.8056</v>
      </c>
      <c r="M88" s="33">
        <v>7.4066533402433301E-3</v>
      </c>
      <c r="N88" s="38">
        <f t="shared" si="8"/>
        <v>-1</v>
      </c>
      <c r="O88" s="38">
        <f t="shared" si="9"/>
        <v>-1</v>
      </c>
      <c r="P88" s="38">
        <f t="shared" si="10"/>
        <v>-1</v>
      </c>
      <c r="Q88" s="41"/>
    </row>
    <row r="89" spans="1:17" x14ac:dyDescent="0.3">
      <c r="A89" s="32" t="s">
        <v>779</v>
      </c>
      <c r="B89" s="27">
        <v>0.15809999999999999</v>
      </c>
      <c r="C89" s="27">
        <v>2E-3</v>
      </c>
      <c r="D89" s="27">
        <v>1E-3</v>
      </c>
      <c r="E89">
        <v>2.1</v>
      </c>
      <c r="F89">
        <v>0.02</v>
      </c>
      <c r="G89">
        <v>0.02</v>
      </c>
      <c r="H89" s="33">
        <v>7.5285714285714275E-2</v>
      </c>
      <c r="I89" s="33">
        <v>0.1</v>
      </c>
      <c r="J89" s="33">
        <v>0.05</v>
      </c>
      <c r="K89" s="33">
        <v>0.16109999999999999</v>
      </c>
      <c r="L89" s="33">
        <v>2.14</v>
      </c>
      <c r="M89" s="33">
        <v>7.509523809523809E-2</v>
      </c>
      <c r="N89" s="38">
        <f t="shared" si="8"/>
        <v>-0.98734977862112583</v>
      </c>
      <c r="O89" s="38">
        <f t="shared" si="9"/>
        <v>-0.99047619047619051</v>
      </c>
      <c r="P89" s="38">
        <f t="shared" si="10"/>
        <v>0.32827324478178399</v>
      </c>
      <c r="Q89" s="41"/>
    </row>
    <row r="90" spans="1:17" x14ac:dyDescent="0.3">
      <c r="A90" s="32" t="s">
        <v>770</v>
      </c>
      <c r="B90" s="27">
        <v>0.13550000000000001</v>
      </c>
      <c r="C90" s="27">
        <v>0</v>
      </c>
      <c r="D90" s="27">
        <v>0</v>
      </c>
      <c r="E90">
        <v>3.2519</v>
      </c>
      <c r="F90">
        <v>0</v>
      </c>
      <c r="G90">
        <v>0</v>
      </c>
      <c r="H90" s="33">
        <v>4.1667947968879737E-2</v>
      </c>
      <c r="I90" s="33">
        <v>0</v>
      </c>
      <c r="J90" s="33">
        <v>0</v>
      </c>
      <c r="K90" s="33">
        <v>0.13550000000000001</v>
      </c>
      <c r="L90" s="33">
        <v>3.2519</v>
      </c>
      <c r="M90" s="33">
        <v>1.388931598962658E-2</v>
      </c>
      <c r="N90" s="38">
        <f t="shared" si="8"/>
        <v>-1</v>
      </c>
      <c r="O90" s="38">
        <f t="shared" si="9"/>
        <v>-1</v>
      </c>
      <c r="P90" s="38">
        <f t="shared" si="10"/>
        <v>-1</v>
      </c>
      <c r="Q90" s="41"/>
    </row>
    <row r="91" spans="1:17" x14ac:dyDescent="0.3">
      <c r="A91" s="32" t="s">
        <v>734</v>
      </c>
      <c r="B91" s="27">
        <v>0</v>
      </c>
      <c r="C91" s="27">
        <v>0.1202</v>
      </c>
      <c r="D91" s="27">
        <v>0</v>
      </c>
      <c r="E91">
        <v>0</v>
      </c>
      <c r="F91">
        <v>2.4085999999999999</v>
      </c>
      <c r="G91">
        <v>0</v>
      </c>
      <c r="H91" s="33">
        <v>0</v>
      </c>
      <c r="I91" s="33">
        <v>4.9904508843311469E-2</v>
      </c>
      <c r="J91" s="33">
        <v>0</v>
      </c>
      <c r="K91" s="33">
        <v>0.1202</v>
      </c>
      <c r="L91" s="33">
        <v>2.4085999999999999</v>
      </c>
      <c r="M91" s="33">
        <v>1.6634836281103824E-2</v>
      </c>
      <c r="N91" s="38">
        <f t="shared" si="8"/>
        <v>0</v>
      </c>
      <c r="O91" s="38">
        <f t="shared" si="9"/>
        <v>0</v>
      </c>
      <c r="P91" s="38">
        <f t="shared" si="10"/>
        <v>0</v>
      </c>
      <c r="Q91" s="41"/>
    </row>
    <row r="92" spans="1:17" x14ac:dyDescent="0.3">
      <c r="A92" s="32" t="s">
        <v>730</v>
      </c>
      <c r="B92" s="27">
        <v>0</v>
      </c>
      <c r="C92" s="27">
        <v>3.7900000000000003E-2</v>
      </c>
      <c r="D92" s="27">
        <v>6.93E-2</v>
      </c>
      <c r="E92">
        <v>0</v>
      </c>
      <c r="F92">
        <v>2.3294000000000001</v>
      </c>
      <c r="G92">
        <v>4.2670000000000003</v>
      </c>
      <c r="H92" s="33">
        <v>0</v>
      </c>
      <c r="I92" s="33">
        <v>1.6270284193354512E-2</v>
      </c>
      <c r="J92" s="33">
        <v>1.6240918678228262E-2</v>
      </c>
      <c r="K92" s="33">
        <v>0.1072</v>
      </c>
      <c r="L92" s="33">
        <v>6.5964000000000009</v>
      </c>
      <c r="M92" s="33">
        <v>1.0837067623860925E-2</v>
      </c>
      <c r="N92" s="38">
        <f t="shared" si="8"/>
        <v>0</v>
      </c>
      <c r="O92" s="38">
        <f t="shared" si="9"/>
        <v>0</v>
      </c>
      <c r="P92" s="38">
        <f t="shared" si="10"/>
        <v>0</v>
      </c>
      <c r="Q92" s="41"/>
    </row>
    <row r="93" spans="1:17" x14ac:dyDescent="0.3">
      <c r="A93" s="32" t="s">
        <v>720</v>
      </c>
      <c r="B93" s="27">
        <v>4.4499999999999998E-2</v>
      </c>
      <c r="C93" s="27">
        <v>6.2E-2</v>
      </c>
      <c r="D93" s="27">
        <v>0</v>
      </c>
      <c r="E93">
        <v>0.36759999999999998</v>
      </c>
      <c r="F93">
        <v>0.48380000000000001</v>
      </c>
      <c r="G93">
        <v>0</v>
      </c>
      <c r="H93" s="33">
        <v>0.12105549510337323</v>
      </c>
      <c r="I93" s="33">
        <v>0.1281521289789169</v>
      </c>
      <c r="J93" s="33">
        <v>0</v>
      </c>
      <c r="K93" s="33">
        <v>0.1065</v>
      </c>
      <c r="L93" s="33">
        <v>0.85139999999999993</v>
      </c>
      <c r="M93" s="33">
        <v>8.306920802743005E-2</v>
      </c>
      <c r="N93" s="38">
        <f t="shared" si="8"/>
        <v>0.39325842696629221</v>
      </c>
      <c r="O93" s="38">
        <f t="shared" si="9"/>
        <v>0.31610446137105552</v>
      </c>
      <c r="P93" s="38">
        <f t="shared" si="10"/>
        <v>5.8622980059547247E-2</v>
      </c>
      <c r="Q93" s="41"/>
    </row>
    <row r="94" spans="1:17" x14ac:dyDescent="0.3">
      <c r="A94" s="32" t="s">
        <v>782</v>
      </c>
      <c r="B94" s="27">
        <v>0</v>
      </c>
      <c r="C94" s="27">
        <v>0</v>
      </c>
      <c r="D94" s="27">
        <v>9.8000000000000004E-2</v>
      </c>
      <c r="E94">
        <v>0</v>
      </c>
      <c r="F94">
        <v>0</v>
      </c>
      <c r="G94">
        <v>3.3592</v>
      </c>
      <c r="H94" s="33">
        <v>0</v>
      </c>
      <c r="I94" s="33">
        <v>0</v>
      </c>
      <c r="J94" s="33">
        <v>2.9173612764944037E-2</v>
      </c>
      <c r="K94" s="33">
        <v>9.8000000000000004E-2</v>
      </c>
      <c r="L94" s="33">
        <v>3.3592</v>
      </c>
      <c r="M94" s="33">
        <v>9.7245375883146783E-3</v>
      </c>
      <c r="N94" s="38">
        <f t="shared" si="8"/>
        <v>0</v>
      </c>
      <c r="O94" s="38">
        <f t="shared" si="9"/>
        <v>0</v>
      </c>
      <c r="P94" s="38">
        <f t="shared" si="10"/>
        <v>0</v>
      </c>
      <c r="Q94" s="41"/>
    </row>
    <row r="95" spans="1:17" x14ac:dyDescent="0.3">
      <c r="A95" s="32" t="s">
        <v>724</v>
      </c>
      <c r="B95" s="27">
        <v>0</v>
      </c>
      <c r="C95" s="27">
        <v>0</v>
      </c>
      <c r="D95" s="27">
        <v>5.57E-2</v>
      </c>
      <c r="E95">
        <v>0</v>
      </c>
      <c r="F95">
        <v>0</v>
      </c>
      <c r="G95">
        <v>1.7425999999999999</v>
      </c>
      <c r="H95" s="33">
        <v>0</v>
      </c>
      <c r="I95" s="33">
        <v>0</v>
      </c>
      <c r="J95" s="33">
        <v>3.1963732353953861E-2</v>
      </c>
      <c r="K95" s="33">
        <v>5.57E-2</v>
      </c>
      <c r="L95" s="33">
        <v>1.7425999999999999</v>
      </c>
      <c r="M95" s="33">
        <v>1.0654577451317954E-2</v>
      </c>
      <c r="N95" s="38">
        <f t="shared" si="8"/>
        <v>0</v>
      </c>
      <c r="O95" s="38">
        <f t="shared" si="9"/>
        <v>0</v>
      </c>
      <c r="P95" s="38">
        <f t="shared" si="10"/>
        <v>0</v>
      </c>
      <c r="Q95" s="41"/>
    </row>
    <row r="96" spans="1:17" x14ac:dyDescent="0.3">
      <c r="A96" s="32" t="s">
        <v>759</v>
      </c>
      <c r="B96" s="27">
        <v>1.1900000000000001E-2</v>
      </c>
      <c r="C96" s="27">
        <v>0</v>
      </c>
      <c r="D96" s="27">
        <v>0</v>
      </c>
      <c r="E96">
        <v>0.14000000000000001</v>
      </c>
      <c r="F96">
        <v>0</v>
      </c>
      <c r="G96">
        <v>0</v>
      </c>
      <c r="H96" s="33">
        <v>8.4999999999999992E-2</v>
      </c>
      <c r="I96" s="33">
        <v>0</v>
      </c>
      <c r="J96" s="33">
        <v>0</v>
      </c>
      <c r="K96" s="33">
        <v>1.1900000000000001E-2</v>
      </c>
      <c r="L96" s="33">
        <v>0.14000000000000001</v>
      </c>
      <c r="M96" s="33">
        <v>2.8333333333333332E-2</v>
      </c>
      <c r="N96" s="38">
        <f t="shared" si="8"/>
        <v>-1</v>
      </c>
      <c r="O96" s="38">
        <f t="shared" si="9"/>
        <v>-1</v>
      </c>
      <c r="P96" s="38">
        <f t="shared" si="10"/>
        <v>-1</v>
      </c>
      <c r="Q96" s="41"/>
    </row>
    <row r="97" spans="1:17" x14ac:dyDescent="0.3">
      <c r="A97" s="32" t="s">
        <v>713</v>
      </c>
      <c r="B97" s="27">
        <v>1.09E-2</v>
      </c>
      <c r="C97" s="27">
        <v>0</v>
      </c>
      <c r="D97" s="27">
        <v>0</v>
      </c>
      <c r="E97">
        <v>0.16</v>
      </c>
      <c r="F97">
        <v>0</v>
      </c>
      <c r="G97">
        <v>0</v>
      </c>
      <c r="H97" s="33">
        <v>6.8125000000000005E-2</v>
      </c>
      <c r="I97" s="33">
        <v>0</v>
      </c>
      <c r="J97" s="33">
        <v>0</v>
      </c>
      <c r="K97" s="33">
        <v>1.09E-2</v>
      </c>
      <c r="L97" s="33">
        <v>0.16</v>
      </c>
      <c r="M97" s="33">
        <v>2.2708333333333334E-2</v>
      </c>
      <c r="N97" s="38">
        <f t="shared" si="8"/>
        <v>-1</v>
      </c>
      <c r="O97" s="38">
        <f t="shared" si="9"/>
        <v>-1</v>
      </c>
      <c r="P97" s="38">
        <f t="shared" si="10"/>
        <v>-1</v>
      </c>
      <c r="Q97" s="41"/>
    </row>
    <row r="98" spans="1:17" x14ac:dyDescent="0.3">
      <c r="A98" s="32" t="s">
        <v>732</v>
      </c>
      <c r="B98" s="27">
        <v>1.03E-2</v>
      </c>
      <c r="C98" s="27">
        <v>0</v>
      </c>
      <c r="D98" s="27">
        <v>0</v>
      </c>
      <c r="E98">
        <v>0.3876</v>
      </c>
      <c r="F98">
        <v>0</v>
      </c>
      <c r="G98">
        <v>0</v>
      </c>
      <c r="H98" s="33">
        <v>2.6573787409700723E-2</v>
      </c>
      <c r="I98" s="33">
        <v>0</v>
      </c>
      <c r="J98" s="33">
        <v>0</v>
      </c>
      <c r="K98" s="33">
        <v>1.03E-2</v>
      </c>
      <c r="L98" s="33">
        <v>0.3876</v>
      </c>
      <c r="M98" s="33">
        <v>8.8579291365669076E-3</v>
      </c>
      <c r="N98" s="38">
        <f t="shared" si="8"/>
        <v>-1</v>
      </c>
      <c r="O98" s="38">
        <f t="shared" si="9"/>
        <v>-1</v>
      </c>
      <c r="P98" s="38">
        <f t="shared" si="10"/>
        <v>-1</v>
      </c>
      <c r="Q98" s="41"/>
    </row>
    <row r="99" spans="1:17" x14ac:dyDescent="0.3">
      <c r="A99" s="32" t="s">
        <v>797</v>
      </c>
      <c r="B99" s="27">
        <v>0</v>
      </c>
      <c r="C99" s="27">
        <v>0</v>
      </c>
      <c r="D99" s="27">
        <v>9.1999999999999998E-3</v>
      </c>
      <c r="E99">
        <v>0</v>
      </c>
      <c r="F99">
        <v>0</v>
      </c>
      <c r="G99">
        <v>0.30320000000000003</v>
      </c>
      <c r="H99" s="33">
        <v>0</v>
      </c>
      <c r="I99" s="33">
        <v>0</v>
      </c>
      <c r="J99" s="33">
        <v>3.034300791556728E-2</v>
      </c>
      <c r="K99" s="33">
        <v>9.1999999999999998E-3</v>
      </c>
      <c r="L99" s="33">
        <v>0.30320000000000003</v>
      </c>
      <c r="M99" s="33">
        <v>1.0114335971855759E-2</v>
      </c>
      <c r="N99" s="38">
        <f t="shared" si="8"/>
        <v>0</v>
      </c>
      <c r="O99" s="38">
        <f t="shared" si="9"/>
        <v>0</v>
      </c>
      <c r="P99" s="38">
        <f t="shared" si="10"/>
        <v>0</v>
      </c>
      <c r="Q99" s="41"/>
    </row>
    <row r="100" spans="1:17" x14ac:dyDescent="0.3">
      <c r="A100" s="32" t="s">
        <v>766</v>
      </c>
      <c r="B100" s="27">
        <v>7.0000000000000001E-3</v>
      </c>
      <c r="C100" s="27">
        <v>0</v>
      </c>
      <c r="D100" s="27">
        <v>0</v>
      </c>
      <c r="E100">
        <v>0.08</v>
      </c>
      <c r="F100">
        <v>0</v>
      </c>
      <c r="G100">
        <v>0</v>
      </c>
      <c r="H100" s="33">
        <v>8.7499999999999994E-2</v>
      </c>
      <c r="I100" s="33">
        <v>0</v>
      </c>
      <c r="J100" s="33">
        <v>0</v>
      </c>
      <c r="K100" s="33">
        <v>7.0000000000000001E-3</v>
      </c>
      <c r="L100" s="33">
        <v>0.08</v>
      </c>
      <c r="M100" s="33">
        <v>2.9166666666666664E-2</v>
      </c>
      <c r="N100" s="38">
        <f t="shared" si="8"/>
        <v>-1</v>
      </c>
      <c r="O100" s="38">
        <f t="shared" si="9"/>
        <v>-1</v>
      </c>
      <c r="P100" s="38">
        <f t="shared" si="10"/>
        <v>-1</v>
      </c>
      <c r="Q100" s="41"/>
    </row>
    <row r="101" spans="1:17" x14ac:dyDescent="0.3">
      <c r="A101" s="32" t="s">
        <v>785</v>
      </c>
      <c r="B101" s="27">
        <v>0</v>
      </c>
      <c r="C101" s="27">
        <v>0</v>
      </c>
      <c r="D101" s="27">
        <v>2.0999999999999999E-3</v>
      </c>
      <c r="E101">
        <v>0</v>
      </c>
      <c r="F101">
        <v>0</v>
      </c>
      <c r="G101">
        <v>0.17710000000000001</v>
      </c>
      <c r="H101" s="33">
        <v>0</v>
      </c>
      <c r="I101" s="33">
        <v>0</v>
      </c>
      <c r="J101" s="33">
        <v>1.1857707509881422E-2</v>
      </c>
      <c r="K101" s="33">
        <v>2.0999999999999999E-3</v>
      </c>
      <c r="L101" s="33">
        <v>0.17710000000000001</v>
      </c>
      <c r="M101" s="33">
        <v>3.952569169960474E-3</v>
      </c>
      <c r="N101" s="38">
        <f t="shared" si="8"/>
        <v>0</v>
      </c>
      <c r="O101" s="38">
        <f t="shared" si="9"/>
        <v>0</v>
      </c>
      <c r="P101" s="38">
        <f t="shared" si="10"/>
        <v>0</v>
      </c>
      <c r="Q101" s="41"/>
    </row>
    <row r="102" spans="1:17" x14ac:dyDescent="0.3">
      <c r="A102" s="32" t="s">
        <v>798</v>
      </c>
      <c r="B102" s="27">
        <v>0</v>
      </c>
      <c r="C102" s="27">
        <v>0</v>
      </c>
      <c r="D102" s="27">
        <v>0</v>
      </c>
      <c r="E102">
        <v>0</v>
      </c>
      <c r="F102">
        <v>0</v>
      </c>
      <c r="G102">
        <v>0</v>
      </c>
      <c r="H102" s="33">
        <v>0</v>
      </c>
      <c r="I102" s="33">
        <v>0</v>
      </c>
      <c r="J102" s="33">
        <v>0</v>
      </c>
      <c r="K102" s="33">
        <v>0</v>
      </c>
      <c r="L102" s="33">
        <v>0</v>
      </c>
      <c r="M102" s="33">
        <v>0</v>
      </c>
      <c r="N102" s="38">
        <f t="shared" si="8"/>
        <v>0</v>
      </c>
      <c r="O102" s="38">
        <f t="shared" si="9"/>
        <v>0</v>
      </c>
      <c r="P102" s="38">
        <f t="shared" si="10"/>
        <v>0</v>
      </c>
      <c r="Q102" s="41"/>
    </row>
    <row r="103" spans="1:17" x14ac:dyDescent="0.3">
      <c r="A103" s="32" t="s">
        <v>736</v>
      </c>
      <c r="B103" s="27">
        <v>0</v>
      </c>
      <c r="C103" s="27">
        <v>0</v>
      </c>
      <c r="D103" s="27">
        <v>0</v>
      </c>
      <c r="E103">
        <v>0</v>
      </c>
      <c r="F103">
        <v>0</v>
      </c>
      <c r="G103">
        <v>0</v>
      </c>
      <c r="H103" s="33">
        <v>0</v>
      </c>
      <c r="I103" s="33">
        <v>0</v>
      </c>
      <c r="J103" s="33">
        <v>0</v>
      </c>
      <c r="K103" s="33">
        <v>0</v>
      </c>
      <c r="L103" s="33">
        <v>0</v>
      </c>
      <c r="M103" s="33">
        <v>0</v>
      </c>
      <c r="N103" s="38">
        <f t="shared" si="8"/>
        <v>0</v>
      </c>
      <c r="O103" s="38">
        <f t="shared" si="9"/>
        <v>0</v>
      </c>
      <c r="P103" s="38">
        <f t="shared" si="10"/>
        <v>0</v>
      </c>
      <c r="Q103" s="41"/>
    </row>
    <row r="104" spans="1:17" x14ac:dyDescent="0.3">
      <c r="A104" s="32" t="s">
        <v>781</v>
      </c>
      <c r="B104" s="27">
        <v>0</v>
      </c>
      <c r="C104" s="27">
        <v>0</v>
      </c>
      <c r="D104" s="27">
        <v>0</v>
      </c>
      <c r="E104">
        <v>0</v>
      </c>
      <c r="F104">
        <v>0</v>
      </c>
      <c r="G104">
        <v>0</v>
      </c>
      <c r="H104" s="33">
        <v>0</v>
      </c>
      <c r="I104" s="33">
        <v>0</v>
      </c>
      <c r="J104" s="33">
        <v>0</v>
      </c>
      <c r="K104" s="33">
        <v>0</v>
      </c>
      <c r="L104" s="33">
        <v>0</v>
      </c>
      <c r="M104" s="33">
        <v>0</v>
      </c>
      <c r="N104" s="38">
        <f t="shared" si="8"/>
        <v>0</v>
      </c>
      <c r="O104" s="38">
        <f t="shared" si="9"/>
        <v>0</v>
      </c>
      <c r="P104" s="38">
        <f t="shared" si="10"/>
        <v>0</v>
      </c>
      <c r="Q104" s="41"/>
    </row>
    <row r="105" spans="1:17" x14ac:dyDescent="0.3">
      <c r="A105" s="32" t="s">
        <v>808</v>
      </c>
      <c r="B105" s="27">
        <v>0</v>
      </c>
      <c r="C105" s="27">
        <v>0</v>
      </c>
      <c r="D105" s="27">
        <v>0</v>
      </c>
      <c r="E105">
        <v>0</v>
      </c>
      <c r="F105">
        <v>0</v>
      </c>
      <c r="G105">
        <v>0</v>
      </c>
      <c r="H105" s="33">
        <v>0</v>
      </c>
      <c r="I105" s="33">
        <v>0</v>
      </c>
      <c r="J105" s="33">
        <v>0</v>
      </c>
      <c r="K105" s="33">
        <v>0</v>
      </c>
      <c r="L105" s="33">
        <v>0</v>
      </c>
      <c r="M105" s="33">
        <v>0</v>
      </c>
      <c r="N105" s="38">
        <f t="shared" si="8"/>
        <v>0</v>
      </c>
      <c r="O105" s="38">
        <f t="shared" si="9"/>
        <v>0</v>
      </c>
      <c r="P105" s="38">
        <f t="shared" si="10"/>
        <v>0</v>
      </c>
      <c r="Q105" s="41"/>
    </row>
    <row r="106" spans="1:17" x14ac:dyDescent="0.3">
      <c r="A106" s="32" t="s">
        <v>815</v>
      </c>
      <c r="B106" s="27">
        <v>0</v>
      </c>
      <c r="C106" s="27">
        <v>0</v>
      </c>
      <c r="D106" s="27">
        <v>0</v>
      </c>
      <c r="E106">
        <v>0</v>
      </c>
      <c r="F106">
        <v>0</v>
      </c>
      <c r="G106">
        <v>0</v>
      </c>
      <c r="H106" s="33">
        <v>0</v>
      </c>
      <c r="I106" s="33">
        <v>0</v>
      </c>
      <c r="J106" s="33">
        <v>0</v>
      </c>
      <c r="K106" s="33">
        <v>0</v>
      </c>
      <c r="L106" s="33">
        <v>0</v>
      </c>
      <c r="M106" s="33">
        <v>0</v>
      </c>
      <c r="N106" s="38">
        <f t="shared" si="8"/>
        <v>0</v>
      </c>
      <c r="O106" s="38">
        <f t="shared" si="9"/>
        <v>0</v>
      </c>
      <c r="P106" s="38">
        <f t="shared" si="10"/>
        <v>0</v>
      </c>
      <c r="Q106" s="41"/>
    </row>
    <row r="107" spans="1:17" x14ac:dyDescent="0.3">
      <c r="A107" s="32" t="s">
        <v>772</v>
      </c>
      <c r="B107" s="27">
        <v>0</v>
      </c>
      <c r="C107" s="27">
        <v>0</v>
      </c>
      <c r="D107" s="27">
        <v>0</v>
      </c>
      <c r="E107">
        <v>0</v>
      </c>
      <c r="F107">
        <v>0</v>
      </c>
      <c r="G107">
        <v>0</v>
      </c>
      <c r="H107" s="33">
        <v>0</v>
      </c>
      <c r="I107" s="33">
        <v>0</v>
      </c>
      <c r="J107" s="33">
        <v>0</v>
      </c>
      <c r="K107" s="33">
        <v>0</v>
      </c>
      <c r="L107" s="33">
        <v>0</v>
      </c>
      <c r="M107" s="33">
        <v>0</v>
      </c>
      <c r="N107" s="38">
        <f t="shared" si="8"/>
        <v>0</v>
      </c>
      <c r="O107" s="38">
        <f t="shared" si="9"/>
        <v>0</v>
      </c>
      <c r="P107" s="38">
        <f t="shared" si="10"/>
        <v>0</v>
      </c>
      <c r="Q107" s="41"/>
    </row>
    <row r="108" spans="1:17" x14ac:dyDescent="0.3">
      <c r="A108" s="32" t="s">
        <v>793</v>
      </c>
      <c r="B108" s="27">
        <v>0</v>
      </c>
      <c r="C108" s="27">
        <v>0</v>
      </c>
      <c r="D108" s="27">
        <v>0</v>
      </c>
      <c r="E108">
        <v>0</v>
      </c>
      <c r="F108">
        <v>0</v>
      </c>
      <c r="G108">
        <v>0</v>
      </c>
      <c r="H108" s="33">
        <v>0</v>
      </c>
      <c r="I108" s="33">
        <v>0</v>
      </c>
      <c r="J108" s="33">
        <v>0</v>
      </c>
      <c r="K108" s="33">
        <v>0</v>
      </c>
      <c r="L108" s="33">
        <v>0</v>
      </c>
      <c r="M108" s="33">
        <v>0</v>
      </c>
      <c r="N108" s="38">
        <f t="shared" si="8"/>
        <v>0</v>
      </c>
      <c r="O108" s="38">
        <f t="shared" si="9"/>
        <v>0</v>
      </c>
      <c r="P108" s="38">
        <f t="shared" si="10"/>
        <v>0</v>
      </c>
      <c r="Q108" s="41"/>
    </row>
    <row r="109" spans="1:17" x14ac:dyDescent="0.3">
      <c r="A109" s="32" t="s">
        <v>758</v>
      </c>
      <c r="B109" s="27">
        <v>0</v>
      </c>
      <c r="C109" s="27">
        <v>0</v>
      </c>
      <c r="D109" s="27">
        <v>0</v>
      </c>
      <c r="E109">
        <v>0</v>
      </c>
      <c r="F109">
        <v>0</v>
      </c>
      <c r="G109">
        <v>0</v>
      </c>
      <c r="H109" s="33">
        <v>0</v>
      </c>
      <c r="I109" s="33">
        <v>0</v>
      </c>
      <c r="J109" s="33">
        <v>0</v>
      </c>
      <c r="K109" s="33">
        <v>0</v>
      </c>
      <c r="L109" s="33">
        <v>0</v>
      </c>
      <c r="M109" s="33">
        <v>0</v>
      </c>
      <c r="N109" s="38">
        <f t="shared" si="8"/>
        <v>0</v>
      </c>
      <c r="O109" s="38">
        <f t="shared" si="9"/>
        <v>0</v>
      </c>
      <c r="P109" s="38">
        <f t="shared" si="10"/>
        <v>0</v>
      </c>
      <c r="Q109" s="41"/>
    </row>
    <row r="110" spans="1:17" x14ac:dyDescent="0.3">
      <c r="A110" s="32" t="s">
        <v>729</v>
      </c>
      <c r="B110" s="27">
        <v>0</v>
      </c>
      <c r="C110" s="27">
        <v>0</v>
      </c>
      <c r="D110" s="27">
        <v>0</v>
      </c>
      <c r="E110">
        <v>0</v>
      </c>
      <c r="F110">
        <v>0</v>
      </c>
      <c r="G110">
        <v>0</v>
      </c>
      <c r="H110" s="33">
        <v>0</v>
      </c>
      <c r="I110" s="33">
        <v>0</v>
      </c>
      <c r="J110" s="33">
        <v>0</v>
      </c>
      <c r="K110" s="33">
        <v>0</v>
      </c>
      <c r="L110" s="33">
        <v>0</v>
      </c>
      <c r="M110" s="33">
        <v>0</v>
      </c>
      <c r="N110" s="38">
        <f t="shared" si="8"/>
        <v>0</v>
      </c>
      <c r="O110" s="38">
        <f t="shared" si="9"/>
        <v>0</v>
      </c>
      <c r="P110" s="38">
        <f t="shared" si="10"/>
        <v>0</v>
      </c>
      <c r="Q110" s="41"/>
    </row>
    <row r="111" spans="1:17" x14ac:dyDescent="0.3">
      <c r="A111" s="32" t="s">
        <v>889</v>
      </c>
      <c r="B111" s="27">
        <v>11880.1589</v>
      </c>
      <c r="C111" s="27">
        <v>12264.847400000004</v>
      </c>
      <c r="D111" s="27">
        <v>6590.0513000000037</v>
      </c>
      <c r="E111">
        <v>470248.16190000018</v>
      </c>
      <c r="F111">
        <v>475047.06149999989</v>
      </c>
      <c r="G111">
        <v>239949.39960000003</v>
      </c>
      <c r="H111" s="33">
        <v>18.113785173105082</v>
      </c>
      <c r="I111" s="33">
        <v>16.276822304078912</v>
      </c>
      <c r="J111" s="33">
        <v>13.314822160682171</v>
      </c>
      <c r="K111" s="33">
        <v>30735.057599999986</v>
      </c>
      <c r="L111" s="33">
        <v>1185244.6230000001</v>
      </c>
      <c r="M111" s="33">
        <v>15.901809879288724</v>
      </c>
      <c r="N111" s="37">
        <f t="shared" si="8"/>
        <v>3.2380753762477399E-2</v>
      </c>
      <c r="O111" s="37">
        <f t="shared" si="9"/>
        <v>1.0205036380387167E-2</v>
      </c>
      <c r="P111" s="37">
        <f t="shared" si="10"/>
        <v>-0.10141242437575382</v>
      </c>
      <c r="Q111" s="4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3B79E-F2E8-4AC9-B7C0-A007E95D3B5B}">
  <dimension ref="A1:R552"/>
  <sheetViews>
    <sheetView topLeftCell="H1" workbookViewId="0">
      <selection activeCell="R2" sqref="R2"/>
    </sheetView>
  </sheetViews>
  <sheetFormatPr defaultRowHeight="14.4" x14ac:dyDescent="0.3"/>
  <cols>
    <col min="1" max="1" width="45.44140625" bestFit="1" customWidth="1"/>
    <col min="2" max="2" width="35.21875" bestFit="1" customWidth="1"/>
    <col min="3" max="3" width="40.6640625" bestFit="1" customWidth="1"/>
    <col min="4" max="4" width="20.109375" customWidth="1"/>
    <col min="5" max="5" width="38.5546875" bestFit="1" customWidth="1"/>
    <col min="6" max="6" width="38.5546875" style="27" customWidth="1"/>
    <col min="7" max="8" width="18.44140625" style="27" customWidth="1"/>
    <col min="9" max="9" width="18.44140625" customWidth="1"/>
    <col min="10" max="12" width="19.21875" customWidth="1"/>
    <col min="13" max="13" width="18" style="33" bestFit="1" customWidth="1"/>
    <col min="14" max="15" width="19" style="33" bestFit="1" customWidth="1"/>
    <col min="17" max="17" width="20.33203125" bestFit="1" customWidth="1"/>
  </cols>
  <sheetData>
    <row r="1" spans="1:18" x14ac:dyDescent="0.3">
      <c r="A1" t="s">
        <v>872</v>
      </c>
      <c r="B1" t="s">
        <v>873</v>
      </c>
      <c r="C1" t="s">
        <v>874</v>
      </c>
      <c r="D1" t="s">
        <v>875</v>
      </c>
      <c r="E1" t="s">
        <v>876</v>
      </c>
      <c r="F1" s="27" t="s">
        <v>884</v>
      </c>
      <c r="G1" s="27" t="s">
        <v>877</v>
      </c>
      <c r="H1" s="27" t="s">
        <v>880</v>
      </c>
      <c r="I1" t="s">
        <v>881</v>
      </c>
      <c r="J1" t="s">
        <v>879</v>
      </c>
      <c r="K1" t="s">
        <v>882</v>
      </c>
      <c r="L1" t="s">
        <v>883</v>
      </c>
      <c r="M1" s="33" t="s">
        <v>885</v>
      </c>
      <c r="N1" s="33" t="s">
        <v>886</v>
      </c>
      <c r="O1" s="33" t="s">
        <v>887</v>
      </c>
      <c r="P1" t="s">
        <v>912</v>
      </c>
      <c r="Q1" t="s">
        <v>913</v>
      </c>
      <c r="R1" t="s">
        <v>914</v>
      </c>
    </row>
    <row r="2" spans="1:18" x14ac:dyDescent="0.3">
      <c r="A2" t="s">
        <v>7</v>
      </c>
      <c r="B2" t="s">
        <v>712</v>
      </c>
      <c r="C2" t="s">
        <v>828</v>
      </c>
      <c r="D2" t="s">
        <v>9</v>
      </c>
      <c r="E2" t="s">
        <v>10</v>
      </c>
      <c r="F2" s="27" t="str">
        <f>IF('Working Sheet'!B6="ITEM",'Working Sheet'!E6,"")</f>
        <v>20</v>
      </c>
      <c r="G2" s="27">
        <f>IF('Working Sheet'!B6="ITEM",'Working Sheet'!F6,"")</f>
        <v>1.9350000000000001</v>
      </c>
      <c r="H2" s="27">
        <f>IF('Working Sheet'!B6="ITEM",'Working Sheet'!G6,"")</f>
        <v>0.624</v>
      </c>
      <c r="I2" s="27">
        <f>IF('Working Sheet'!B6="ITEM",'Working Sheet'!H6,"")</f>
        <v>0</v>
      </c>
      <c r="J2">
        <f>IF('Working Sheet'!B6="ITEM",'Working Sheet'!I6,"")</f>
        <v>24.822900000000001</v>
      </c>
      <c r="K2">
        <f>IF('Working Sheet'!B6="ITEM",'Working Sheet'!J6,"")</f>
        <v>9.4085999999999999</v>
      </c>
      <c r="L2">
        <f>IF('Working Sheet'!B6="ITEM",'Working Sheet'!K6,"")</f>
        <v>0</v>
      </c>
      <c r="M2" s="33">
        <f>IFERROR(Table2[[#This Row],[Value(1000$) 2022]]/Table2[[#This Row],[Volume(1000) 2022]],0)</f>
        <v>7.7952213480294408E-2</v>
      </c>
      <c r="N2" s="33">
        <f>IFERROR(Table2[[#This Row],[Value(1000$) 2023]]/Table2[[#This Row],[Volume(1000) 2023]],0)</f>
        <v>6.6322300873668777E-2</v>
      </c>
      <c r="O2" s="33">
        <f>IFERROR(Table2[[#This Row],[Value(1000$) 2024]]/Table2[[#This Row],[Volume(1000) 2024]],0)</f>
        <v>0</v>
      </c>
      <c r="P2" s="33">
        <f>SUM(Table2[[#This Row],[Value(1000$) 2022]:[Value(1000$) 2024]])</f>
        <v>2.5590000000000002</v>
      </c>
      <c r="Q2" s="33">
        <f>SUM(Table2[[#This Row],[Volume(1000) 2022]:[Volume(1000) 2024]])</f>
        <v>34.231499999999997</v>
      </c>
      <c r="R2" s="33">
        <f>AVERAGE(Table2[[#This Row],[Average Price(2022)]:[Average Price(2024)]])</f>
        <v>4.8091504784654397E-2</v>
      </c>
    </row>
    <row r="3" spans="1:18" x14ac:dyDescent="0.3">
      <c r="A3" t="s">
        <v>12</v>
      </c>
      <c r="B3" t="s">
        <v>713</v>
      </c>
      <c r="C3" t="s">
        <v>829</v>
      </c>
      <c r="D3" t="s">
        <v>9</v>
      </c>
      <c r="E3" t="s">
        <v>10</v>
      </c>
      <c r="F3" s="27" t="str">
        <f>IF('Working Sheet'!B9="ITEM",'Working Sheet'!E9,"")</f>
        <v>10</v>
      </c>
      <c r="G3" s="27">
        <f>IF('Working Sheet'!B9="ITEM",'Working Sheet'!F9,"")</f>
        <v>0</v>
      </c>
      <c r="H3" s="27">
        <f>IF('Working Sheet'!B9="ITEM",'Working Sheet'!G9,"")</f>
        <v>0</v>
      </c>
      <c r="I3" s="27">
        <f>IF('Working Sheet'!B9="ITEM",'Working Sheet'!H9,"")</f>
        <v>0</v>
      </c>
      <c r="J3">
        <f>IF('Working Sheet'!B9="ITEM",'Working Sheet'!I9,"")</f>
        <v>0</v>
      </c>
      <c r="K3">
        <f>IF('Working Sheet'!B9="ITEM",'Working Sheet'!J9,"")</f>
        <v>0</v>
      </c>
      <c r="L3">
        <f>IF('Working Sheet'!B9="ITEM",'Working Sheet'!K9,"")</f>
        <v>0</v>
      </c>
      <c r="M3" s="33">
        <f>IFERROR(Table2[[#This Row],[Value(1000$) 2022]]/Table2[[#This Row],[Volume(1000) 2022]],0)</f>
        <v>0</v>
      </c>
      <c r="N3" s="33">
        <f>IFERROR(Table2[[#This Row],[Value(1000$) 2023]]/Table2[[#This Row],[Volume(1000) 2023]],0)</f>
        <v>0</v>
      </c>
      <c r="O3" s="33">
        <f>IFERROR(Table2[[#This Row],[Value(1000$) 2024]]/Table2[[#This Row],[Volume(1000) 2024]],0)</f>
        <v>0</v>
      </c>
      <c r="P3" s="33">
        <f>SUM(Table2[[#This Row],[Value(1000$) 2022]:[Value(1000$) 2024]])</f>
        <v>0</v>
      </c>
      <c r="Q3" s="33">
        <f>SUM(Table2[[#This Row],[Volume(1000) 2022]:[Volume(1000) 2024]])</f>
        <v>0</v>
      </c>
      <c r="R3" s="33">
        <f>AVERAGE(Table2[[#This Row],[Average Price(2022)]:[Average Price(2024)]])</f>
        <v>0</v>
      </c>
    </row>
    <row r="4" spans="1:18" x14ac:dyDescent="0.3">
      <c r="A4" t="s">
        <v>14</v>
      </c>
      <c r="B4" t="s">
        <v>713</v>
      </c>
      <c r="C4" t="s">
        <v>829</v>
      </c>
      <c r="D4" t="s">
        <v>9</v>
      </c>
      <c r="E4" t="s">
        <v>10</v>
      </c>
      <c r="F4" s="27" t="str">
        <f>IF('Working Sheet'!B10="ITEM",'Working Sheet'!E10,"")</f>
        <v>50</v>
      </c>
      <c r="G4" s="27">
        <f>IF('Working Sheet'!B10="ITEM",'Working Sheet'!F10,"")</f>
        <v>0</v>
      </c>
      <c r="H4" s="27">
        <f>IF('Working Sheet'!B10="ITEM",'Working Sheet'!G10,"")</f>
        <v>0</v>
      </c>
      <c r="I4" s="27">
        <f>IF('Working Sheet'!B10="ITEM",'Working Sheet'!H10,"")</f>
        <v>0</v>
      </c>
      <c r="J4">
        <f>IF('Working Sheet'!B10="ITEM",'Working Sheet'!I10,"")</f>
        <v>0</v>
      </c>
      <c r="K4">
        <f>IF('Working Sheet'!B10="ITEM",'Working Sheet'!J10,"")</f>
        <v>0</v>
      </c>
      <c r="L4">
        <f>IF('Working Sheet'!B10="ITEM",'Working Sheet'!K10,"")</f>
        <v>0</v>
      </c>
      <c r="M4" s="33">
        <f>IFERROR(Table2[[#This Row],[Value(1000$) 2022]]/Table2[[#This Row],[Volume(1000) 2022]],0)</f>
        <v>0</v>
      </c>
      <c r="N4" s="33">
        <f>IFERROR(Table2[[#This Row],[Value(1000$) 2023]]/Table2[[#This Row],[Volume(1000) 2023]],0)</f>
        <v>0</v>
      </c>
      <c r="O4" s="33">
        <f>IFERROR(Table2[[#This Row],[Value(1000$) 2024]]/Table2[[#This Row],[Volume(1000) 2024]],0)</f>
        <v>0</v>
      </c>
      <c r="P4" s="33">
        <f>SUM(Table2[[#This Row],[Value(1000$) 2022]:[Value(1000$) 2024]])</f>
        <v>0</v>
      </c>
      <c r="Q4" s="33">
        <f>SUM(Table2[[#This Row],[Volume(1000) 2022]:[Volume(1000) 2024]])</f>
        <v>0</v>
      </c>
      <c r="R4" s="33">
        <f>AVERAGE(Table2[[#This Row],[Average Price(2022)]:[Average Price(2024)]])</f>
        <v>0</v>
      </c>
    </row>
    <row r="5" spans="1:18" x14ac:dyDescent="0.3">
      <c r="A5" t="s">
        <v>16</v>
      </c>
      <c r="B5" t="s">
        <v>713</v>
      </c>
      <c r="C5" t="s">
        <v>829</v>
      </c>
      <c r="D5" t="s">
        <v>9</v>
      </c>
      <c r="E5" t="s">
        <v>10</v>
      </c>
      <c r="F5" s="27" t="str">
        <f>IF('Working Sheet'!B11="ITEM",'Working Sheet'!E11,"")</f>
        <v>80</v>
      </c>
      <c r="G5" s="27">
        <f>IF('Working Sheet'!B11="ITEM",'Working Sheet'!F11,"")</f>
        <v>0</v>
      </c>
      <c r="H5" s="27">
        <f>IF('Working Sheet'!B11="ITEM",'Working Sheet'!G11,"")</f>
        <v>0</v>
      </c>
      <c r="I5" s="27">
        <f>IF('Working Sheet'!B11="ITEM",'Working Sheet'!H11,"")</f>
        <v>0</v>
      </c>
      <c r="J5">
        <f>IF('Working Sheet'!B11="ITEM",'Working Sheet'!I11,"")</f>
        <v>0</v>
      </c>
      <c r="K5">
        <f>IF('Working Sheet'!B11="ITEM",'Working Sheet'!J11,"")</f>
        <v>0</v>
      </c>
      <c r="L5">
        <f>IF('Working Sheet'!B11="ITEM",'Working Sheet'!K11,"")</f>
        <v>0</v>
      </c>
      <c r="M5" s="33">
        <f>IFERROR(Table2[[#This Row],[Value(1000$) 2022]]/Table2[[#This Row],[Volume(1000) 2022]],0)</f>
        <v>0</v>
      </c>
      <c r="N5" s="33">
        <f>IFERROR(Table2[[#This Row],[Value(1000$) 2023]]/Table2[[#This Row],[Volume(1000) 2023]],0)</f>
        <v>0</v>
      </c>
      <c r="O5" s="33">
        <f>IFERROR(Table2[[#This Row],[Value(1000$) 2024]]/Table2[[#This Row],[Volume(1000) 2024]],0)</f>
        <v>0</v>
      </c>
      <c r="P5" s="33">
        <f>SUM(Table2[[#This Row],[Value(1000$) 2022]:[Value(1000$) 2024]])</f>
        <v>0</v>
      </c>
      <c r="Q5" s="33">
        <f>SUM(Table2[[#This Row],[Volume(1000) 2022]:[Volume(1000) 2024]])</f>
        <v>0</v>
      </c>
      <c r="R5" s="33">
        <f>AVERAGE(Table2[[#This Row],[Average Price(2022)]:[Average Price(2024)]])</f>
        <v>0</v>
      </c>
    </row>
    <row r="6" spans="1:18" x14ac:dyDescent="0.3">
      <c r="A6" t="s">
        <v>18</v>
      </c>
      <c r="B6" t="s">
        <v>713</v>
      </c>
      <c r="C6" t="s">
        <v>829</v>
      </c>
      <c r="D6" t="s">
        <v>9</v>
      </c>
      <c r="E6" t="s">
        <v>10</v>
      </c>
      <c r="F6" s="27" t="str">
        <f>IF('Working Sheet'!B12="ITEM",'Working Sheet'!E12,"")</f>
        <v>80</v>
      </c>
      <c r="G6" s="27">
        <f>IF('Working Sheet'!B12="ITEM",'Working Sheet'!F12,"")</f>
        <v>1.09E-2</v>
      </c>
      <c r="H6" s="27">
        <f>IF('Working Sheet'!B12="ITEM",'Working Sheet'!G12,"")</f>
        <v>0</v>
      </c>
      <c r="I6" s="27">
        <f>IF('Working Sheet'!B12="ITEM",'Working Sheet'!H12,"")</f>
        <v>0</v>
      </c>
      <c r="J6">
        <f>IF('Working Sheet'!B12="ITEM",'Working Sheet'!I12,"")</f>
        <v>0.16</v>
      </c>
      <c r="K6">
        <f>IF('Working Sheet'!B12="ITEM",'Working Sheet'!J12,"")</f>
        <v>0</v>
      </c>
      <c r="L6">
        <f>IF('Working Sheet'!B12="ITEM",'Working Sheet'!K12,"")</f>
        <v>0</v>
      </c>
      <c r="M6" s="33">
        <f>IFERROR(Table2[[#This Row],[Value(1000$) 2022]]/Table2[[#This Row],[Volume(1000) 2022]],0)</f>
        <v>6.8125000000000005E-2</v>
      </c>
      <c r="N6" s="33">
        <f>IFERROR(Table2[[#This Row],[Value(1000$) 2023]]/Table2[[#This Row],[Volume(1000) 2023]],0)</f>
        <v>0</v>
      </c>
      <c r="O6" s="33">
        <f>IFERROR(Table2[[#This Row],[Value(1000$) 2024]]/Table2[[#This Row],[Volume(1000) 2024]],0)</f>
        <v>0</v>
      </c>
      <c r="P6" s="33">
        <f>SUM(Table2[[#This Row],[Value(1000$) 2022]:[Value(1000$) 2024]])</f>
        <v>1.09E-2</v>
      </c>
      <c r="Q6" s="33">
        <f>SUM(Table2[[#This Row],[Volume(1000) 2022]:[Volume(1000) 2024]])</f>
        <v>0.16</v>
      </c>
      <c r="R6" s="33">
        <f>AVERAGE(Table2[[#This Row],[Average Price(2022)]:[Average Price(2024)]])</f>
        <v>2.2708333333333334E-2</v>
      </c>
    </row>
    <row r="7" spans="1:18" x14ac:dyDescent="0.3">
      <c r="A7" t="s">
        <v>19</v>
      </c>
      <c r="B7" t="s">
        <v>714</v>
      </c>
      <c r="C7" t="s">
        <v>830</v>
      </c>
      <c r="D7" t="s">
        <v>9</v>
      </c>
      <c r="E7" t="s">
        <v>20</v>
      </c>
      <c r="F7" s="27" t="str">
        <f>IF('Working Sheet'!B15="ITEM",'Working Sheet'!E15,"")</f>
        <v>100</v>
      </c>
      <c r="G7" s="27">
        <f>IF('Working Sheet'!B15="ITEM",'Working Sheet'!F15,"")</f>
        <v>81.467399999999998</v>
      </c>
      <c r="H7" s="27">
        <f>IF('Working Sheet'!B15="ITEM",'Working Sheet'!G15,"")</f>
        <v>92.903000000000006</v>
      </c>
      <c r="I7" s="27">
        <f>IF('Working Sheet'!B15="ITEM",'Working Sheet'!H15,"")</f>
        <v>52.511899999999997</v>
      </c>
      <c r="J7">
        <f>IF('Working Sheet'!B15="ITEM",'Working Sheet'!I15,"")</f>
        <v>2980.7042999999999</v>
      </c>
      <c r="K7">
        <f>IF('Working Sheet'!B15="ITEM",'Working Sheet'!J15,"")</f>
        <v>3415.3553999999999</v>
      </c>
      <c r="L7">
        <f>IF('Working Sheet'!B15="ITEM",'Working Sheet'!K15,"")</f>
        <v>1823.0734</v>
      </c>
      <c r="M7" s="33">
        <f>IFERROR(Table2[[#This Row],[Value(1000$) 2022]]/Table2[[#This Row],[Volume(1000) 2022]],0)</f>
        <v>2.7331594079962915E-2</v>
      </c>
      <c r="N7" s="33">
        <f>IFERROR(Table2[[#This Row],[Value(1000$) 2023]]/Table2[[#This Row],[Volume(1000) 2023]],0)</f>
        <v>2.7201561512456365E-2</v>
      </c>
      <c r="O7" s="33">
        <f>IFERROR(Table2[[#This Row],[Value(1000$) 2024]]/Table2[[#This Row],[Volume(1000) 2024]],0)</f>
        <v>2.8804051444116293E-2</v>
      </c>
      <c r="P7" s="33">
        <f>SUM(Table2[[#This Row],[Value(1000$) 2022]:[Value(1000$) 2024]])</f>
        <v>226.88230000000001</v>
      </c>
      <c r="Q7" s="33">
        <f>SUM(Table2[[#This Row],[Volume(1000) 2022]:[Volume(1000) 2024]])</f>
        <v>8219.1330999999991</v>
      </c>
      <c r="R7" s="33">
        <f>AVERAGE(Table2[[#This Row],[Average Price(2022)]:[Average Price(2024)]])</f>
        <v>2.7779069012178526E-2</v>
      </c>
    </row>
    <row r="8" spans="1:18" x14ac:dyDescent="0.3">
      <c r="A8" t="s">
        <v>22</v>
      </c>
      <c r="B8" t="s">
        <v>714</v>
      </c>
      <c r="C8" t="s">
        <v>830</v>
      </c>
      <c r="D8" t="s">
        <v>9</v>
      </c>
      <c r="E8" t="s">
        <v>20</v>
      </c>
      <c r="F8" s="27" t="str">
        <f>IF('Working Sheet'!B16="ITEM",'Working Sheet'!E16,"")</f>
        <v>100</v>
      </c>
      <c r="G8" s="27">
        <f>IF('Working Sheet'!B16="ITEM",'Working Sheet'!F16,"")</f>
        <v>165.22800000000001</v>
      </c>
      <c r="H8" s="27">
        <f>IF('Working Sheet'!B16="ITEM",'Working Sheet'!G16,"")</f>
        <v>172.68430000000001</v>
      </c>
      <c r="I8" s="27">
        <f>IF('Working Sheet'!B16="ITEM",'Working Sheet'!H16,"")</f>
        <v>91.1357</v>
      </c>
      <c r="J8">
        <f>IF('Working Sheet'!B16="ITEM",'Working Sheet'!I16,"")</f>
        <v>5930.9056</v>
      </c>
      <c r="K8">
        <f>IF('Working Sheet'!B16="ITEM",'Working Sheet'!J16,"")</f>
        <v>6183.6273000000001</v>
      </c>
      <c r="L8">
        <f>IF('Working Sheet'!B16="ITEM",'Working Sheet'!K16,"")</f>
        <v>3125.7986999999998</v>
      </c>
      <c r="M8" s="33">
        <f>IFERROR(Table2[[#This Row],[Value(1000$) 2022]]/Table2[[#This Row],[Volume(1000) 2022]],0)</f>
        <v>2.7858814680847391E-2</v>
      </c>
      <c r="N8" s="33">
        <f>IFERROR(Table2[[#This Row],[Value(1000$) 2023]]/Table2[[#This Row],[Volume(1000) 2023]],0)</f>
        <v>2.7926052399697504E-2</v>
      </c>
      <c r="O8" s="33">
        <f>IFERROR(Table2[[#This Row],[Value(1000$) 2024]]/Table2[[#This Row],[Volume(1000) 2024]],0)</f>
        <v>2.9155972200001237E-2</v>
      </c>
      <c r="P8" s="33">
        <f>SUM(Table2[[#This Row],[Value(1000$) 2022]:[Value(1000$) 2024]])</f>
        <v>429.048</v>
      </c>
      <c r="Q8" s="33">
        <f>SUM(Table2[[#This Row],[Volume(1000) 2022]:[Volume(1000) 2024]])</f>
        <v>15240.3316</v>
      </c>
      <c r="R8" s="33">
        <f>AVERAGE(Table2[[#This Row],[Average Price(2022)]:[Average Price(2024)]])</f>
        <v>2.8313613093515377E-2</v>
      </c>
    </row>
    <row r="9" spans="1:18" x14ac:dyDescent="0.3">
      <c r="A9" t="s">
        <v>23</v>
      </c>
      <c r="B9" t="s">
        <v>714</v>
      </c>
      <c r="C9" t="s">
        <v>830</v>
      </c>
      <c r="D9" t="s">
        <v>9</v>
      </c>
      <c r="E9" t="s">
        <v>20</v>
      </c>
      <c r="F9" s="27" t="str">
        <f>IF('Working Sheet'!B17="ITEM",'Working Sheet'!E17,"")</f>
        <v>120</v>
      </c>
      <c r="G9" s="27">
        <f>IF('Working Sheet'!B17="ITEM",'Working Sheet'!F17,"")</f>
        <v>842.87239999999997</v>
      </c>
      <c r="H9" s="27">
        <f>IF('Working Sheet'!B17="ITEM",'Working Sheet'!G17,"")</f>
        <v>745.33579999999995</v>
      </c>
      <c r="I9" s="27">
        <f>IF('Working Sheet'!B17="ITEM",'Working Sheet'!H17,"")</f>
        <v>366.95890000000003</v>
      </c>
      <c r="J9">
        <f>IF('Working Sheet'!B17="ITEM",'Working Sheet'!I17,"")</f>
        <v>38888.539799999999</v>
      </c>
      <c r="K9">
        <f>IF('Working Sheet'!B17="ITEM",'Working Sheet'!J17,"")</f>
        <v>31985.000499999998</v>
      </c>
      <c r="L9">
        <f>IF('Working Sheet'!B17="ITEM",'Working Sheet'!K17,"")</f>
        <v>14135.173000000001</v>
      </c>
      <c r="M9" s="33">
        <f>IFERROR(Table2[[#This Row],[Value(1000$) 2022]]/Table2[[#This Row],[Volume(1000) 2022]],0)</f>
        <v>2.1674056272999995E-2</v>
      </c>
      <c r="N9" s="33">
        <f>IFERROR(Table2[[#This Row],[Value(1000$) 2023]]/Table2[[#This Row],[Volume(1000) 2023]],0)</f>
        <v>2.3302666510822783E-2</v>
      </c>
      <c r="O9" s="33">
        <f>IFERROR(Table2[[#This Row],[Value(1000$) 2024]]/Table2[[#This Row],[Volume(1000) 2024]],0)</f>
        <v>2.5960693937032112E-2</v>
      </c>
      <c r="P9" s="33">
        <f>SUM(Table2[[#This Row],[Value(1000$) 2022]:[Value(1000$) 2024]])</f>
        <v>1955.1671000000001</v>
      </c>
      <c r="Q9" s="33">
        <f>SUM(Table2[[#This Row],[Volume(1000) 2022]:[Volume(1000) 2024]])</f>
        <v>85008.713299999989</v>
      </c>
      <c r="R9" s="33">
        <f>AVERAGE(Table2[[#This Row],[Average Price(2022)]:[Average Price(2024)]])</f>
        <v>2.3645805573618298E-2</v>
      </c>
    </row>
    <row r="10" spans="1:18" x14ac:dyDescent="0.3">
      <c r="A10" t="s">
        <v>25</v>
      </c>
      <c r="B10" t="s">
        <v>714</v>
      </c>
      <c r="C10" t="s">
        <v>830</v>
      </c>
      <c r="D10" t="s">
        <v>9</v>
      </c>
      <c r="E10" t="s">
        <v>10</v>
      </c>
      <c r="F10" s="27" t="str">
        <f>IF('Working Sheet'!B18="ITEM",'Working Sheet'!E18,"")</f>
        <v>15</v>
      </c>
      <c r="G10" s="27">
        <f>IF('Working Sheet'!B18="ITEM",'Working Sheet'!F18,"")</f>
        <v>12.774800000000001</v>
      </c>
      <c r="H10" s="27">
        <f>IF('Working Sheet'!B18="ITEM",'Working Sheet'!G18,"")</f>
        <v>10.866</v>
      </c>
      <c r="I10" s="27">
        <f>IF('Working Sheet'!B18="ITEM",'Working Sheet'!H18,"")</f>
        <v>6.7743000000000002</v>
      </c>
      <c r="J10">
        <f>IF('Working Sheet'!B18="ITEM",'Working Sheet'!I18,"")</f>
        <v>151.26679999999999</v>
      </c>
      <c r="K10">
        <f>IF('Working Sheet'!B18="ITEM",'Working Sheet'!J18,"")</f>
        <v>127.18680000000001</v>
      </c>
      <c r="L10">
        <f>IF('Working Sheet'!B18="ITEM",'Working Sheet'!K18,"")</f>
        <v>77.459400000000002</v>
      </c>
      <c r="M10" s="33">
        <f>IFERROR(Table2[[#This Row],[Value(1000$) 2022]]/Table2[[#This Row],[Volume(1000) 2022]],0)</f>
        <v>8.4452107137851812E-2</v>
      </c>
      <c r="N10" s="33">
        <f>IFERROR(Table2[[#This Row],[Value(1000$) 2023]]/Table2[[#This Row],[Volume(1000) 2023]],0)</f>
        <v>8.5433394031456084E-2</v>
      </c>
      <c r="O10" s="33">
        <f>IFERROR(Table2[[#This Row],[Value(1000$) 2024]]/Table2[[#This Row],[Volume(1000) 2024]],0)</f>
        <v>8.7456138312457882E-2</v>
      </c>
      <c r="P10" s="33">
        <f>SUM(Table2[[#This Row],[Value(1000$) 2022]:[Value(1000$) 2024]])</f>
        <v>30.415099999999999</v>
      </c>
      <c r="Q10" s="33">
        <f>SUM(Table2[[#This Row],[Volume(1000) 2022]:[Volume(1000) 2024]])</f>
        <v>355.91300000000001</v>
      </c>
      <c r="R10" s="33">
        <f>AVERAGE(Table2[[#This Row],[Average Price(2022)]:[Average Price(2024)]])</f>
        <v>8.578054649392193E-2</v>
      </c>
    </row>
    <row r="11" spans="1:18" x14ac:dyDescent="0.3">
      <c r="A11" t="s">
        <v>27</v>
      </c>
      <c r="B11" t="s">
        <v>714</v>
      </c>
      <c r="C11" t="s">
        <v>830</v>
      </c>
      <c r="D11" t="s">
        <v>9</v>
      </c>
      <c r="E11" t="s">
        <v>10</v>
      </c>
      <c r="F11" s="27" t="str">
        <f>IF('Working Sheet'!B19="ITEM",'Working Sheet'!E19,"")</f>
        <v>15</v>
      </c>
      <c r="G11" s="27">
        <f>IF('Working Sheet'!B19="ITEM",'Working Sheet'!F19,"")</f>
        <v>20.055299999999999</v>
      </c>
      <c r="H11" s="27">
        <f>IF('Working Sheet'!B19="ITEM",'Working Sheet'!G19,"")</f>
        <v>17.836099999999998</v>
      </c>
      <c r="I11" s="27">
        <f>IF('Working Sheet'!B19="ITEM",'Working Sheet'!H19,"")</f>
        <v>11.187099999999999</v>
      </c>
      <c r="J11">
        <f>IF('Working Sheet'!B19="ITEM",'Working Sheet'!I19,"")</f>
        <v>231.08779999999999</v>
      </c>
      <c r="K11">
        <f>IF('Working Sheet'!B19="ITEM",'Working Sheet'!J19,"")</f>
        <v>217.71180000000001</v>
      </c>
      <c r="L11">
        <f>IF('Working Sheet'!B19="ITEM",'Working Sheet'!K19,"")</f>
        <v>141.00800000000001</v>
      </c>
      <c r="M11" s="33">
        <f>IFERROR(Table2[[#This Row],[Value(1000$) 2022]]/Table2[[#This Row],[Volume(1000) 2022]],0)</f>
        <v>8.6786494137726003E-2</v>
      </c>
      <c r="N11" s="33">
        <f>IFERROR(Table2[[#This Row],[Value(1000$) 2023]]/Table2[[#This Row],[Volume(1000) 2023]],0)</f>
        <v>8.1925279199381917E-2</v>
      </c>
      <c r="O11" s="33">
        <f>IFERROR(Table2[[#This Row],[Value(1000$) 2024]]/Table2[[#This Row],[Volume(1000) 2024]],0)</f>
        <v>7.9336633382503102E-2</v>
      </c>
      <c r="P11" s="33">
        <f>SUM(Table2[[#This Row],[Value(1000$) 2022]:[Value(1000$) 2024]])</f>
        <v>49.078499999999998</v>
      </c>
      <c r="Q11" s="33">
        <f>SUM(Table2[[#This Row],[Volume(1000) 2022]:[Volume(1000) 2024]])</f>
        <v>589.80759999999998</v>
      </c>
      <c r="R11" s="33">
        <f>AVERAGE(Table2[[#This Row],[Average Price(2022)]:[Average Price(2024)]])</f>
        <v>8.2682802239870332E-2</v>
      </c>
    </row>
    <row r="12" spans="1:18" x14ac:dyDescent="0.3">
      <c r="A12" t="s">
        <v>28</v>
      </c>
      <c r="B12" t="s">
        <v>714</v>
      </c>
      <c r="C12" t="s">
        <v>830</v>
      </c>
      <c r="D12" t="s">
        <v>9</v>
      </c>
      <c r="E12" t="s">
        <v>20</v>
      </c>
      <c r="F12" s="27" t="str">
        <f>IF('Working Sheet'!B20="ITEM",'Working Sheet'!E20,"")</f>
        <v>15</v>
      </c>
      <c r="G12" s="27">
        <f>IF('Working Sheet'!B20="ITEM",'Working Sheet'!F20,"")</f>
        <v>1.2461</v>
      </c>
      <c r="H12" s="27">
        <f>IF('Working Sheet'!B20="ITEM",'Working Sheet'!G20,"")</f>
        <v>7.7651000000000003</v>
      </c>
      <c r="I12" s="27">
        <f>IF('Working Sheet'!B20="ITEM",'Working Sheet'!H20,"")</f>
        <v>2.2378</v>
      </c>
      <c r="J12">
        <f>IF('Working Sheet'!B20="ITEM",'Working Sheet'!I20,"")</f>
        <v>20.960899999999999</v>
      </c>
      <c r="K12">
        <f>IF('Working Sheet'!B20="ITEM",'Working Sheet'!J20,"")</f>
        <v>127.6666</v>
      </c>
      <c r="L12">
        <f>IF('Working Sheet'!B20="ITEM",'Working Sheet'!K20,"")</f>
        <v>33.570999999999998</v>
      </c>
      <c r="M12" s="33">
        <f>IFERROR(Table2[[#This Row],[Value(1000$) 2022]]/Table2[[#This Row],[Volume(1000) 2022]],0)</f>
        <v>5.9448783210644583E-2</v>
      </c>
      <c r="N12" s="33">
        <f>IFERROR(Table2[[#This Row],[Value(1000$) 2023]]/Table2[[#This Row],[Volume(1000) 2023]],0)</f>
        <v>6.0823269359409592E-2</v>
      </c>
      <c r="O12" s="33">
        <f>IFERROR(Table2[[#This Row],[Value(1000$) 2024]]/Table2[[#This Row],[Volume(1000) 2024]],0)</f>
        <v>6.6658723302850678E-2</v>
      </c>
      <c r="P12" s="33">
        <f>SUM(Table2[[#This Row],[Value(1000$) 2022]:[Value(1000$) 2024]])</f>
        <v>11.249000000000001</v>
      </c>
      <c r="Q12" s="33">
        <f>SUM(Table2[[#This Row],[Volume(1000) 2022]:[Volume(1000) 2024]])</f>
        <v>182.1985</v>
      </c>
      <c r="R12" s="33">
        <f>AVERAGE(Table2[[#This Row],[Average Price(2022)]:[Average Price(2024)]])</f>
        <v>6.2310258624301618E-2</v>
      </c>
    </row>
    <row r="13" spans="1:18" x14ac:dyDescent="0.3">
      <c r="A13" t="s">
        <v>29</v>
      </c>
      <c r="B13" t="s">
        <v>714</v>
      </c>
      <c r="C13" t="s">
        <v>830</v>
      </c>
      <c r="D13" t="s">
        <v>9</v>
      </c>
      <c r="E13" t="s">
        <v>30</v>
      </c>
      <c r="F13" s="27" t="str">
        <f>IF('Working Sheet'!B21="ITEM",'Working Sheet'!E21,"")</f>
        <v>15</v>
      </c>
      <c r="G13" s="27">
        <f>IF('Working Sheet'!B21="ITEM",'Working Sheet'!F21,"")</f>
        <v>9.6471999999999998</v>
      </c>
      <c r="H13" s="27">
        <f>IF('Working Sheet'!B21="ITEM",'Working Sheet'!G21,"")</f>
        <v>10.7577</v>
      </c>
      <c r="I13" s="27">
        <f>IF('Working Sheet'!B21="ITEM",'Working Sheet'!H21,"")</f>
        <v>7.0723000000000003</v>
      </c>
      <c r="J13">
        <f>IF('Working Sheet'!B21="ITEM",'Working Sheet'!I21,"")</f>
        <v>112.20610000000001</v>
      </c>
      <c r="K13">
        <f>IF('Working Sheet'!B21="ITEM",'Working Sheet'!J21,"")</f>
        <v>131.05279999999999</v>
      </c>
      <c r="L13">
        <f>IF('Working Sheet'!B21="ITEM",'Working Sheet'!K21,"")</f>
        <v>85.719800000000006</v>
      </c>
      <c r="M13" s="33">
        <f>IFERROR(Table2[[#This Row],[Value(1000$) 2022]]/Table2[[#This Row],[Volume(1000) 2022]],0)</f>
        <v>8.5977500331978374E-2</v>
      </c>
      <c r="N13" s="33">
        <f>IFERROR(Table2[[#This Row],[Value(1000$) 2023]]/Table2[[#This Row],[Volume(1000) 2023]],0)</f>
        <v>8.208676197685208E-2</v>
      </c>
      <c r="O13" s="33">
        <f>IFERROR(Table2[[#This Row],[Value(1000$) 2024]]/Table2[[#This Row],[Volume(1000) 2024]],0)</f>
        <v>8.250485885408039E-2</v>
      </c>
      <c r="P13" s="33">
        <f>SUM(Table2[[#This Row],[Value(1000$) 2022]:[Value(1000$) 2024]])</f>
        <v>27.477199999999996</v>
      </c>
      <c r="Q13" s="33">
        <f>SUM(Table2[[#This Row],[Volume(1000) 2022]:[Volume(1000) 2024]])</f>
        <v>328.9787</v>
      </c>
      <c r="R13" s="33">
        <f>AVERAGE(Table2[[#This Row],[Average Price(2022)]:[Average Price(2024)]])</f>
        <v>8.3523040387636957E-2</v>
      </c>
    </row>
    <row r="14" spans="1:18" x14ac:dyDescent="0.3">
      <c r="A14" t="s">
        <v>31</v>
      </c>
      <c r="B14" t="s">
        <v>714</v>
      </c>
      <c r="C14" t="s">
        <v>830</v>
      </c>
      <c r="D14" t="s">
        <v>9</v>
      </c>
      <c r="E14" t="s">
        <v>10</v>
      </c>
      <c r="F14" s="27" t="str">
        <f>IF('Working Sheet'!B22="ITEM",'Working Sheet'!E22,"")</f>
        <v>40</v>
      </c>
      <c r="G14" s="27">
        <f>IF('Working Sheet'!B22="ITEM",'Working Sheet'!F22,"")</f>
        <v>0.1235</v>
      </c>
      <c r="H14" s="27">
        <f>IF('Working Sheet'!B22="ITEM",'Working Sheet'!G22,"")</f>
        <v>0</v>
      </c>
      <c r="I14" s="27">
        <f>IF('Working Sheet'!B22="ITEM",'Working Sheet'!H22,"")</f>
        <v>0</v>
      </c>
      <c r="J14">
        <f>IF('Working Sheet'!B22="ITEM",'Working Sheet'!I22,"")</f>
        <v>2.2799999999999998</v>
      </c>
      <c r="K14">
        <f>IF('Working Sheet'!B22="ITEM",'Working Sheet'!J22,"")</f>
        <v>0</v>
      </c>
      <c r="L14">
        <f>IF('Working Sheet'!B22="ITEM",'Working Sheet'!K22,"")</f>
        <v>0</v>
      </c>
      <c r="M14" s="33">
        <f>IFERROR(Table2[[#This Row],[Value(1000$) 2022]]/Table2[[#This Row],[Volume(1000) 2022]],0)</f>
        <v>5.4166666666666669E-2</v>
      </c>
      <c r="N14" s="33">
        <f>IFERROR(Table2[[#This Row],[Value(1000$) 2023]]/Table2[[#This Row],[Volume(1000) 2023]],0)</f>
        <v>0</v>
      </c>
      <c r="O14" s="33">
        <f>IFERROR(Table2[[#This Row],[Value(1000$) 2024]]/Table2[[#This Row],[Volume(1000) 2024]],0)</f>
        <v>0</v>
      </c>
      <c r="P14" s="33">
        <f>SUM(Table2[[#This Row],[Value(1000$) 2022]:[Value(1000$) 2024]])</f>
        <v>0.1235</v>
      </c>
      <c r="Q14" s="33">
        <f>SUM(Table2[[#This Row],[Volume(1000) 2022]:[Volume(1000) 2024]])</f>
        <v>2.2799999999999998</v>
      </c>
      <c r="R14" s="33">
        <f>AVERAGE(Table2[[#This Row],[Average Price(2022)]:[Average Price(2024)]])</f>
        <v>1.8055555555555557E-2</v>
      </c>
    </row>
    <row r="15" spans="1:18" x14ac:dyDescent="0.3">
      <c r="A15" t="s">
        <v>33</v>
      </c>
      <c r="B15" t="s">
        <v>714</v>
      </c>
      <c r="C15" t="s">
        <v>830</v>
      </c>
      <c r="D15" t="s">
        <v>9</v>
      </c>
      <c r="E15" t="s">
        <v>20</v>
      </c>
      <c r="F15" s="27" t="str">
        <f>IF('Working Sheet'!B23="ITEM",'Working Sheet'!E23,"")</f>
        <v>56</v>
      </c>
      <c r="G15" s="27">
        <f>IF('Working Sheet'!B23="ITEM",'Working Sheet'!F23,"")</f>
        <v>0</v>
      </c>
      <c r="H15" s="27">
        <f>IF('Working Sheet'!B23="ITEM",'Working Sheet'!G23,"")</f>
        <v>0</v>
      </c>
      <c r="I15" s="27">
        <f>IF('Working Sheet'!B23="ITEM",'Working Sheet'!H23,"")</f>
        <v>7.1128</v>
      </c>
      <c r="J15">
        <f>IF('Working Sheet'!B23="ITEM",'Working Sheet'!I23,"")</f>
        <v>0</v>
      </c>
      <c r="K15">
        <f>IF('Working Sheet'!B23="ITEM",'Working Sheet'!J23,"")</f>
        <v>0</v>
      </c>
      <c r="L15">
        <f>IF('Working Sheet'!B23="ITEM",'Working Sheet'!K23,"")</f>
        <v>247.09899999999999</v>
      </c>
      <c r="M15" s="33">
        <f>IFERROR(Table2[[#This Row],[Value(1000$) 2022]]/Table2[[#This Row],[Volume(1000) 2022]],0)</f>
        <v>0</v>
      </c>
      <c r="N15" s="33">
        <f>IFERROR(Table2[[#This Row],[Value(1000$) 2023]]/Table2[[#This Row],[Volume(1000) 2023]],0)</f>
        <v>0</v>
      </c>
      <c r="O15" s="33">
        <f>IFERROR(Table2[[#This Row],[Value(1000$) 2024]]/Table2[[#This Row],[Volume(1000) 2024]],0)</f>
        <v>2.8785223736235276E-2</v>
      </c>
      <c r="P15" s="33">
        <f>SUM(Table2[[#This Row],[Value(1000$) 2022]:[Value(1000$) 2024]])</f>
        <v>7.1128</v>
      </c>
      <c r="Q15" s="33">
        <f>SUM(Table2[[#This Row],[Volume(1000) 2022]:[Volume(1000) 2024]])</f>
        <v>247.09899999999999</v>
      </c>
      <c r="R15" s="33">
        <f>AVERAGE(Table2[[#This Row],[Average Price(2022)]:[Average Price(2024)]])</f>
        <v>9.5950745787450921E-3</v>
      </c>
    </row>
    <row r="16" spans="1:18" x14ac:dyDescent="0.3">
      <c r="A16" t="s">
        <v>35</v>
      </c>
      <c r="B16" t="s">
        <v>714</v>
      </c>
      <c r="C16" t="s">
        <v>830</v>
      </c>
      <c r="D16" t="s">
        <v>9</v>
      </c>
      <c r="E16" t="s">
        <v>20</v>
      </c>
      <c r="F16" s="27" t="str">
        <f>IF('Working Sheet'!B24="ITEM",'Working Sheet'!E24,"")</f>
        <v>56</v>
      </c>
      <c r="G16" s="27">
        <f>IF('Working Sheet'!B24="ITEM",'Working Sheet'!F24,"")</f>
        <v>0.18310000000000001</v>
      </c>
      <c r="H16" s="27">
        <f>IF('Working Sheet'!B24="ITEM",'Working Sheet'!G24,"")</f>
        <v>0.1116</v>
      </c>
      <c r="I16" s="27">
        <f>IF('Working Sheet'!B24="ITEM",'Working Sheet'!H24,"")</f>
        <v>0.38700000000000001</v>
      </c>
      <c r="J16">
        <f>IF('Working Sheet'!B24="ITEM",'Working Sheet'!I24,"")</f>
        <v>5.8884999999999996</v>
      </c>
      <c r="K16">
        <f>IF('Working Sheet'!B24="ITEM",'Working Sheet'!J24,"")</f>
        <v>3.7909999999999999</v>
      </c>
      <c r="L16">
        <f>IF('Working Sheet'!B24="ITEM",'Working Sheet'!K24,"")</f>
        <v>14.3827</v>
      </c>
      <c r="M16" s="33">
        <f>IFERROR(Table2[[#This Row],[Value(1000$) 2022]]/Table2[[#This Row],[Volume(1000) 2022]],0)</f>
        <v>3.1094506240978183E-2</v>
      </c>
      <c r="N16" s="33">
        <f>IFERROR(Table2[[#This Row],[Value(1000$) 2023]]/Table2[[#This Row],[Volume(1000) 2023]],0)</f>
        <v>2.9438142970192562E-2</v>
      </c>
      <c r="O16" s="33">
        <f>IFERROR(Table2[[#This Row],[Value(1000$) 2024]]/Table2[[#This Row],[Volume(1000) 2024]],0)</f>
        <v>2.6907326162681554E-2</v>
      </c>
      <c r="P16" s="33">
        <f>SUM(Table2[[#This Row],[Value(1000$) 2022]:[Value(1000$) 2024]])</f>
        <v>0.68169999999999997</v>
      </c>
      <c r="Q16" s="33">
        <f>SUM(Table2[[#This Row],[Volume(1000) 2022]:[Volume(1000) 2024]])</f>
        <v>24.062199999999997</v>
      </c>
      <c r="R16" s="33">
        <f>AVERAGE(Table2[[#This Row],[Average Price(2022)]:[Average Price(2024)]])</f>
        <v>2.9146658457950766E-2</v>
      </c>
    </row>
    <row r="17" spans="1:18" x14ac:dyDescent="0.3">
      <c r="A17" t="s">
        <v>36</v>
      </c>
      <c r="B17" t="s">
        <v>714</v>
      </c>
      <c r="C17" t="s">
        <v>830</v>
      </c>
      <c r="D17" t="s">
        <v>9</v>
      </c>
      <c r="E17" t="s">
        <v>10</v>
      </c>
      <c r="F17" s="27" t="str">
        <f>IF('Working Sheet'!B25="ITEM",'Working Sheet'!E25,"")</f>
        <v>64</v>
      </c>
      <c r="G17" s="27">
        <f>IF('Working Sheet'!B25="ITEM",'Working Sheet'!F25,"")</f>
        <v>1.8938999999999999</v>
      </c>
      <c r="H17" s="27">
        <f>IF('Working Sheet'!B25="ITEM",'Working Sheet'!G25,"")</f>
        <v>0</v>
      </c>
      <c r="I17" s="27">
        <f>IF('Working Sheet'!B25="ITEM",'Working Sheet'!H25,"")</f>
        <v>0.22520000000000001</v>
      </c>
      <c r="J17">
        <f>IF('Working Sheet'!B25="ITEM",'Working Sheet'!I25,"")</f>
        <v>49.9726</v>
      </c>
      <c r="K17">
        <f>IF('Working Sheet'!B25="ITEM",'Working Sheet'!J25,"")</f>
        <v>0</v>
      </c>
      <c r="L17">
        <f>IF('Working Sheet'!B25="ITEM",'Working Sheet'!K25,"")</f>
        <v>6.9500999999999999</v>
      </c>
      <c r="M17" s="33">
        <f>IFERROR(Table2[[#This Row],[Value(1000$) 2022]]/Table2[[#This Row],[Volume(1000) 2022]],0)</f>
        <v>3.7898768525151783E-2</v>
      </c>
      <c r="N17" s="33">
        <f>IFERROR(Table2[[#This Row],[Value(1000$) 2023]]/Table2[[#This Row],[Volume(1000) 2023]],0)</f>
        <v>0</v>
      </c>
      <c r="O17" s="33">
        <f>IFERROR(Table2[[#This Row],[Value(1000$) 2024]]/Table2[[#This Row],[Volume(1000) 2024]],0)</f>
        <v>3.2402411476093872E-2</v>
      </c>
      <c r="P17" s="33">
        <f>SUM(Table2[[#This Row],[Value(1000$) 2022]:[Value(1000$) 2024]])</f>
        <v>2.1191</v>
      </c>
      <c r="Q17" s="33">
        <f>SUM(Table2[[#This Row],[Volume(1000) 2022]:[Volume(1000) 2024]])</f>
        <v>56.922699999999999</v>
      </c>
      <c r="R17" s="33">
        <f>AVERAGE(Table2[[#This Row],[Average Price(2022)]:[Average Price(2024)]])</f>
        <v>2.3433726667081888E-2</v>
      </c>
    </row>
    <row r="18" spans="1:18" x14ac:dyDescent="0.3">
      <c r="A18" t="s">
        <v>38</v>
      </c>
      <c r="B18" t="s">
        <v>714</v>
      </c>
      <c r="C18" t="s">
        <v>830</v>
      </c>
      <c r="D18" t="s">
        <v>9</v>
      </c>
      <c r="E18" t="s">
        <v>10</v>
      </c>
      <c r="F18" s="27" t="str">
        <f>IF('Working Sheet'!B26="ITEM",'Working Sheet'!E26,"")</f>
        <v>64</v>
      </c>
      <c r="G18" s="27">
        <f>IF('Working Sheet'!B26="ITEM",'Working Sheet'!F26,"")</f>
        <v>1.3514999999999999</v>
      </c>
      <c r="H18" s="27">
        <f>IF('Working Sheet'!B26="ITEM",'Working Sheet'!G26,"")</f>
        <v>1.6999999999999999E-3</v>
      </c>
      <c r="I18" s="27">
        <f>IF('Working Sheet'!B26="ITEM",'Working Sheet'!H26,"")</f>
        <v>0</v>
      </c>
      <c r="J18">
        <f>IF('Working Sheet'!B26="ITEM",'Working Sheet'!I26,"")</f>
        <v>37.322600000000001</v>
      </c>
      <c r="K18">
        <f>IF('Working Sheet'!B26="ITEM",'Working Sheet'!J26,"")</f>
        <v>6.4000000000000001E-2</v>
      </c>
      <c r="L18">
        <f>IF('Working Sheet'!B26="ITEM",'Working Sheet'!K26,"")</f>
        <v>0</v>
      </c>
      <c r="M18" s="33">
        <f>IFERROR(Table2[[#This Row],[Value(1000$) 2022]]/Table2[[#This Row],[Volume(1000) 2022]],0)</f>
        <v>3.6211303606929847E-2</v>
      </c>
      <c r="N18" s="33">
        <f>IFERROR(Table2[[#This Row],[Value(1000$) 2023]]/Table2[[#This Row],[Volume(1000) 2023]],0)</f>
        <v>2.6562499999999999E-2</v>
      </c>
      <c r="O18" s="33">
        <f>IFERROR(Table2[[#This Row],[Value(1000$) 2024]]/Table2[[#This Row],[Volume(1000) 2024]],0)</f>
        <v>0</v>
      </c>
      <c r="P18" s="33">
        <f>SUM(Table2[[#This Row],[Value(1000$) 2022]:[Value(1000$) 2024]])</f>
        <v>1.3532</v>
      </c>
      <c r="Q18" s="33">
        <f>SUM(Table2[[#This Row],[Volume(1000) 2022]:[Volume(1000) 2024]])</f>
        <v>37.386600000000001</v>
      </c>
      <c r="R18" s="33">
        <f>AVERAGE(Table2[[#This Row],[Average Price(2022)]:[Average Price(2024)]])</f>
        <v>2.0924601202309948E-2</v>
      </c>
    </row>
    <row r="19" spans="1:18" x14ac:dyDescent="0.3">
      <c r="A19" t="s">
        <v>39</v>
      </c>
      <c r="B19" t="s">
        <v>714</v>
      </c>
      <c r="C19" t="s">
        <v>830</v>
      </c>
      <c r="D19" t="s">
        <v>9</v>
      </c>
      <c r="E19" t="s">
        <v>20</v>
      </c>
      <c r="F19" s="27" t="str">
        <f>IF('Working Sheet'!B27="ITEM",'Working Sheet'!E27,"")</f>
        <v>64</v>
      </c>
      <c r="G19" s="27">
        <f>IF('Working Sheet'!B27="ITEM",'Working Sheet'!F27,"")</f>
        <v>5.8978000000000002</v>
      </c>
      <c r="H19" s="27">
        <f>IF('Working Sheet'!B27="ITEM",'Working Sheet'!G27,"")</f>
        <v>0.1087</v>
      </c>
      <c r="I19" s="27">
        <f>IF('Working Sheet'!B27="ITEM",'Working Sheet'!H27,"")</f>
        <v>0</v>
      </c>
      <c r="J19">
        <f>IF('Working Sheet'!B27="ITEM",'Working Sheet'!I27,"")</f>
        <v>169.58080000000001</v>
      </c>
      <c r="K19">
        <f>IF('Working Sheet'!B27="ITEM",'Working Sheet'!J27,"")</f>
        <v>3.3822999999999999</v>
      </c>
      <c r="L19">
        <f>IF('Working Sheet'!B27="ITEM",'Working Sheet'!K27,"")</f>
        <v>0</v>
      </c>
      <c r="M19" s="33">
        <f>IFERROR(Table2[[#This Row],[Value(1000$) 2022]]/Table2[[#This Row],[Volume(1000) 2022]],0)</f>
        <v>3.4778701362418389E-2</v>
      </c>
      <c r="N19" s="33">
        <f>IFERROR(Table2[[#This Row],[Value(1000$) 2023]]/Table2[[#This Row],[Volume(1000) 2023]],0)</f>
        <v>3.2137894332259116E-2</v>
      </c>
      <c r="O19" s="33">
        <f>IFERROR(Table2[[#This Row],[Value(1000$) 2024]]/Table2[[#This Row],[Volume(1000) 2024]],0)</f>
        <v>0</v>
      </c>
      <c r="P19" s="33">
        <f>SUM(Table2[[#This Row],[Value(1000$) 2022]:[Value(1000$) 2024]])</f>
        <v>6.0065</v>
      </c>
      <c r="Q19" s="33">
        <f>SUM(Table2[[#This Row],[Volume(1000) 2022]:[Volume(1000) 2024]])</f>
        <v>172.9631</v>
      </c>
      <c r="R19" s="33">
        <f>AVERAGE(Table2[[#This Row],[Average Price(2022)]:[Average Price(2024)]])</f>
        <v>2.2305531898225834E-2</v>
      </c>
    </row>
    <row r="20" spans="1:18" x14ac:dyDescent="0.3">
      <c r="A20" t="s">
        <v>40</v>
      </c>
      <c r="B20" t="s">
        <v>714</v>
      </c>
      <c r="C20" t="s">
        <v>830</v>
      </c>
      <c r="D20" t="s">
        <v>9</v>
      </c>
      <c r="E20" t="s">
        <v>30</v>
      </c>
      <c r="F20" s="27" t="str">
        <f>IF('Working Sheet'!B28="ITEM",'Working Sheet'!E28,"")</f>
        <v>64</v>
      </c>
      <c r="G20" s="27">
        <f>IF('Working Sheet'!B28="ITEM",'Working Sheet'!F28,"")</f>
        <v>0.69669999999999999</v>
      </c>
      <c r="H20" s="27">
        <f>IF('Working Sheet'!B28="ITEM",'Working Sheet'!G28,"")</f>
        <v>28.392900000000001</v>
      </c>
      <c r="I20" s="27">
        <f>IF('Working Sheet'!B28="ITEM",'Working Sheet'!H28,"")</f>
        <v>2.1978</v>
      </c>
      <c r="J20">
        <f>IF('Working Sheet'!B28="ITEM",'Working Sheet'!I28,"")</f>
        <v>25.606300000000001</v>
      </c>
      <c r="K20">
        <f>IF('Working Sheet'!B28="ITEM",'Working Sheet'!J28,"")</f>
        <v>1226.3661999999999</v>
      </c>
      <c r="L20">
        <f>IF('Working Sheet'!B28="ITEM",'Working Sheet'!K28,"")</f>
        <v>96.438800000000001</v>
      </c>
      <c r="M20" s="33">
        <f>IFERROR(Table2[[#This Row],[Value(1000$) 2022]]/Table2[[#This Row],[Volume(1000) 2022]],0)</f>
        <v>2.7208147994829394E-2</v>
      </c>
      <c r="N20" s="33">
        <f>IFERROR(Table2[[#This Row],[Value(1000$) 2023]]/Table2[[#This Row],[Volume(1000) 2023]],0)</f>
        <v>2.315205686523324E-2</v>
      </c>
      <c r="O20" s="33">
        <f>IFERROR(Table2[[#This Row],[Value(1000$) 2024]]/Table2[[#This Row],[Volume(1000) 2024]],0)</f>
        <v>2.2789582616125459E-2</v>
      </c>
      <c r="P20" s="33">
        <f>SUM(Table2[[#This Row],[Value(1000$) 2022]:[Value(1000$) 2024]])</f>
        <v>31.287400000000002</v>
      </c>
      <c r="Q20" s="33">
        <f>SUM(Table2[[#This Row],[Volume(1000) 2022]:[Volume(1000) 2024]])</f>
        <v>1348.4112999999998</v>
      </c>
      <c r="R20" s="33">
        <f>AVERAGE(Table2[[#This Row],[Average Price(2022)]:[Average Price(2024)]])</f>
        <v>2.4383262492062699E-2</v>
      </c>
    </row>
    <row r="21" spans="1:18" x14ac:dyDescent="0.3">
      <c r="A21" t="s">
        <v>41</v>
      </c>
      <c r="B21" t="s">
        <v>714</v>
      </c>
      <c r="C21" t="s">
        <v>830</v>
      </c>
      <c r="D21" t="s">
        <v>9</v>
      </c>
      <c r="E21" t="s">
        <v>10</v>
      </c>
      <c r="F21" s="27" t="str">
        <f>IF('Working Sheet'!B29="ITEM",'Working Sheet'!E29,"")</f>
        <v>72</v>
      </c>
      <c r="G21" s="27">
        <f>IF('Working Sheet'!B29="ITEM",'Working Sheet'!F29,"")</f>
        <v>117.6534</v>
      </c>
      <c r="H21" s="27">
        <f>IF('Working Sheet'!B29="ITEM",'Working Sheet'!G29,"")</f>
        <v>68.117699999999999</v>
      </c>
      <c r="I21" s="27">
        <f>IF('Working Sheet'!B29="ITEM",'Working Sheet'!H29,"")</f>
        <v>28.349900000000002</v>
      </c>
      <c r="J21">
        <f>IF('Working Sheet'!B29="ITEM",'Working Sheet'!I29,"")</f>
        <v>3055.9405999999999</v>
      </c>
      <c r="K21">
        <f>IF('Working Sheet'!B29="ITEM",'Working Sheet'!J29,"")</f>
        <v>1781.8513</v>
      </c>
      <c r="L21">
        <f>IF('Working Sheet'!B29="ITEM",'Working Sheet'!K29,"")</f>
        <v>711.07719999999995</v>
      </c>
      <c r="M21" s="33">
        <f>IFERROR(Table2[[#This Row],[Value(1000$) 2022]]/Table2[[#This Row],[Volume(1000) 2022]],0)</f>
        <v>3.8499897543820064E-2</v>
      </c>
      <c r="N21" s="33">
        <f>IFERROR(Table2[[#This Row],[Value(1000$) 2023]]/Table2[[#This Row],[Volume(1000) 2023]],0)</f>
        <v>3.8228610883523223E-2</v>
      </c>
      <c r="O21" s="33">
        <f>IFERROR(Table2[[#This Row],[Value(1000$) 2024]]/Table2[[#This Row],[Volume(1000) 2024]],0)</f>
        <v>3.9868948125463738E-2</v>
      </c>
      <c r="P21" s="33">
        <f>SUM(Table2[[#This Row],[Value(1000$) 2022]:[Value(1000$) 2024]])</f>
        <v>214.12099999999998</v>
      </c>
      <c r="Q21" s="33">
        <f>SUM(Table2[[#This Row],[Volume(1000) 2022]:[Volume(1000) 2024]])</f>
        <v>5548.8690999999999</v>
      </c>
      <c r="R21" s="33">
        <f>AVERAGE(Table2[[#This Row],[Average Price(2022)]:[Average Price(2024)]])</f>
        <v>3.8865818850935673E-2</v>
      </c>
    </row>
    <row r="22" spans="1:18" x14ac:dyDescent="0.3">
      <c r="A22" t="s">
        <v>43</v>
      </c>
      <c r="B22" t="s">
        <v>714</v>
      </c>
      <c r="C22" t="s">
        <v>830</v>
      </c>
      <c r="D22" t="s">
        <v>9</v>
      </c>
      <c r="E22" t="s">
        <v>10</v>
      </c>
      <c r="F22" s="27" t="str">
        <f>IF('Working Sheet'!B30="ITEM",'Working Sheet'!E30,"")</f>
        <v>72</v>
      </c>
      <c r="G22" s="27">
        <f>IF('Working Sheet'!B30="ITEM",'Working Sheet'!F30,"")</f>
        <v>38.677799999999998</v>
      </c>
      <c r="H22" s="27">
        <f>IF('Working Sheet'!B30="ITEM",'Working Sheet'!G30,"")</f>
        <v>31.4983</v>
      </c>
      <c r="I22" s="27">
        <f>IF('Working Sheet'!B30="ITEM",'Working Sheet'!H30,"")</f>
        <v>9.7551000000000005</v>
      </c>
      <c r="J22">
        <f>IF('Working Sheet'!B30="ITEM",'Working Sheet'!I30,"")</f>
        <v>954.11220000000003</v>
      </c>
      <c r="K22">
        <f>IF('Working Sheet'!B30="ITEM",'Working Sheet'!J30,"")</f>
        <v>803.28520000000003</v>
      </c>
      <c r="L22">
        <f>IF('Working Sheet'!B30="ITEM",'Working Sheet'!K30,"")</f>
        <v>236.19829999999999</v>
      </c>
      <c r="M22" s="33">
        <f>IFERROR(Table2[[#This Row],[Value(1000$) 2022]]/Table2[[#This Row],[Volume(1000) 2022]],0)</f>
        <v>4.0537999618912739E-2</v>
      </c>
      <c r="N22" s="33">
        <f>IFERROR(Table2[[#This Row],[Value(1000$) 2023]]/Table2[[#This Row],[Volume(1000) 2023]],0)</f>
        <v>3.9211851531685132E-2</v>
      </c>
      <c r="O22" s="33">
        <f>IFERROR(Table2[[#This Row],[Value(1000$) 2024]]/Table2[[#This Row],[Volume(1000) 2024]],0)</f>
        <v>4.1300466599463251E-2</v>
      </c>
      <c r="P22" s="33">
        <f>SUM(Table2[[#This Row],[Value(1000$) 2022]:[Value(1000$) 2024]])</f>
        <v>79.93119999999999</v>
      </c>
      <c r="Q22" s="33">
        <f>SUM(Table2[[#This Row],[Volume(1000) 2022]:[Volume(1000) 2024]])</f>
        <v>1993.5957000000001</v>
      </c>
      <c r="R22" s="33">
        <f>AVERAGE(Table2[[#This Row],[Average Price(2022)]:[Average Price(2024)]])</f>
        <v>4.0350105916687043E-2</v>
      </c>
    </row>
    <row r="23" spans="1:18" x14ac:dyDescent="0.3">
      <c r="A23" t="s">
        <v>44</v>
      </c>
      <c r="B23" t="s">
        <v>714</v>
      </c>
      <c r="C23" t="s">
        <v>830</v>
      </c>
      <c r="D23" t="s">
        <v>9</v>
      </c>
      <c r="E23" t="s">
        <v>20</v>
      </c>
      <c r="F23" s="27" t="str">
        <f>IF('Working Sheet'!B31="ITEM",'Working Sheet'!E31,"")</f>
        <v>72</v>
      </c>
      <c r="G23" s="27">
        <f>IF('Working Sheet'!B31="ITEM",'Working Sheet'!F31,"")</f>
        <v>6.1199999999999997E-2</v>
      </c>
      <c r="H23" s="27">
        <f>IF('Working Sheet'!B31="ITEM",'Working Sheet'!G31,"")</f>
        <v>0</v>
      </c>
      <c r="I23" s="27">
        <f>IF('Working Sheet'!B31="ITEM",'Working Sheet'!H31,"")</f>
        <v>0</v>
      </c>
      <c r="J23">
        <f>IF('Working Sheet'!B31="ITEM",'Working Sheet'!I31,"")</f>
        <v>1.6046</v>
      </c>
      <c r="K23">
        <f>IF('Working Sheet'!B31="ITEM",'Working Sheet'!J31,"")</f>
        <v>0</v>
      </c>
      <c r="L23">
        <f>IF('Working Sheet'!B31="ITEM",'Working Sheet'!K31,"")</f>
        <v>0</v>
      </c>
      <c r="M23" s="33">
        <f>IFERROR(Table2[[#This Row],[Value(1000$) 2022]]/Table2[[#This Row],[Volume(1000) 2022]],0)</f>
        <v>3.8140346503801568E-2</v>
      </c>
      <c r="N23" s="33">
        <f>IFERROR(Table2[[#This Row],[Value(1000$) 2023]]/Table2[[#This Row],[Volume(1000) 2023]],0)</f>
        <v>0</v>
      </c>
      <c r="O23" s="33">
        <f>IFERROR(Table2[[#This Row],[Value(1000$) 2024]]/Table2[[#This Row],[Volume(1000) 2024]],0)</f>
        <v>0</v>
      </c>
      <c r="P23" s="33">
        <f>SUM(Table2[[#This Row],[Value(1000$) 2022]:[Value(1000$) 2024]])</f>
        <v>6.1199999999999997E-2</v>
      </c>
      <c r="Q23" s="33">
        <f>SUM(Table2[[#This Row],[Volume(1000) 2022]:[Volume(1000) 2024]])</f>
        <v>1.6046</v>
      </c>
      <c r="R23" s="33">
        <f>AVERAGE(Table2[[#This Row],[Average Price(2022)]:[Average Price(2024)]])</f>
        <v>1.2713448834600523E-2</v>
      </c>
    </row>
    <row r="24" spans="1:18" x14ac:dyDescent="0.3">
      <c r="A24" t="s">
        <v>45</v>
      </c>
      <c r="B24" t="s">
        <v>714</v>
      </c>
      <c r="C24" t="s">
        <v>830</v>
      </c>
      <c r="D24" t="s">
        <v>9</v>
      </c>
      <c r="E24" t="s">
        <v>20</v>
      </c>
      <c r="F24" s="27" t="str">
        <f>IF('Working Sheet'!B32="ITEM",'Working Sheet'!E32,"")</f>
        <v>72</v>
      </c>
      <c r="G24" s="27">
        <f>IF('Working Sheet'!B32="ITEM",'Working Sheet'!F32,"")</f>
        <v>36.521799999999999</v>
      </c>
      <c r="H24" s="27">
        <f>IF('Working Sheet'!B32="ITEM",'Working Sheet'!G32,"")</f>
        <v>5.1192000000000002</v>
      </c>
      <c r="I24" s="27">
        <f>IF('Working Sheet'!B32="ITEM",'Working Sheet'!H32,"")</f>
        <v>1.1213</v>
      </c>
      <c r="J24">
        <f>IF('Working Sheet'!B32="ITEM",'Working Sheet'!I32,"")</f>
        <v>1199.5277000000001</v>
      </c>
      <c r="K24">
        <f>IF('Working Sheet'!B32="ITEM",'Working Sheet'!J32,"")</f>
        <v>135.36869999999999</v>
      </c>
      <c r="L24">
        <f>IF('Working Sheet'!B32="ITEM",'Working Sheet'!K32,"")</f>
        <v>30.554400000000001</v>
      </c>
      <c r="M24" s="33">
        <f>IFERROR(Table2[[#This Row],[Value(1000$) 2022]]/Table2[[#This Row],[Volume(1000) 2022]],0)</f>
        <v>3.0446816692936723E-2</v>
      </c>
      <c r="N24" s="33">
        <f>IFERROR(Table2[[#This Row],[Value(1000$) 2023]]/Table2[[#This Row],[Volume(1000) 2023]],0)</f>
        <v>3.7816718340354903E-2</v>
      </c>
      <c r="O24" s="33">
        <f>IFERROR(Table2[[#This Row],[Value(1000$) 2024]]/Table2[[#This Row],[Volume(1000) 2024]],0)</f>
        <v>3.6698478778833817E-2</v>
      </c>
      <c r="P24" s="33">
        <f>SUM(Table2[[#This Row],[Value(1000$) 2022]:[Value(1000$) 2024]])</f>
        <v>42.762299999999996</v>
      </c>
      <c r="Q24" s="33">
        <f>SUM(Table2[[#This Row],[Volume(1000) 2022]:[Volume(1000) 2024]])</f>
        <v>1365.4508000000001</v>
      </c>
      <c r="R24" s="33">
        <f>AVERAGE(Table2[[#This Row],[Average Price(2022)]:[Average Price(2024)]])</f>
        <v>3.498733793737515E-2</v>
      </c>
    </row>
    <row r="25" spans="1:18" x14ac:dyDescent="0.3">
      <c r="A25" t="s">
        <v>46</v>
      </c>
      <c r="B25" t="s">
        <v>714</v>
      </c>
      <c r="C25" t="s">
        <v>830</v>
      </c>
      <c r="D25" t="s">
        <v>9</v>
      </c>
      <c r="E25" t="s">
        <v>20</v>
      </c>
      <c r="F25" s="27" t="str">
        <f>IF('Working Sheet'!B33="ITEM",'Working Sheet'!E33,"")</f>
        <v>72</v>
      </c>
      <c r="G25" s="27">
        <f>IF('Working Sheet'!B33="ITEM",'Working Sheet'!F33,"")</f>
        <v>21.958300000000001</v>
      </c>
      <c r="H25" s="27">
        <f>IF('Working Sheet'!B33="ITEM",'Working Sheet'!G33,"")</f>
        <v>39.467100000000002</v>
      </c>
      <c r="I25" s="27">
        <f>IF('Working Sheet'!B33="ITEM",'Working Sheet'!H33,"")</f>
        <v>10.7844</v>
      </c>
      <c r="J25">
        <f>IF('Working Sheet'!B33="ITEM",'Working Sheet'!I33,"")</f>
        <v>726.31399999999996</v>
      </c>
      <c r="K25">
        <f>IF('Working Sheet'!B33="ITEM",'Working Sheet'!J33,"")</f>
        <v>1508.4713999999999</v>
      </c>
      <c r="L25">
        <f>IF('Working Sheet'!B33="ITEM",'Working Sheet'!K33,"")</f>
        <v>314.52640000000002</v>
      </c>
      <c r="M25" s="33">
        <f>IFERROR(Table2[[#This Row],[Value(1000$) 2022]]/Table2[[#This Row],[Volume(1000) 2022]],0)</f>
        <v>3.0232516514895766E-2</v>
      </c>
      <c r="N25" s="33">
        <f>IFERROR(Table2[[#This Row],[Value(1000$) 2023]]/Table2[[#This Row],[Volume(1000) 2023]],0)</f>
        <v>2.6163638236694448E-2</v>
      </c>
      <c r="O25" s="33">
        <f>IFERROR(Table2[[#This Row],[Value(1000$) 2024]]/Table2[[#This Row],[Volume(1000) 2024]],0)</f>
        <v>3.4287741823897766E-2</v>
      </c>
      <c r="P25" s="33">
        <f>SUM(Table2[[#This Row],[Value(1000$) 2022]:[Value(1000$) 2024]])</f>
        <v>72.209800000000001</v>
      </c>
      <c r="Q25" s="33">
        <f>SUM(Table2[[#This Row],[Volume(1000) 2022]:[Volume(1000) 2024]])</f>
        <v>2549.3117999999999</v>
      </c>
      <c r="R25" s="33">
        <f>AVERAGE(Table2[[#This Row],[Average Price(2022)]:[Average Price(2024)]])</f>
        <v>3.0227965525162659E-2</v>
      </c>
    </row>
    <row r="26" spans="1:18" x14ac:dyDescent="0.3">
      <c r="A26" t="s">
        <v>47</v>
      </c>
      <c r="B26" t="s">
        <v>714</v>
      </c>
      <c r="C26" t="s">
        <v>830</v>
      </c>
      <c r="D26" t="s">
        <v>9</v>
      </c>
      <c r="E26" t="s">
        <v>20</v>
      </c>
      <c r="F26" s="27" t="str">
        <f>IF('Working Sheet'!B34="ITEM",'Working Sheet'!E34,"")</f>
        <v>72</v>
      </c>
      <c r="G26" s="27">
        <f>IF('Working Sheet'!B34="ITEM",'Working Sheet'!F34,"")</f>
        <v>27.983599999999999</v>
      </c>
      <c r="H26" s="27">
        <f>IF('Working Sheet'!B34="ITEM",'Working Sheet'!G34,"")</f>
        <v>162.41050000000001</v>
      </c>
      <c r="I26" s="27">
        <f>IF('Working Sheet'!B34="ITEM",'Working Sheet'!H34,"")</f>
        <v>103.16800000000001</v>
      </c>
      <c r="J26">
        <f>IF('Working Sheet'!B34="ITEM",'Working Sheet'!I34,"")</f>
        <v>928.81529999999998</v>
      </c>
      <c r="K26">
        <f>IF('Working Sheet'!B34="ITEM",'Working Sheet'!J34,"")</f>
        <v>5484.9444999999996</v>
      </c>
      <c r="L26">
        <f>IF('Working Sheet'!B34="ITEM",'Working Sheet'!K34,"")</f>
        <v>3446.0194999999999</v>
      </c>
      <c r="M26" s="33">
        <f>IFERROR(Table2[[#This Row],[Value(1000$) 2022]]/Table2[[#This Row],[Volume(1000) 2022]],0)</f>
        <v>3.0128272004132577E-2</v>
      </c>
      <c r="N26" s="33">
        <f>IFERROR(Table2[[#This Row],[Value(1000$) 2023]]/Table2[[#This Row],[Volume(1000) 2023]],0)</f>
        <v>2.9610235800927434E-2</v>
      </c>
      <c r="O26" s="33">
        <f>IFERROR(Table2[[#This Row],[Value(1000$) 2024]]/Table2[[#This Row],[Volume(1000) 2024]],0)</f>
        <v>2.9938309983446119E-2</v>
      </c>
      <c r="P26" s="33">
        <f>SUM(Table2[[#This Row],[Value(1000$) 2022]:[Value(1000$) 2024]])</f>
        <v>293.56209999999999</v>
      </c>
      <c r="Q26" s="33">
        <f>SUM(Table2[[#This Row],[Volume(1000) 2022]:[Volume(1000) 2024]])</f>
        <v>9859.7793000000001</v>
      </c>
      <c r="R26" s="33">
        <f>AVERAGE(Table2[[#This Row],[Average Price(2022)]:[Average Price(2024)]])</f>
        <v>2.9892272596168713E-2</v>
      </c>
    </row>
    <row r="27" spans="1:18" x14ac:dyDescent="0.3">
      <c r="A27" t="s">
        <v>48</v>
      </c>
      <c r="B27" t="s">
        <v>714</v>
      </c>
      <c r="C27" t="s">
        <v>830</v>
      </c>
      <c r="D27" t="s">
        <v>9</v>
      </c>
      <c r="E27" t="s">
        <v>10</v>
      </c>
      <c r="F27" s="27" t="str">
        <f>IF('Working Sheet'!B35="ITEM",'Working Sheet'!E35,"")</f>
        <v>72</v>
      </c>
      <c r="G27" s="27">
        <f>IF('Working Sheet'!B35="ITEM",'Working Sheet'!F35,"")</f>
        <v>221.17019999999999</v>
      </c>
      <c r="H27" s="27">
        <f>IF('Working Sheet'!B35="ITEM",'Working Sheet'!G35,"")</f>
        <v>159.9896</v>
      </c>
      <c r="I27" s="27">
        <f>IF('Working Sheet'!B35="ITEM",'Working Sheet'!H35,"")</f>
        <v>77.865600000000001</v>
      </c>
      <c r="J27">
        <f>IF('Working Sheet'!B35="ITEM",'Working Sheet'!I35,"")</f>
        <v>6715.8593000000001</v>
      </c>
      <c r="K27">
        <f>IF('Working Sheet'!B35="ITEM",'Working Sheet'!J35,"")</f>
        <v>4333.2687999999998</v>
      </c>
      <c r="L27">
        <f>IF('Working Sheet'!B35="ITEM",'Working Sheet'!K35,"")</f>
        <v>2035.5381</v>
      </c>
      <c r="M27" s="33">
        <f>IFERROR(Table2[[#This Row],[Value(1000$) 2022]]/Table2[[#This Row],[Volume(1000) 2022]],0)</f>
        <v>3.2932524360657765E-2</v>
      </c>
      <c r="N27" s="33">
        <f>IFERROR(Table2[[#This Row],[Value(1000$) 2023]]/Table2[[#This Row],[Volume(1000) 2023]],0)</f>
        <v>3.6921226765346288E-2</v>
      </c>
      <c r="O27" s="33">
        <f>IFERROR(Table2[[#This Row],[Value(1000$) 2024]]/Table2[[#This Row],[Volume(1000) 2024]],0)</f>
        <v>3.8253079124384852E-2</v>
      </c>
      <c r="P27" s="33">
        <f>SUM(Table2[[#This Row],[Value(1000$) 2022]:[Value(1000$) 2024]])</f>
        <v>459.02539999999999</v>
      </c>
      <c r="Q27" s="33">
        <f>SUM(Table2[[#This Row],[Volume(1000) 2022]:[Volume(1000) 2024]])</f>
        <v>13084.6662</v>
      </c>
      <c r="R27" s="33">
        <f>AVERAGE(Table2[[#This Row],[Average Price(2022)]:[Average Price(2024)]])</f>
        <v>3.6035610083462975E-2</v>
      </c>
    </row>
    <row r="28" spans="1:18" x14ac:dyDescent="0.3">
      <c r="A28" t="s">
        <v>49</v>
      </c>
      <c r="B28" t="s">
        <v>714</v>
      </c>
      <c r="C28" t="s">
        <v>830</v>
      </c>
      <c r="D28" t="s">
        <v>9</v>
      </c>
      <c r="E28" t="s">
        <v>20</v>
      </c>
      <c r="F28" s="27" t="str">
        <f>IF('Working Sheet'!B36="ITEM",'Working Sheet'!E36,"")</f>
        <v>72</v>
      </c>
      <c r="G28" s="27">
        <f>IF('Working Sheet'!B36="ITEM",'Working Sheet'!F36,"")</f>
        <v>6.4486999999999997</v>
      </c>
      <c r="H28" s="27">
        <f>IF('Working Sheet'!B36="ITEM",'Working Sheet'!G36,"")</f>
        <v>1.6863999999999999</v>
      </c>
      <c r="I28" s="27">
        <f>IF('Working Sheet'!B36="ITEM",'Working Sheet'!H36,"")</f>
        <v>0</v>
      </c>
      <c r="J28">
        <f>IF('Working Sheet'!B36="ITEM",'Working Sheet'!I36,"")</f>
        <v>194.65190000000001</v>
      </c>
      <c r="K28">
        <f>IF('Working Sheet'!B36="ITEM",'Working Sheet'!J36,"")</f>
        <v>50.700299999999999</v>
      </c>
      <c r="L28">
        <f>IF('Working Sheet'!B36="ITEM",'Working Sheet'!K36,"")</f>
        <v>0</v>
      </c>
      <c r="M28" s="33">
        <f>IFERROR(Table2[[#This Row],[Value(1000$) 2022]]/Table2[[#This Row],[Volume(1000) 2022]],0)</f>
        <v>3.312939663060057E-2</v>
      </c>
      <c r="N28" s="33">
        <f>IFERROR(Table2[[#This Row],[Value(1000$) 2023]]/Table2[[#This Row],[Volume(1000) 2023]],0)</f>
        <v>3.3262130598832748E-2</v>
      </c>
      <c r="O28" s="33">
        <f>IFERROR(Table2[[#This Row],[Value(1000$) 2024]]/Table2[[#This Row],[Volume(1000) 2024]],0)</f>
        <v>0</v>
      </c>
      <c r="P28" s="33">
        <f>SUM(Table2[[#This Row],[Value(1000$) 2022]:[Value(1000$) 2024]])</f>
        <v>8.1350999999999996</v>
      </c>
      <c r="Q28" s="33">
        <f>SUM(Table2[[#This Row],[Volume(1000) 2022]:[Volume(1000) 2024]])</f>
        <v>245.35220000000001</v>
      </c>
      <c r="R28" s="33">
        <f>AVERAGE(Table2[[#This Row],[Average Price(2022)]:[Average Price(2024)]])</f>
        <v>2.2130509076477772E-2</v>
      </c>
    </row>
    <row r="29" spans="1:18" x14ac:dyDescent="0.3">
      <c r="A29" t="s">
        <v>50</v>
      </c>
      <c r="B29" t="s">
        <v>714</v>
      </c>
      <c r="C29" t="s">
        <v>830</v>
      </c>
      <c r="D29" t="s">
        <v>9</v>
      </c>
      <c r="E29" t="s">
        <v>20</v>
      </c>
      <c r="F29" s="27" t="str">
        <f>IF('Working Sheet'!B37="ITEM",'Working Sheet'!E37,"")</f>
        <v>72</v>
      </c>
      <c r="G29" s="27">
        <f>IF('Working Sheet'!B37="ITEM",'Working Sheet'!F37,"")</f>
        <v>0</v>
      </c>
      <c r="H29" s="27">
        <f>IF('Working Sheet'!B37="ITEM",'Working Sheet'!G37,"")</f>
        <v>0</v>
      </c>
      <c r="I29" s="27">
        <f>IF('Working Sheet'!B37="ITEM",'Working Sheet'!H37,"")</f>
        <v>0</v>
      </c>
      <c r="J29">
        <f>IF('Working Sheet'!B37="ITEM",'Working Sheet'!I37,"")</f>
        <v>0</v>
      </c>
      <c r="K29">
        <f>IF('Working Sheet'!B37="ITEM",'Working Sheet'!J37,"")</f>
        <v>0</v>
      </c>
      <c r="L29">
        <f>IF('Working Sheet'!B37="ITEM",'Working Sheet'!K37,"")</f>
        <v>0</v>
      </c>
      <c r="M29" s="33">
        <f>IFERROR(Table2[[#This Row],[Value(1000$) 2022]]/Table2[[#This Row],[Volume(1000) 2022]],0)</f>
        <v>0</v>
      </c>
      <c r="N29" s="33">
        <f>IFERROR(Table2[[#This Row],[Value(1000$) 2023]]/Table2[[#This Row],[Volume(1000) 2023]],0)</f>
        <v>0</v>
      </c>
      <c r="O29" s="33">
        <f>IFERROR(Table2[[#This Row],[Value(1000$) 2024]]/Table2[[#This Row],[Volume(1000) 2024]],0)</f>
        <v>0</v>
      </c>
      <c r="P29" s="33">
        <f>SUM(Table2[[#This Row],[Value(1000$) 2022]:[Value(1000$) 2024]])</f>
        <v>0</v>
      </c>
      <c r="Q29" s="33">
        <f>SUM(Table2[[#This Row],[Volume(1000) 2022]:[Volume(1000) 2024]])</f>
        <v>0</v>
      </c>
      <c r="R29" s="33">
        <f>AVERAGE(Table2[[#This Row],[Average Price(2022)]:[Average Price(2024)]])</f>
        <v>0</v>
      </c>
    </row>
    <row r="30" spans="1:18" x14ac:dyDescent="0.3">
      <c r="A30" t="s">
        <v>51</v>
      </c>
      <c r="B30" t="s">
        <v>714</v>
      </c>
      <c r="C30" t="s">
        <v>830</v>
      </c>
      <c r="D30" t="s">
        <v>9</v>
      </c>
      <c r="E30" t="s">
        <v>20</v>
      </c>
      <c r="F30" s="27" t="str">
        <f>IF('Working Sheet'!B38="ITEM",'Working Sheet'!E38,"")</f>
        <v>72</v>
      </c>
      <c r="G30" s="27">
        <f>IF('Working Sheet'!B38="ITEM",'Working Sheet'!F38,"")</f>
        <v>1663.8369</v>
      </c>
      <c r="H30" s="27">
        <f>IF('Working Sheet'!B38="ITEM",'Working Sheet'!G38,"")</f>
        <v>1815.6596999999999</v>
      </c>
      <c r="I30" s="27">
        <f>IF('Working Sheet'!B38="ITEM",'Working Sheet'!H38,"")</f>
        <v>1049.2485999999999</v>
      </c>
      <c r="J30">
        <f>IF('Working Sheet'!B38="ITEM",'Working Sheet'!I38,"")</f>
        <v>62012.672500000001</v>
      </c>
      <c r="K30">
        <f>IF('Working Sheet'!B38="ITEM",'Working Sheet'!J38,"")</f>
        <v>68679.966</v>
      </c>
      <c r="L30">
        <f>IF('Working Sheet'!B38="ITEM",'Working Sheet'!K38,"")</f>
        <v>37856.881999999998</v>
      </c>
      <c r="M30" s="33">
        <f>IFERROR(Table2[[#This Row],[Value(1000$) 2022]]/Table2[[#This Row],[Volume(1000) 2022]],0)</f>
        <v>2.683059498846788E-2</v>
      </c>
      <c r="N30" s="33">
        <f>IFERROR(Table2[[#This Row],[Value(1000$) 2023]]/Table2[[#This Row],[Volume(1000) 2023]],0)</f>
        <v>2.6436525900435069E-2</v>
      </c>
      <c r="O30" s="33">
        <f>IFERROR(Table2[[#This Row],[Value(1000$) 2024]]/Table2[[#This Row],[Volume(1000) 2024]],0)</f>
        <v>2.7716191734966443E-2</v>
      </c>
      <c r="P30" s="33">
        <f>SUM(Table2[[#This Row],[Value(1000$) 2022]:[Value(1000$) 2024]])</f>
        <v>4528.7451999999994</v>
      </c>
      <c r="Q30" s="33">
        <f>SUM(Table2[[#This Row],[Volume(1000) 2022]:[Volume(1000) 2024]])</f>
        <v>168549.52049999998</v>
      </c>
      <c r="R30" s="33">
        <f>AVERAGE(Table2[[#This Row],[Average Price(2022)]:[Average Price(2024)]])</f>
        <v>2.6994437541289801E-2</v>
      </c>
    </row>
    <row r="31" spans="1:18" x14ac:dyDescent="0.3">
      <c r="A31" t="s">
        <v>52</v>
      </c>
      <c r="B31" t="s">
        <v>714</v>
      </c>
      <c r="C31" t="s">
        <v>830</v>
      </c>
      <c r="D31" t="s">
        <v>9</v>
      </c>
      <c r="E31" t="s">
        <v>10</v>
      </c>
      <c r="F31" s="27" t="str">
        <f>IF('Working Sheet'!B39="ITEM",'Working Sheet'!E39,"")</f>
        <v>80</v>
      </c>
      <c r="G31" s="27">
        <f>IF('Working Sheet'!B39="ITEM",'Working Sheet'!F39,"")</f>
        <v>1.7698</v>
      </c>
      <c r="H31" s="27">
        <f>IF('Working Sheet'!B39="ITEM",'Working Sheet'!G39,"")</f>
        <v>0.36170000000000002</v>
      </c>
      <c r="I31" s="27">
        <f>IF('Working Sheet'!B39="ITEM",'Working Sheet'!H39,"")</f>
        <v>0.20810000000000001</v>
      </c>
      <c r="J31">
        <f>IF('Working Sheet'!B39="ITEM",'Working Sheet'!I39,"")</f>
        <v>50.220500000000001</v>
      </c>
      <c r="K31">
        <f>IF('Working Sheet'!B39="ITEM",'Working Sheet'!J39,"")</f>
        <v>12.068099999999999</v>
      </c>
      <c r="L31">
        <f>IF('Working Sheet'!B39="ITEM",'Working Sheet'!K39,"")</f>
        <v>5.4642999999999997</v>
      </c>
      <c r="M31" s="33">
        <f>IFERROR(Table2[[#This Row],[Value(1000$) 2022]]/Table2[[#This Row],[Volume(1000) 2022]],0)</f>
        <v>3.5240589002498976E-2</v>
      </c>
      <c r="N31" s="33">
        <f>IFERROR(Table2[[#This Row],[Value(1000$) 2023]]/Table2[[#This Row],[Volume(1000) 2023]],0)</f>
        <v>2.9971577961733831E-2</v>
      </c>
      <c r="O31" s="33">
        <f>IFERROR(Table2[[#This Row],[Value(1000$) 2024]]/Table2[[#This Row],[Volume(1000) 2024]],0)</f>
        <v>3.8083560565854734E-2</v>
      </c>
      <c r="P31" s="33">
        <f>SUM(Table2[[#This Row],[Value(1000$) 2022]:[Value(1000$) 2024]])</f>
        <v>2.3395999999999999</v>
      </c>
      <c r="Q31" s="33">
        <f>SUM(Table2[[#This Row],[Volume(1000) 2022]:[Volume(1000) 2024]])</f>
        <v>67.752899999999997</v>
      </c>
      <c r="R31" s="33">
        <f>AVERAGE(Table2[[#This Row],[Average Price(2022)]:[Average Price(2024)]])</f>
        <v>3.4431909176695842E-2</v>
      </c>
    </row>
    <row r="32" spans="1:18" x14ac:dyDescent="0.3">
      <c r="A32" t="s">
        <v>53</v>
      </c>
      <c r="B32" t="s">
        <v>714</v>
      </c>
      <c r="C32" t="s">
        <v>830</v>
      </c>
      <c r="D32" t="s">
        <v>9</v>
      </c>
      <c r="E32" t="s">
        <v>10</v>
      </c>
      <c r="F32" s="27" t="str">
        <f>IF('Working Sheet'!B40="ITEM",'Working Sheet'!E40,"")</f>
        <v>80</v>
      </c>
      <c r="G32" s="27">
        <f>IF('Working Sheet'!B40="ITEM",'Working Sheet'!F40,"")</f>
        <v>61.981900000000003</v>
      </c>
      <c r="H32" s="27">
        <f>IF('Working Sheet'!B40="ITEM",'Working Sheet'!G40,"")</f>
        <v>56.970199999999998</v>
      </c>
      <c r="I32" s="27">
        <f>IF('Working Sheet'!B40="ITEM",'Working Sheet'!H40,"")</f>
        <v>23.8948</v>
      </c>
      <c r="J32">
        <f>IF('Working Sheet'!B40="ITEM",'Working Sheet'!I40,"")</f>
        <v>1524.2099000000001</v>
      </c>
      <c r="K32">
        <f>IF('Working Sheet'!B40="ITEM",'Working Sheet'!J40,"")</f>
        <v>1404.4858999999999</v>
      </c>
      <c r="L32">
        <f>IF('Working Sheet'!B40="ITEM",'Working Sheet'!K40,"")</f>
        <v>554.68420000000003</v>
      </c>
      <c r="M32" s="33">
        <f>IFERROR(Table2[[#This Row],[Value(1000$) 2022]]/Table2[[#This Row],[Volume(1000) 2022]],0)</f>
        <v>4.0664937289805032E-2</v>
      </c>
      <c r="N32" s="33">
        <f>IFERROR(Table2[[#This Row],[Value(1000$) 2023]]/Table2[[#This Row],[Volume(1000) 2023]],0)</f>
        <v>4.0563027368234882E-2</v>
      </c>
      <c r="O32" s="33">
        <f>IFERROR(Table2[[#This Row],[Value(1000$) 2024]]/Table2[[#This Row],[Volume(1000) 2024]],0)</f>
        <v>4.3078205580761086E-2</v>
      </c>
      <c r="P32" s="33">
        <f>SUM(Table2[[#This Row],[Value(1000$) 2022]:[Value(1000$) 2024]])</f>
        <v>142.84690000000001</v>
      </c>
      <c r="Q32" s="33">
        <f>SUM(Table2[[#This Row],[Volume(1000) 2022]:[Volume(1000) 2024]])</f>
        <v>3483.38</v>
      </c>
      <c r="R32" s="33">
        <f>AVERAGE(Table2[[#This Row],[Average Price(2022)]:[Average Price(2024)]])</f>
        <v>4.1435390079600336E-2</v>
      </c>
    </row>
    <row r="33" spans="1:18" x14ac:dyDescent="0.3">
      <c r="A33" t="s">
        <v>54</v>
      </c>
      <c r="B33" t="s">
        <v>715</v>
      </c>
      <c r="C33" t="s">
        <v>831</v>
      </c>
      <c r="D33" t="s">
        <v>9</v>
      </c>
      <c r="E33" t="s">
        <v>20</v>
      </c>
      <c r="F33" s="27" t="str">
        <f>IF('Working Sheet'!B43="ITEM",'Working Sheet'!E43,"")</f>
        <v>120</v>
      </c>
      <c r="G33" s="27">
        <f>IF('Working Sheet'!B43="ITEM",'Working Sheet'!F43,"")</f>
        <v>78.227999999999994</v>
      </c>
      <c r="H33" s="27">
        <f>IF('Working Sheet'!B43="ITEM",'Working Sheet'!G43,"")</f>
        <v>99.030500000000004</v>
      </c>
      <c r="I33" s="27">
        <f>IF('Working Sheet'!B43="ITEM",'Working Sheet'!H43,"")</f>
        <v>56.674100000000003</v>
      </c>
      <c r="J33">
        <f>IF('Working Sheet'!B43="ITEM",'Working Sheet'!I43,"")</f>
        <v>4816.5708000000004</v>
      </c>
      <c r="K33">
        <f>IF('Working Sheet'!B43="ITEM",'Working Sheet'!J43,"")</f>
        <v>5822.6243999999997</v>
      </c>
      <c r="L33">
        <f>IF('Working Sheet'!B43="ITEM",'Working Sheet'!K43,"")</f>
        <v>2923.4182999999998</v>
      </c>
      <c r="M33" s="33">
        <f>IFERROR(Table2[[#This Row],[Value(1000$) 2022]]/Table2[[#This Row],[Volume(1000) 2022]],0)</f>
        <v>1.6241430521482209E-2</v>
      </c>
      <c r="N33" s="33">
        <f>IFERROR(Table2[[#This Row],[Value(1000$) 2023]]/Table2[[#This Row],[Volume(1000) 2023]],0)</f>
        <v>1.7007880501445364E-2</v>
      </c>
      <c r="O33" s="33">
        <f>IFERROR(Table2[[#This Row],[Value(1000$) 2024]]/Table2[[#This Row],[Volume(1000) 2024]],0)</f>
        <v>1.9386243836538891E-2</v>
      </c>
      <c r="P33" s="33">
        <f>SUM(Table2[[#This Row],[Value(1000$) 2022]:[Value(1000$) 2024]])</f>
        <v>233.93260000000001</v>
      </c>
      <c r="Q33" s="33">
        <f>SUM(Table2[[#This Row],[Volume(1000) 2022]:[Volume(1000) 2024]])</f>
        <v>13562.613499999999</v>
      </c>
      <c r="R33" s="33">
        <f>AVERAGE(Table2[[#This Row],[Average Price(2022)]:[Average Price(2024)]])</f>
        <v>1.7545184953155487E-2</v>
      </c>
    </row>
    <row r="34" spans="1:18" x14ac:dyDescent="0.3">
      <c r="A34" t="s">
        <v>55</v>
      </c>
      <c r="B34" t="s">
        <v>715</v>
      </c>
      <c r="C34" t="s">
        <v>831</v>
      </c>
      <c r="D34" t="s">
        <v>9</v>
      </c>
      <c r="E34" t="s">
        <v>10</v>
      </c>
      <c r="F34" s="27" t="str">
        <f>IF('Working Sheet'!B44="ITEM",'Working Sheet'!E44,"")</f>
        <v>64</v>
      </c>
      <c r="G34" s="27">
        <f>IF('Working Sheet'!B44="ITEM",'Working Sheet'!F44,"")</f>
        <v>11.11</v>
      </c>
      <c r="H34" s="27">
        <f>IF('Working Sheet'!B44="ITEM",'Working Sheet'!G44,"")</f>
        <v>8.9543999999999997</v>
      </c>
      <c r="I34" s="27">
        <f>IF('Working Sheet'!B44="ITEM",'Working Sheet'!H44,"")</f>
        <v>2.2328999999999999</v>
      </c>
      <c r="J34">
        <f>IF('Working Sheet'!B44="ITEM",'Working Sheet'!I44,"")</f>
        <v>523.16819999999996</v>
      </c>
      <c r="K34">
        <f>IF('Working Sheet'!B44="ITEM",'Working Sheet'!J44,"")</f>
        <v>387.32229999999998</v>
      </c>
      <c r="L34">
        <f>IF('Working Sheet'!B44="ITEM",'Working Sheet'!K44,"")</f>
        <v>84.428399999999996</v>
      </c>
      <c r="M34" s="33">
        <f>IFERROR(Table2[[#This Row],[Value(1000$) 2022]]/Table2[[#This Row],[Volume(1000) 2022]],0)</f>
        <v>2.1236000200317986E-2</v>
      </c>
      <c r="N34" s="33">
        <f>IFERROR(Table2[[#This Row],[Value(1000$) 2023]]/Table2[[#This Row],[Volume(1000) 2023]],0)</f>
        <v>2.3118730834759578E-2</v>
      </c>
      <c r="O34" s="33">
        <f>IFERROR(Table2[[#This Row],[Value(1000$) 2024]]/Table2[[#This Row],[Volume(1000) 2024]],0)</f>
        <v>2.6447261821851413E-2</v>
      </c>
      <c r="P34" s="33">
        <f>SUM(Table2[[#This Row],[Value(1000$) 2022]:[Value(1000$) 2024]])</f>
        <v>22.2973</v>
      </c>
      <c r="Q34" s="33">
        <f>SUM(Table2[[#This Row],[Volume(1000) 2022]:[Volume(1000) 2024]])</f>
        <v>994.91889999999989</v>
      </c>
      <c r="R34" s="33">
        <f>AVERAGE(Table2[[#This Row],[Average Price(2022)]:[Average Price(2024)]])</f>
        <v>2.3600664285642992E-2</v>
      </c>
    </row>
    <row r="35" spans="1:18" x14ac:dyDescent="0.3">
      <c r="A35" t="s">
        <v>56</v>
      </c>
      <c r="B35" t="s">
        <v>715</v>
      </c>
      <c r="C35" t="s">
        <v>831</v>
      </c>
      <c r="D35" t="s">
        <v>9</v>
      </c>
      <c r="E35" t="s">
        <v>10</v>
      </c>
      <c r="F35" s="27" t="str">
        <f>IF('Working Sheet'!B45="ITEM",'Working Sheet'!E45,"")</f>
        <v>64</v>
      </c>
      <c r="G35" s="27">
        <f>IF('Working Sheet'!B45="ITEM",'Working Sheet'!F45,"")</f>
        <v>79.953000000000003</v>
      </c>
      <c r="H35" s="27">
        <f>IF('Working Sheet'!B45="ITEM",'Working Sheet'!G45,"")</f>
        <v>73.757099999999994</v>
      </c>
      <c r="I35" s="27">
        <f>IF('Working Sheet'!B45="ITEM",'Working Sheet'!H45,"")</f>
        <v>40.362299999999998</v>
      </c>
      <c r="J35">
        <f>IF('Working Sheet'!B45="ITEM",'Working Sheet'!I45,"")</f>
        <v>3388.3481999999999</v>
      </c>
      <c r="K35">
        <f>IF('Working Sheet'!B45="ITEM",'Working Sheet'!J45,"")</f>
        <v>2840.8843000000002</v>
      </c>
      <c r="L35">
        <f>IF('Working Sheet'!B45="ITEM",'Working Sheet'!K45,"")</f>
        <v>1387.0689</v>
      </c>
      <c r="M35" s="33">
        <f>IFERROR(Table2[[#This Row],[Value(1000$) 2022]]/Table2[[#This Row],[Volume(1000) 2022]],0)</f>
        <v>2.3596453280687033E-2</v>
      </c>
      <c r="N35" s="33">
        <f>IFERROR(Table2[[#This Row],[Value(1000$) 2023]]/Table2[[#This Row],[Volume(1000) 2023]],0)</f>
        <v>2.5962725761130078E-2</v>
      </c>
      <c r="O35" s="33">
        <f>IFERROR(Table2[[#This Row],[Value(1000$) 2024]]/Table2[[#This Row],[Volume(1000) 2024]],0)</f>
        <v>2.9098987079877573E-2</v>
      </c>
      <c r="P35" s="33">
        <f>SUM(Table2[[#This Row],[Value(1000$) 2022]:[Value(1000$) 2024]])</f>
        <v>194.07240000000002</v>
      </c>
      <c r="Q35" s="33">
        <f>SUM(Table2[[#This Row],[Volume(1000) 2022]:[Volume(1000) 2024]])</f>
        <v>7616.3014000000003</v>
      </c>
      <c r="R35" s="33">
        <f>AVERAGE(Table2[[#This Row],[Average Price(2022)]:[Average Price(2024)]])</f>
        <v>2.6219388707231561E-2</v>
      </c>
    </row>
    <row r="36" spans="1:18" x14ac:dyDescent="0.3">
      <c r="A36" t="s">
        <v>57</v>
      </c>
      <c r="B36" t="s">
        <v>715</v>
      </c>
      <c r="C36" t="s">
        <v>831</v>
      </c>
      <c r="D36" t="s">
        <v>9</v>
      </c>
      <c r="E36" t="s">
        <v>10</v>
      </c>
      <c r="F36" s="27" t="str">
        <f>IF('Working Sheet'!B46="ITEM",'Working Sheet'!E46,"")</f>
        <v>64</v>
      </c>
      <c r="G36" s="27">
        <f>IF('Working Sheet'!B46="ITEM",'Working Sheet'!F46,"")</f>
        <v>12.195</v>
      </c>
      <c r="H36" s="27">
        <f>IF('Working Sheet'!B46="ITEM",'Working Sheet'!G46,"")</f>
        <v>8.5597999999999992</v>
      </c>
      <c r="I36" s="27">
        <f>IF('Working Sheet'!B46="ITEM",'Working Sheet'!H46,"")</f>
        <v>1.6516999999999999</v>
      </c>
      <c r="J36">
        <f>IF('Working Sheet'!B46="ITEM",'Working Sheet'!I46,"")</f>
        <v>553.03880000000004</v>
      </c>
      <c r="K36">
        <f>IF('Working Sheet'!B46="ITEM",'Working Sheet'!J46,"")</f>
        <v>369.83049999999997</v>
      </c>
      <c r="L36">
        <f>IF('Working Sheet'!B46="ITEM",'Working Sheet'!K46,"")</f>
        <v>64.100099999999998</v>
      </c>
      <c r="M36" s="33">
        <f>IFERROR(Table2[[#This Row],[Value(1000$) 2022]]/Table2[[#This Row],[Volume(1000) 2022]],0)</f>
        <v>2.2050894078317833E-2</v>
      </c>
      <c r="N36" s="33">
        <f>IFERROR(Table2[[#This Row],[Value(1000$) 2023]]/Table2[[#This Row],[Volume(1000) 2023]],0)</f>
        <v>2.3145197597277671E-2</v>
      </c>
      <c r="O36" s="33">
        <f>IFERROR(Table2[[#This Row],[Value(1000$) 2024]]/Table2[[#This Row],[Volume(1000) 2024]],0)</f>
        <v>2.576751050310374E-2</v>
      </c>
      <c r="P36" s="33">
        <f>SUM(Table2[[#This Row],[Value(1000$) 2022]:[Value(1000$) 2024]])</f>
        <v>22.406500000000001</v>
      </c>
      <c r="Q36" s="33">
        <f>SUM(Table2[[#This Row],[Volume(1000) 2022]:[Volume(1000) 2024]])</f>
        <v>986.96940000000006</v>
      </c>
      <c r="R36" s="33">
        <f>AVERAGE(Table2[[#This Row],[Average Price(2022)]:[Average Price(2024)]])</f>
        <v>2.3654534059566412E-2</v>
      </c>
    </row>
    <row r="37" spans="1:18" x14ac:dyDescent="0.3">
      <c r="A37" t="s">
        <v>58</v>
      </c>
      <c r="B37" t="s">
        <v>715</v>
      </c>
      <c r="C37" t="s">
        <v>831</v>
      </c>
      <c r="D37" t="s">
        <v>9</v>
      </c>
      <c r="E37" t="s">
        <v>10</v>
      </c>
      <c r="F37" s="27" t="str">
        <f>IF('Working Sheet'!B47="ITEM",'Working Sheet'!E47,"")</f>
        <v>64</v>
      </c>
      <c r="G37" s="27">
        <f>IF('Working Sheet'!B47="ITEM",'Working Sheet'!F47,"")</f>
        <v>60.510800000000003</v>
      </c>
      <c r="H37" s="27">
        <f>IF('Working Sheet'!B47="ITEM",'Working Sheet'!G47,"")</f>
        <v>52.405999999999999</v>
      </c>
      <c r="I37" s="27">
        <f>IF('Working Sheet'!B47="ITEM",'Working Sheet'!H47,"")</f>
        <v>30.122800000000002</v>
      </c>
      <c r="J37">
        <f>IF('Working Sheet'!B47="ITEM",'Working Sheet'!I47,"")</f>
        <v>2540.1291999999999</v>
      </c>
      <c r="K37">
        <f>IF('Working Sheet'!B47="ITEM",'Working Sheet'!J47,"")</f>
        <v>2011.4869000000001</v>
      </c>
      <c r="L37">
        <f>IF('Working Sheet'!B47="ITEM",'Working Sheet'!K47,"")</f>
        <v>1066.0352</v>
      </c>
      <c r="M37" s="33">
        <f>IFERROR(Table2[[#This Row],[Value(1000$) 2022]]/Table2[[#This Row],[Volume(1000) 2022]],0)</f>
        <v>2.3821937876230864E-2</v>
      </c>
      <c r="N37" s="33">
        <f>IFERROR(Table2[[#This Row],[Value(1000$) 2023]]/Table2[[#This Row],[Volume(1000) 2023]],0)</f>
        <v>2.6053363807639014E-2</v>
      </c>
      <c r="O37" s="33">
        <f>IFERROR(Table2[[#This Row],[Value(1000$) 2024]]/Table2[[#This Row],[Volume(1000) 2024]],0)</f>
        <v>2.825685305700975E-2</v>
      </c>
      <c r="P37" s="33">
        <f>SUM(Table2[[#This Row],[Value(1000$) 2022]:[Value(1000$) 2024]])</f>
        <v>143.03960000000001</v>
      </c>
      <c r="Q37" s="33">
        <f>SUM(Table2[[#This Row],[Volume(1000) 2022]:[Volume(1000) 2024]])</f>
        <v>5617.6513000000004</v>
      </c>
      <c r="R37" s="33">
        <f>AVERAGE(Table2[[#This Row],[Average Price(2022)]:[Average Price(2024)]])</f>
        <v>2.6044051580293204E-2</v>
      </c>
    </row>
    <row r="38" spans="1:18" x14ac:dyDescent="0.3">
      <c r="A38" t="s">
        <v>59</v>
      </c>
      <c r="B38" t="s">
        <v>715</v>
      </c>
      <c r="C38" t="s">
        <v>831</v>
      </c>
      <c r="D38" t="s">
        <v>9</v>
      </c>
      <c r="E38" t="s">
        <v>10</v>
      </c>
      <c r="F38" s="27" t="str">
        <f>IF('Working Sheet'!B48="ITEM",'Working Sheet'!E48,"")</f>
        <v>64</v>
      </c>
      <c r="G38" s="27">
        <f>IF('Working Sheet'!B48="ITEM",'Working Sheet'!F48,"")</f>
        <v>47.8005</v>
      </c>
      <c r="H38" s="27">
        <f>IF('Working Sheet'!B48="ITEM",'Working Sheet'!G48,"")</f>
        <v>51.199100000000001</v>
      </c>
      <c r="I38" s="27">
        <f>IF('Working Sheet'!B48="ITEM",'Working Sheet'!H48,"")</f>
        <v>29.6906</v>
      </c>
      <c r="J38">
        <f>IF('Working Sheet'!B48="ITEM",'Working Sheet'!I48,"")</f>
        <v>1970.2177999999999</v>
      </c>
      <c r="K38">
        <f>IF('Working Sheet'!B48="ITEM",'Working Sheet'!J48,"")</f>
        <v>1924.2328</v>
      </c>
      <c r="L38">
        <f>IF('Working Sheet'!B48="ITEM",'Working Sheet'!K48,"")</f>
        <v>1027.8571999999999</v>
      </c>
      <c r="M38" s="33">
        <f>IFERROR(Table2[[#This Row],[Value(1000$) 2022]]/Table2[[#This Row],[Volume(1000) 2022]],0)</f>
        <v>2.4261530882524765E-2</v>
      </c>
      <c r="N38" s="33">
        <f>IFERROR(Table2[[#This Row],[Value(1000$) 2023]]/Table2[[#This Row],[Volume(1000) 2023]],0)</f>
        <v>2.6607539378811131E-2</v>
      </c>
      <c r="O38" s="33">
        <f>IFERROR(Table2[[#This Row],[Value(1000$) 2024]]/Table2[[#This Row],[Volume(1000) 2024]],0)</f>
        <v>2.8885919172429792E-2</v>
      </c>
      <c r="P38" s="33">
        <f>SUM(Table2[[#This Row],[Value(1000$) 2022]:[Value(1000$) 2024]])</f>
        <v>128.6902</v>
      </c>
      <c r="Q38" s="33">
        <f>SUM(Table2[[#This Row],[Volume(1000) 2022]:[Volume(1000) 2024]])</f>
        <v>4922.3078000000005</v>
      </c>
      <c r="R38" s="33">
        <f>AVERAGE(Table2[[#This Row],[Average Price(2022)]:[Average Price(2024)]])</f>
        <v>2.6584996477921896E-2</v>
      </c>
    </row>
    <row r="39" spans="1:18" x14ac:dyDescent="0.3">
      <c r="A39" t="s">
        <v>60</v>
      </c>
      <c r="B39" t="s">
        <v>715</v>
      </c>
      <c r="C39" t="s">
        <v>831</v>
      </c>
      <c r="D39" t="s">
        <v>9</v>
      </c>
      <c r="E39" t="s">
        <v>20</v>
      </c>
      <c r="F39" s="27" t="str">
        <f>IF('Working Sheet'!B49="ITEM",'Working Sheet'!E49,"")</f>
        <v>64</v>
      </c>
      <c r="G39" s="27">
        <f>IF('Working Sheet'!B49="ITEM",'Working Sheet'!F49,"")</f>
        <v>0</v>
      </c>
      <c r="H39" s="27">
        <f>IF('Working Sheet'!B49="ITEM",'Working Sheet'!G49,"")</f>
        <v>3.2536</v>
      </c>
      <c r="I39" s="27">
        <f>IF('Working Sheet'!B49="ITEM",'Working Sheet'!H49,"")</f>
        <v>4.3144</v>
      </c>
      <c r="J39">
        <f>IF('Working Sheet'!B49="ITEM",'Working Sheet'!I49,"")</f>
        <v>0</v>
      </c>
      <c r="K39">
        <f>IF('Working Sheet'!B49="ITEM",'Working Sheet'!J49,"")</f>
        <v>139.34979999999999</v>
      </c>
      <c r="L39">
        <f>IF('Working Sheet'!B49="ITEM",'Working Sheet'!K49,"")</f>
        <v>169.84690000000001</v>
      </c>
      <c r="M39" s="33">
        <f>IFERROR(Table2[[#This Row],[Value(1000$) 2022]]/Table2[[#This Row],[Volume(1000) 2022]],0)</f>
        <v>0</v>
      </c>
      <c r="N39" s="33">
        <f>IFERROR(Table2[[#This Row],[Value(1000$) 2023]]/Table2[[#This Row],[Volume(1000) 2023]],0)</f>
        <v>2.3348436811534715E-2</v>
      </c>
      <c r="O39" s="33">
        <f>IFERROR(Table2[[#This Row],[Value(1000$) 2024]]/Table2[[#This Row],[Volume(1000) 2024]],0)</f>
        <v>2.5401700001589665E-2</v>
      </c>
      <c r="P39" s="33">
        <f>SUM(Table2[[#This Row],[Value(1000$) 2022]:[Value(1000$) 2024]])</f>
        <v>7.5679999999999996</v>
      </c>
      <c r="Q39" s="33">
        <f>SUM(Table2[[#This Row],[Volume(1000) 2022]:[Volume(1000) 2024]])</f>
        <v>309.19669999999996</v>
      </c>
      <c r="R39" s="33">
        <f>AVERAGE(Table2[[#This Row],[Average Price(2022)]:[Average Price(2024)]])</f>
        <v>1.6250045604374794E-2</v>
      </c>
    </row>
    <row r="40" spans="1:18" x14ac:dyDescent="0.3">
      <c r="A40" t="s">
        <v>61</v>
      </c>
      <c r="B40" t="s">
        <v>715</v>
      </c>
      <c r="C40" t="s">
        <v>831</v>
      </c>
      <c r="D40" t="s">
        <v>9</v>
      </c>
      <c r="E40" t="s">
        <v>20</v>
      </c>
      <c r="F40" s="27" t="str">
        <f>IF('Working Sheet'!B50="ITEM",'Working Sheet'!E50,"")</f>
        <v>64</v>
      </c>
      <c r="G40" s="27">
        <f>IF('Working Sheet'!B50="ITEM",'Working Sheet'!F50,"")</f>
        <v>5.5922000000000001</v>
      </c>
      <c r="H40" s="27">
        <f>IF('Working Sheet'!B50="ITEM",'Working Sheet'!G50,"")</f>
        <v>5.3672000000000004</v>
      </c>
      <c r="I40" s="27">
        <f>IF('Working Sheet'!B50="ITEM",'Working Sheet'!H50,"")</f>
        <v>2.5727000000000002</v>
      </c>
      <c r="J40">
        <f>IF('Working Sheet'!B50="ITEM",'Working Sheet'!I50,"")</f>
        <v>261.04790000000003</v>
      </c>
      <c r="K40">
        <f>IF('Working Sheet'!B50="ITEM",'Working Sheet'!J50,"")</f>
        <v>232.43600000000001</v>
      </c>
      <c r="L40">
        <f>IF('Working Sheet'!B50="ITEM",'Working Sheet'!K50,"")</f>
        <v>93.995500000000007</v>
      </c>
      <c r="M40" s="33">
        <f>IFERROR(Table2[[#This Row],[Value(1000$) 2022]]/Table2[[#This Row],[Volume(1000) 2022]],0)</f>
        <v>2.1422122146931653E-2</v>
      </c>
      <c r="N40" s="33">
        <f>IFERROR(Table2[[#This Row],[Value(1000$) 2023]]/Table2[[#This Row],[Volume(1000) 2023]],0)</f>
        <v>2.3091087439123029E-2</v>
      </c>
      <c r="O40" s="33">
        <f>IFERROR(Table2[[#This Row],[Value(1000$) 2024]]/Table2[[#This Row],[Volume(1000) 2024]],0)</f>
        <v>2.7370459224111791E-2</v>
      </c>
      <c r="P40" s="33">
        <f>SUM(Table2[[#This Row],[Value(1000$) 2022]:[Value(1000$) 2024]])</f>
        <v>13.5321</v>
      </c>
      <c r="Q40" s="33">
        <f>SUM(Table2[[#This Row],[Volume(1000) 2022]:[Volume(1000) 2024]])</f>
        <v>587.47940000000006</v>
      </c>
      <c r="R40" s="33">
        <f>AVERAGE(Table2[[#This Row],[Average Price(2022)]:[Average Price(2024)]])</f>
        <v>2.3961222936722159E-2</v>
      </c>
    </row>
    <row r="41" spans="1:18" x14ac:dyDescent="0.3">
      <c r="A41" t="s">
        <v>62</v>
      </c>
      <c r="B41" t="s">
        <v>715</v>
      </c>
      <c r="C41" t="s">
        <v>831</v>
      </c>
      <c r="D41" t="s">
        <v>9</v>
      </c>
      <c r="E41" t="s">
        <v>20</v>
      </c>
      <c r="F41" s="27" t="str">
        <f>IF('Working Sheet'!B51="ITEM",'Working Sheet'!E51,"")</f>
        <v>64</v>
      </c>
      <c r="G41" s="27">
        <f>IF('Working Sheet'!B51="ITEM",'Working Sheet'!F51,"")</f>
        <v>53.490699999999997</v>
      </c>
      <c r="H41" s="27">
        <f>IF('Working Sheet'!B51="ITEM",'Working Sheet'!G51,"")</f>
        <v>44.783700000000003</v>
      </c>
      <c r="I41" s="27">
        <f>IF('Working Sheet'!B51="ITEM",'Working Sheet'!H51,"")</f>
        <v>26.440899999999999</v>
      </c>
      <c r="J41">
        <f>IF('Working Sheet'!B51="ITEM",'Working Sheet'!I51,"")</f>
        <v>2262.5698000000002</v>
      </c>
      <c r="K41">
        <f>IF('Working Sheet'!B51="ITEM",'Working Sheet'!J51,"")</f>
        <v>1667.4681</v>
      </c>
      <c r="L41">
        <f>IF('Working Sheet'!B51="ITEM",'Working Sheet'!K51,"")</f>
        <v>920.88139999999999</v>
      </c>
      <c r="M41" s="33">
        <f>IFERROR(Table2[[#This Row],[Value(1000$) 2022]]/Table2[[#This Row],[Volume(1000) 2022]],0)</f>
        <v>2.3641568980545924E-2</v>
      </c>
      <c r="N41" s="33">
        <f>IFERROR(Table2[[#This Row],[Value(1000$) 2023]]/Table2[[#This Row],[Volume(1000) 2023]],0)</f>
        <v>2.6857305396127219E-2</v>
      </c>
      <c r="O41" s="33">
        <f>IFERROR(Table2[[#This Row],[Value(1000$) 2024]]/Table2[[#This Row],[Volume(1000) 2024]],0)</f>
        <v>2.8712600775735071E-2</v>
      </c>
      <c r="P41" s="33">
        <f>SUM(Table2[[#This Row],[Value(1000$) 2022]:[Value(1000$) 2024]])</f>
        <v>124.7153</v>
      </c>
      <c r="Q41" s="33">
        <f>SUM(Table2[[#This Row],[Volume(1000) 2022]:[Volume(1000) 2024]])</f>
        <v>4850.9193000000005</v>
      </c>
      <c r="R41" s="33">
        <f>AVERAGE(Table2[[#This Row],[Average Price(2022)]:[Average Price(2024)]])</f>
        <v>2.6403825050802739E-2</v>
      </c>
    </row>
    <row r="42" spans="1:18" x14ac:dyDescent="0.3">
      <c r="A42" t="s">
        <v>63</v>
      </c>
      <c r="B42" t="s">
        <v>715</v>
      </c>
      <c r="C42" t="s">
        <v>831</v>
      </c>
      <c r="D42" t="s">
        <v>9</v>
      </c>
      <c r="E42" t="s">
        <v>64</v>
      </c>
      <c r="F42" s="27" t="str">
        <f>IF('Working Sheet'!B52="ITEM",'Working Sheet'!E52,"")</f>
        <v>64</v>
      </c>
      <c r="G42" s="27">
        <f>IF('Working Sheet'!B52="ITEM",'Working Sheet'!F52,"")</f>
        <v>8.2710000000000008</v>
      </c>
      <c r="H42" s="27">
        <f>IF('Working Sheet'!B52="ITEM",'Working Sheet'!G52,"")</f>
        <v>9.9309999999999992</v>
      </c>
      <c r="I42" s="27">
        <f>IF('Working Sheet'!B52="ITEM",'Working Sheet'!H52,"")</f>
        <v>1.1805000000000001</v>
      </c>
      <c r="J42">
        <f>IF('Working Sheet'!B52="ITEM",'Working Sheet'!I52,"")</f>
        <v>392.0086</v>
      </c>
      <c r="K42">
        <f>IF('Working Sheet'!B52="ITEM",'Working Sheet'!J52,"")</f>
        <v>426.19690000000003</v>
      </c>
      <c r="L42">
        <f>IF('Working Sheet'!B52="ITEM",'Working Sheet'!K52,"")</f>
        <v>46.280799999999999</v>
      </c>
      <c r="M42" s="33">
        <f>IFERROR(Table2[[#This Row],[Value(1000$) 2022]]/Table2[[#This Row],[Volume(1000) 2022]],0)</f>
        <v>2.1099026909103528E-2</v>
      </c>
      <c r="N42" s="33">
        <f>IFERROR(Table2[[#This Row],[Value(1000$) 2023]]/Table2[[#This Row],[Volume(1000) 2023]],0)</f>
        <v>2.3301436495666669E-2</v>
      </c>
      <c r="O42" s="33">
        <f>IFERROR(Table2[[#This Row],[Value(1000$) 2024]]/Table2[[#This Row],[Volume(1000) 2024]],0)</f>
        <v>2.5507337816113813E-2</v>
      </c>
      <c r="P42" s="33">
        <f>SUM(Table2[[#This Row],[Value(1000$) 2022]:[Value(1000$) 2024]])</f>
        <v>19.382499999999997</v>
      </c>
      <c r="Q42" s="33">
        <f>SUM(Table2[[#This Row],[Volume(1000) 2022]:[Volume(1000) 2024]])</f>
        <v>864.48630000000003</v>
      </c>
      <c r="R42" s="33">
        <f>AVERAGE(Table2[[#This Row],[Average Price(2022)]:[Average Price(2024)]])</f>
        <v>2.3302600406961336E-2</v>
      </c>
    </row>
    <row r="43" spans="1:18" x14ac:dyDescent="0.3">
      <c r="A43" t="s">
        <v>65</v>
      </c>
      <c r="B43" t="s">
        <v>715</v>
      </c>
      <c r="C43" t="s">
        <v>831</v>
      </c>
      <c r="D43" t="s">
        <v>9</v>
      </c>
      <c r="E43" t="s">
        <v>64</v>
      </c>
      <c r="F43" s="27" t="str">
        <f>IF('Working Sheet'!B53="ITEM",'Working Sheet'!E53,"")</f>
        <v>64</v>
      </c>
      <c r="G43" s="27">
        <f>IF('Working Sheet'!B53="ITEM",'Working Sheet'!F53,"")</f>
        <v>70.562299999999993</v>
      </c>
      <c r="H43" s="27">
        <f>IF('Working Sheet'!B53="ITEM",'Working Sheet'!G53,"")</f>
        <v>56.785600000000002</v>
      </c>
      <c r="I43" s="27">
        <f>IF('Working Sheet'!B53="ITEM",'Working Sheet'!H53,"")</f>
        <v>30.796600000000002</v>
      </c>
      <c r="J43">
        <f>IF('Working Sheet'!B53="ITEM",'Working Sheet'!I53,"")</f>
        <v>2842.3220000000001</v>
      </c>
      <c r="K43">
        <f>IF('Working Sheet'!B53="ITEM",'Working Sheet'!J53,"")</f>
        <v>2121.0371</v>
      </c>
      <c r="L43">
        <f>IF('Working Sheet'!B53="ITEM",'Working Sheet'!K53,"")</f>
        <v>1067.8224</v>
      </c>
      <c r="M43" s="33">
        <f>IFERROR(Table2[[#This Row],[Value(1000$) 2022]]/Table2[[#This Row],[Volume(1000) 2022]],0)</f>
        <v>2.482558274537508E-2</v>
      </c>
      <c r="N43" s="33">
        <f>IFERROR(Table2[[#This Row],[Value(1000$) 2023]]/Table2[[#This Row],[Volume(1000) 2023]],0)</f>
        <v>2.6772563289911337E-2</v>
      </c>
      <c r="O43" s="33">
        <f>IFERROR(Table2[[#This Row],[Value(1000$) 2024]]/Table2[[#This Row],[Volume(1000) 2024]],0)</f>
        <v>2.8840563749177768E-2</v>
      </c>
      <c r="P43" s="33">
        <f>SUM(Table2[[#This Row],[Value(1000$) 2022]:[Value(1000$) 2024]])</f>
        <v>158.14449999999999</v>
      </c>
      <c r="Q43" s="33">
        <f>SUM(Table2[[#This Row],[Volume(1000) 2022]:[Volume(1000) 2024]])</f>
        <v>6031.1814999999997</v>
      </c>
      <c r="R43" s="33">
        <f>AVERAGE(Table2[[#This Row],[Average Price(2022)]:[Average Price(2024)]])</f>
        <v>2.6812903261488063E-2</v>
      </c>
    </row>
    <row r="44" spans="1:18" x14ac:dyDescent="0.3">
      <c r="A44" t="s">
        <v>66</v>
      </c>
      <c r="B44" t="s">
        <v>715</v>
      </c>
      <c r="C44" t="s">
        <v>831</v>
      </c>
      <c r="D44" t="s">
        <v>9</v>
      </c>
      <c r="E44" t="s">
        <v>20</v>
      </c>
      <c r="F44" s="27" t="str">
        <f>IF('Working Sheet'!B54="ITEM",'Working Sheet'!E54,"")</f>
        <v>64</v>
      </c>
      <c r="G44" s="27">
        <f>IF('Working Sheet'!B54="ITEM",'Working Sheet'!F54,"")</f>
        <v>34.495899999999999</v>
      </c>
      <c r="H44" s="27">
        <f>IF('Working Sheet'!B54="ITEM",'Working Sheet'!G54,"")</f>
        <v>35.333399999999997</v>
      </c>
      <c r="I44" s="27">
        <f>IF('Working Sheet'!B54="ITEM",'Working Sheet'!H54,"")</f>
        <v>28.078199999999999</v>
      </c>
      <c r="J44">
        <f>IF('Working Sheet'!B54="ITEM",'Working Sheet'!I54,"")</f>
        <v>1446.3839</v>
      </c>
      <c r="K44">
        <f>IF('Working Sheet'!B54="ITEM",'Working Sheet'!J54,"")</f>
        <v>1359.9783</v>
      </c>
      <c r="L44">
        <f>IF('Working Sheet'!B54="ITEM",'Working Sheet'!K54,"")</f>
        <v>967.9162</v>
      </c>
      <c r="M44" s="33">
        <f>IFERROR(Table2[[#This Row],[Value(1000$) 2022]]/Table2[[#This Row],[Volume(1000) 2022]],0)</f>
        <v>2.3849753858571018E-2</v>
      </c>
      <c r="N44" s="33">
        <f>IFERROR(Table2[[#This Row],[Value(1000$) 2023]]/Table2[[#This Row],[Volume(1000) 2023]],0)</f>
        <v>2.5980855723947947E-2</v>
      </c>
      <c r="O44" s="33">
        <f>IFERROR(Table2[[#This Row],[Value(1000$) 2024]]/Table2[[#This Row],[Volume(1000) 2024]],0)</f>
        <v>2.9008916267751279E-2</v>
      </c>
      <c r="P44" s="33">
        <f>SUM(Table2[[#This Row],[Value(1000$) 2022]:[Value(1000$) 2024]])</f>
        <v>97.907499999999985</v>
      </c>
      <c r="Q44" s="33">
        <f>SUM(Table2[[#This Row],[Volume(1000) 2022]:[Volume(1000) 2024]])</f>
        <v>3774.2784000000001</v>
      </c>
      <c r="R44" s="33">
        <f>AVERAGE(Table2[[#This Row],[Average Price(2022)]:[Average Price(2024)]])</f>
        <v>2.6279841950090078E-2</v>
      </c>
    </row>
    <row r="45" spans="1:18" x14ac:dyDescent="0.3">
      <c r="A45" t="s">
        <v>67</v>
      </c>
      <c r="B45" t="s">
        <v>715</v>
      </c>
      <c r="C45" t="s">
        <v>831</v>
      </c>
      <c r="D45" t="s">
        <v>9</v>
      </c>
      <c r="E45" t="s">
        <v>30</v>
      </c>
      <c r="F45" s="27" t="str">
        <f>IF('Working Sheet'!B55="ITEM",'Working Sheet'!E55,"")</f>
        <v>90</v>
      </c>
      <c r="G45" s="27">
        <f>IF('Working Sheet'!B55="ITEM",'Working Sheet'!F55,"")</f>
        <v>49.5715</v>
      </c>
      <c r="H45" s="27">
        <f>IF('Working Sheet'!B55="ITEM",'Working Sheet'!G55,"")</f>
        <v>57.943199999999997</v>
      </c>
      <c r="I45" s="27">
        <f>IF('Working Sheet'!B55="ITEM",'Working Sheet'!H55,"")</f>
        <v>41.595799999999997</v>
      </c>
      <c r="J45">
        <f>IF('Working Sheet'!B55="ITEM",'Working Sheet'!I55,"")</f>
        <v>2203.8969999999999</v>
      </c>
      <c r="K45">
        <f>IF('Working Sheet'!B55="ITEM",'Working Sheet'!J55,"")</f>
        <v>2377.6914999999999</v>
      </c>
      <c r="L45">
        <f>IF('Working Sheet'!B55="ITEM",'Working Sheet'!K55,"")</f>
        <v>1614.8326999999999</v>
      </c>
      <c r="M45" s="33">
        <f>IFERROR(Table2[[#This Row],[Value(1000$) 2022]]/Table2[[#This Row],[Volume(1000) 2022]],0)</f>
        <v>2.2492657324729787E-2</v>
      </c>
      <c r="N45" s="33">
        <f>IFERROR(Table2[[#This Row],[Value(1000$) 2023]]/Table2[[#This Row],[Volume(1000) 2023]],0)</f>
        <v>2.4369519763182062E-2</v>
      </c>
      <c r="O45" s="33">
        <f>IFERROR(Table2[[#This Row],[Value(1000$) 2024]]/Table2[[#This Row],[Volume(1000) 2024]],0)</f>
        <v>2.5758581678461179E-2</v>
      </c>
      <c r="P45" s="33">
        <f>SUM(Table2[[#This Row],[Value(1000$) 2022]:[Value(1000$) 2024]])</f>
        <v>149.1105</v>
      </c>
      <c r="Q45" s="33">
        <f>SUM(Table2[[#This Row],[Volume(1000) 2022]:[Volume(1000) 2024]])</f>
        <v>6196.4211999999998</v>
      </c>
      <c r="R45" s="33">
        <f>AVERAGE(Table2[[#This Row],[Average Price(2022)]:[Average Price(2024)]])</f>
        <v>2.4206919588791009E-2</v>
      </c>
    </row>
    <row r="46" spans="1:18" x14ac:dyDescent="0.3">
      <c r="A46" t="s">
        <v>70</v>
      </c>
      <c r="B46" t="s">
        <v>716</v>
      </c>
      <c r="C46" t="s">
        <v>832</v>
      </c>
      <c r="D46" t="s">
        <v>9</v>
      </c>
      <c r="E46" t="s">
        <v>20</v>
      </c>
      <c r="F46" s="27" t="str">
        <f>IF('Working Sheet'!B58="ITEM",'Working Sheet'!E58,"")</f>
        <v>120</v>
      </c>
      <c r="G46" s="27">
        <f>IF('Working Sheet'!B58="ITEM",'Working Sheet'!F58,"")</f>
        <v>0</v>
      </c>
      <c r="H46" s="27">
        <f>IF('Working Sheet'!B58="ITEM",'Working Sheet'!G58,"")</f>
        <v>0</v>
      </c>
      <c r="I46" s="27">
        <f>IF('Working Sheet'!B58="ITEM",'Working Sheet'!H58,"")</f>
        <v>5.7117000000000004</v>
      </c>
      <c r="J46">
        <f>IF('Working Sheet'!B58="ITEM",'Working Sheet'!I58,"")</f>
        <v>0</v>
      </c>
      <c r="K46">
        <f>IF('Working Sheet'!B58="ITEM",'Working Sheet'!J58,"")</f>
        <v>0</v>
      </c>
      <c r="L46">
        <f>IF('Working Sheet'!B58="ITEM",'Working Sheet'!K58,"")</f>
        <v>338.46300000000002</v>
      </c>
      <c r="M46" s="33">
        <f>IFERROR(Table2[[#This Row],[Value(1000$) 2022]]/Table2[[#This Row],[Volume(1000) 2022]],0)</f>
        <v>0</v>
      </c>
      <c r="N46" s="33">
        <f>IFERROR(Table2[[#This Row],[Value(1000$) 2023]]/Table2[[#This Row],[Volume(1000) 2023]],0)</f>
        <v>0</v>
      </c>
      <c r="O46" s="33">
        <f>IFERROR(Table2[[#This Row],[Value(1000$) 2024]]/Table2[[#This Row],[Volume(1000) 2024]],0)</f>
        <v>1.6875404401662811E-2</v>
      </c>
      <c r="P46" s="33">
        <f>SUM(Table2[[#This Row],[Value(1000$) 2022]:[Value(1000$) 2024]])</f>
        <v>5.7117000000000004</v>
      </c>
      <c r="Q46" s="33">
        <f>SUM(Table2[[#This Row],[Volume(1000) 2022]:[Volume(1000) 2024]])</f>
        <v>338.46300000000002</v>
      </c>
      <c r="R46" s="33">
        <f>AVERAGE(Table2[[#This Row],[Average Price(2022)]:[Average Price(2024)]])</f>
        <v>5.62513480055427E-3</v>
      </c>
    </row>
    <row r="47" spans="1:18" x14ac:dyDescent="0.3">
      <c r="A47" t="s">
        <v>71</v>
      </c>
      <c r="B47" t="s">
        <v>716</v>
      </c>
      <c r="C47" t="s">
        <v>832</v>
      </c>
      <c r="D47" t="s">
        <v>9</v>
      </c>
      <c r="E47" t="s">
        <v>20</v>
      </c>
      <c r="F47" s="27" t="str">
        <f>IF('Working Sheet'!B59="ITEM",'Working Sheet'!E59,"")</f>
        <v>90</v>
      </c>
      <c r="G47" s="27">
        <f>IF('Working Sheet'!B59="ITEM",'Working Sheet'!F59,"")</f>
        <v>0</v>
      </c>
      <c r="H47" s="27">
        <f>IF('Working Sheet'!B59="ITEM",'Working Sheet'!G59,"")</f>
        <v>4.4634999999999998</v>
      </c>
      <c r="I47" s="27">
        <f>IF('Working Sheet'!B59="ITEM",'Working Sheet'!H59,"")</f>
        <v>0.1893</v>
      </c>
      <c r="J47">
        <f>IF('Working Sheet'!B59="ITEM",'Working Sheet'!I59,"")</f>
        <v>0</v>
      </c>
      <c r="K47">
        <f>IF('Working Sheet'!B59="ITEM",'Working Sheet'!J59,"")</f>
        <v>231.33420000000001</v>
      </c>
      <c r="L47">
        <f>IF('Working Sheet'!B59="ITEM",'Working Sheet'!K59,"")</f>
        <v>9.7352000000000007</v>
      </c>
      <c r="M47" s="33">
        <f>IFERROR(Table2[[#This Row],[Value(1000$) 2022]]/Table2[[#This Row],[Volume(1000) 2022]],0)</f>
        <v>0</v>
      </c>
      <c r="N47" s="33">
        <f>IFERROR(Table2[[#This Row],[Value(1000$) 2023]]/Table2[[#This Row],[Volume(1000) 2023]],0)</f>
        <v>1.9294596302665147E-2</v>
      </c>
      <c r="O47" s="33">
        <f>IFERROR(Table2[[#This Row],[Value(1000$) 2024]]/Table2[[#This Row],[Volume(1000) 2024]],0)</f>
        <v>1.9444900977894648E-2</v>
      </c>
      <c r="P47" s="33">
        <f>SUM(Table2[[#This Row],[Value(1000$) 2022]:[Value(1000$) 2024]])</f>
        <v>4.6528</v>
      </c>
      <c r="Q47" s="33">
        <f>SUM(Table2[[#This Row],[Volume(1000) 2022]:[Volume(1000) 2024]])</f>
        <v>241.0694</v>
      </c>
      <c r="R47" s="33">
        <f>AVERAGE(Table2[[#This Row],[Average Price(2022)]:[Average Price(2024)]])</f>
        <v>1.2913165760186598E-2</v>
      </c>
    </row>
    <row r="48" spans="1:18" x14ac:dyDescent="0.3">
      <c r="A48" t="s">
        <v>72</v>
      </c>
      <c r="B48" t="s">
        <v>717</v>
      </c>
      <c r="C48" t="s">
        <v>834</v>
      </c>
      <c r="D48" t="s">
        <v>9</v>
      </c>
      <c r="E48" t="s">
        <v>20</v>
      </c>
      <c r="F48" s="27" t="str">
        <f>IF('Working Sheet'!B62="ITEM",'Working Sheet'!E62,"")</f>
        <v>120</v>
      </c>
      <c r="G48" s="27">
        <f>IF('Working Sheet'!B62="ITEM",'Working Sheet'!F62,"")</f>
        <v>0.70520000000000005</v>
      </c>
      <c r="H48" s="27">
        <f>IF('Working Sheet'!B62="ITEM",'Working Sheet'!G62,"")</f>
        <v>0</v>
      </c>
      <c r="I48" s="27">
        <f>IF('Working Sheet'!B62="ITEM",'Working Sheet'!H62,"")</f>
        <v>0</v>
      </c>
      <c r="J48">
        <f>IF('Working Sheet'!B62="ITEM",'Working Sheet'!I62,"")</f>
        <v>47.325299999999999</v>
      </c>
      <c r="K48">
        <f>IF('Working Sheet'!B62="ITEM",'Working Sheet'!J62,"")</f>
        <v>0</v>
      </c>
      <c r="L48">
        <f>IF('Working Sheet'!B62="ITEM",'Working Sheet'!K62,"")</f>
        <v>0</v>
      </c>
      <c r="M48" s="33">
        <f>IFERROR(Table2[[#This Row],[Value(1000$) 2022]]/Table2[[#This Row],[Volume(1000) 2022]],0)</f>
        <v>1.4901120542289221E-2</v>
      </c>
      <c r="N48" s="33">
        <f>IFERROR(Table2[[#This Row],[Value(1000$) 2023]]/Table2[[#This Row],[Volume(1000) 2023]],0)</f>
        <v>0</v>
      </c>
      <c r="O48" s="33">
        <f>IFERROR(Table2[[#This Row],[Value(1000$) 2024]]/Table2[[#This Row],[Volume(1000) 2024]],0)</f>
        <v>0</v>
      </c>
      <c r="P48" s="33">
        <f>SUM(Table2[[#This Row],[Value(1000$) 2022]:[Value(1000$) 2024]])</f>
        <v>0.70520000000000005</v>
      </c>
      <c r="Q48" s="33">
        <f>SUM(Table2[[#This Row],[Volume(1000) 2022]:[Volume(1000) 2024]])</f>
        <v>47.325299999999999</v>
      </c>
      <c r="R48" s="33">
        <f>AVERAGE(Table2[[#This Row],[Average Price(2022)]:[Average Price(2024)]])</f>
        <v>4.9670401807630736E-3</v>
      </c>
    </row>
    <row r="49" spans="1:18" x14ac:dyDescent="0.3">
      <c r="A49" t="s">
        <v>73</v>
      </c>
      <c r="B49" t="s">
        <v>718</v>
      </c>
      <c r="C49" t="s">
        <v>835</v>
      </c>
      <c r="D49" t="s">
        <v>9</v>
      </c>
      <c r="E49" t="s">
        <v>20</v>
      </c>
      <c r="F49" s="27" t="str">
        <f>IF('Working Sheet'!B65="ITEM",'Working Sheet'!E65,"")</f>
        <v>100</v>
      </c>
      <c r="G49" s="27">
        <f>IF('Working Sheet'!B65="ITEM",'Working Sheet'!F65,"")</f>
        <v>0.76280000000000003</v>
      </c>
      <c r="H49" s="27">
        <f>IF('Working Sheet'!B65="ITEM",'Working Sheet'!G65,"")</f>
        <v>0.23669999999999999</v>
      </c>
      <c r="I49" s="27">
        <f>IF('Working Sheet'!B65="ITEM",'Working Sheet'!H65,"")</f>
        <v>0.1135</v>
      </c>
      <c r="J49">
        <f>IF('Working Sheet'!B65="ITEM",'Working Sheet'!I65,"")</f>
        <v>43.074599999999997</v>
      </c>
      <c r="K49">
        <f>IF('Working Sheet'!B65="ITEM",'Working Sheet'!J65,"")</f>
        <v>13.9861</v>
      </c>
      <c r="L49">
        <f>IF('Working Sheet'!B65="ITEM",'Working Sheet'!K65,"")</f>
        <v>6.5488999999999997</v>
      </c>
      <c r="M49" s="33">
        <f>IFERROR(Table2[[#This Row],[Value(1000$) 2022]]/Table2[[#This Row],[Volume(1000) 2022]],0)</f>
        <v>1.7708812153798298E-2</v>
      </c>
      <c r="N49" s="33">
        <f>IFERROR(Table2[[#This Row],[Value(1000$) 2023]]/Table2[[#This Row],[Volume(1000) 2023]],0)</f>
        <v>1.6923945917732604E-2</v>
      </c>
      <c r="O49" s="33">
        <f>IFERROR(Table2[[#This Row],[Value(1000$) 2024]]/Table2[[#This Row],[Volume(1000) 2024]],0)</f>
        <v>1.7331154850432899E-2</v>
      </c>
      <c r="P49" s="33">
        <f>SUM(Table2[[#This Row],[Value(1000$) 2022]:[Value(1000$) 2024]])</f>
        <v>1.113</v>
      </c>
      <c r="Q49" s="33">
        <f>SUM(Table2[[#This Row],[Volume(1000) 2022]:[Volume(1000) 2024]])</f>
        <v>63.6096</v>
      </c>
      <c r="R49" s="33">
        <f>AVERAGE(Table2[[#This Row],[Average Price(2022)]:[Average Price(2024)]])</f>
        <v>1.7321304307321268E-2</v>
      </c>
    </row>
    <row r="50" spans="1:18" x14ac:dyDescent="0.3">
      <c r="A50" t="s">
        <v>74</v>
      </c>
      <c r="B50" t="s">
        <v>718</v>
      </c>
      <c r="C50" t="s">
        <v>835</v>
      </c>
      <c r="D50" t="s">
        <v>9</v>
      </c>
      <c r="E50" t="s">
        <v>64</v>
      </c>
      <c r="F50" s="27" t="str">
        <f>IF('Working Sheet'!B66="ITEM",'Working Sheet'!E66,"")</f>
        <v>100</v>
      </c>
      <c r="G50" s="27">
        <f>IF('Working Sheet'!B66="ITEM",'Working Sheet'!F66,"")</f>
        <v>14.3467</v>
      </c>
      <c r="H50" s="27">
        <f>IF('Working Sheet'!B66="ITEM",'Working Sheet'!G66,"")</f>
        <v>14.9893</v>
      </c>
      <c r="I50" s="27">
        <f>IF('Working Sheet'!B66="ITEM",'Working Sheet'!H66,"")</f>
        <v>7.9457000000000004</v>
      </c>
      <c r="J50">
        <f>IF('Working Sheet'!B66="ITEM",'Working Sheet'!I66,"")</f>
        <v>749.43960000000004</v>
      </c>
      <c r="K50">
        <f>IF('Working Sheet'!B66="ITEM",'Working Sheet'!J66,"")</f>
        <v>788.71510000000001</v>
      </c>
      <c r="L50">
        <f>IF('Working Sheet'!B66="ITEM",'Working Sheet'!K66,"")</f>
        <v>388.85250000000002</v>
      </c>
      <c r="M50" s="33">
        <f>IFERROR(Table2[[#This Row],[Value(1000$) 2022]]/Table2[[#This Row],[Volume(1000) 2022]],0)</f>
        <v>1.9143237160139388E-2</v>
      </c>
      <c r="N50" s="33">
        <f>IFERROR(Table2[[#This Row],[Value(1000$) 2023]]/Table2[[#This Row],[Volume(1000) 2023]],0)</f>
        <v>1.9004707783583704E-2</v>
      </c>
      <c r="O50" s="33">
        <f>IFERROR(Table2[[#This Row],[Value(1000$) 2024]]/Table2[[#This Row],[Volume(1000) 2024]],0)</f>
        <v>2.0433712011623945E-2</v>
      </c>
      <c r="P50" s="33">
        <f>SUM(Table2[[#This Row],[Value(1000$) 2022]:[Value(1000$) 2024]])</f>
        <v>37.281700000000001</v>
      </c>
      <c r="Q50" s="33">
        <f>SUM(Table2[[#This Row],[Volume(1000) 2022]:[Volume(1000) 2024]])</f>
        <v>1927.0072</v>
      </c>
      <c r="R50" s="33">
        <f>AVERAGE(Table2[[#This Row],[Average Price(2022)]:[Average Price(2024)]])</f>
        <v>1.9527218985115679E-2</v>
      </c>
    </row>
    <row r="51" spans="1:18" x14ac:dyDescent="0.3">
      <c r="A51" t="s">
        <v>75</v>
      </c>
      <c r="B51" t="s">
        <v>718</v>
      </c>
      <c r="C51" t="s">
        <v>835</v>
      </c>
      <c r="D51" t="s">
        <v>9</v>
      </c>
      <c r="E51" t="s">
        <v>10</v>
      </c>
      <c r="F51" s="27" t="str">
        <f>IF('Working Sheet'!B67="ITEM",'Working Sheet'!E67,"")</f>
        <v>100</v>
      </c>
      <c r="G51" s="27">
        <f>IF('Working Sheet'!B67="ITEM",'Working Sheet'!F67,"")</f>
        <v>9.9741999999999997</v>
      </c>
      <c r="H51" s="27">
        <f>IF('Working Sheet'!B67="ITEM",'Working Sheet'!G67,"")</f>
        <v>17.767600000000002</v>
      </c>
      <c r="I51" s="27">
        <f>IF('Working Sheet'!B67="ITEM",'Working Sheet'!H67,"")</f>
        <v>9.7081</v>
      </c>
      <c r="J51">
        <f>IF('Working Sheet'!B67="ITEM",'Working Sheet'!I67,"")</f>
        <v>530.94489999999996</v>
      </c>
      <c r="K51">
        <f>IF('Working Sheet'!B67="ITEM",'Working Sheet'!J67,"")</f>
        <v>921.25450000000001</v>
      </c>
      <c r="L51">
        <f>IF('Working Sheet'!B67="ITEM",'Working Sheet'!K67,"")</f>
        <v>442.90179999999998</v>
      </c>
      <c r="M51" s="33">
        <f>IFERROR(Table2[[#This Row],[Value(1000$) 2022]]/Table2[[#This Row],[Volume(1000) 2022]],0)</f>
        <v>1.8785753474607252E-2</v>
      </c>
      <c r="N51" s="33">
        <f>IFERROR(Table2[[#This Row],[Value(1000$) 2023]]/Table2[[#This Row],[Volume(1000) 2023]],0)</f>
        <v>1.9286310134713047E-2</v>
      </c>
      <c r="O51" s="33">
        <f>IFERROR(Table2[[#This Row],[Value(1000$) 2024]]/Table2[[#This Row],[Volume(1000) 2024]],0)</f>
        <v>2.1919305814516898E-2</v>
      </c>
      <c r="P51" s="33">
        <f>SUM(Table2[[#This Row],[Value(1000$) 2022]:[Value(1000$) 2024]])</f>
        <v>37.4499</v>
      </c>
      <c r="Q51" s="33">
        <f>SUM(Table2[[#This Row],[Volume(1000) 2022]:[Volume(1000) 2024]])</f>
        <v>1895.1012000000001</v>
      </c>
      <c r="R51" s="33">
        <f>AVERAGE(Table2[[#This Row],[Average Price(2022)]:[Average Price(2024)]])</f>
        <v>1.9997123141279067E-2</v>
      </c>
    </row>
    <row r="52" spans="1:18" x14ac:dyDescent="0.3">
      <c r="A52" t="s">
        <v>76</v>
      </c>
      <c r="B52" t="s">
        <v>718</v>
      </c>
      <c r="C52" t="s">
        <v>835</v>
      </c>
      <c r="D52" t="s">
        <v>9</v>
      </c>
      <c r="E52" t="s">
        <v>10</v>
      </c>
      <c r="F52" s="27" t="str">
        <f>IF('Working Sheet'!B68="ITEM",'Working Sheet'!E68,"")</f>
        <v>100</v>
      </c>
      <c r="G52" s="27">
        <f>IF('Working Sheet'!B68="ITEM",'Working Sheet'!F68,"")</f>
        <v>15.1808</v>
      </c>
      <c r="H52" s="27">
        <f>IF('Working Sheet'!B68="ITEM",'Working Sheet'!G68,"")</f>
        <v>9.7044999999999995</v>
      </c>
      <c r="I52" s="27">
        <f>IF('Working Sheet'!B68="ITEM",'Working Sheet'!H68,"")</f>
        <v>2.6509999999999998</v>
      </c>
      <c r="J52">
        <f>IF('Working Sheet'!B68="ITEM",'Working Sheet'!I68,"")</f>
        <v>814.55730000000005</v>
      </c>
      <c r="K52">
        <f>IF('Working Sheet'!B68="ITEM",'Working Sheet'!J68,"")</f>
        <v>531.53909999999996</v>
      </c>
      <c r="L52">
        <f>IF('Working Sheet'!B68="ITEM",'Working Sheet'!K68,"")</f>
        <v>144.98150000000001</v>
      </c>
      <c r="M52" s="33">
        <f>IFERROR(Table2[[#This Row],[Value(1000$) 2022]]/Table2[[#This Row],[Volume(1000) 2022]],0)</f>
        <v>1.8636871832098244E-2</v>
      </c>
      <c r="N52" s="33">
        <f>IFERROR(Table2[[#This Row],[Value(1000$) 2023]]/Table2[[#This Row],[Volume(1000) 2023]],0)</f>
        <v>1.825735867784703E-2</v>
      </c>
      <c r="O52" s="33">
        <f>IFERROR(Table2[[#This Row],[Value(1000$) 2024]]/Table2[[#This Row],[Volume(1000) 2024]],0)</f>
        <v>1.8285091546162785E-2</v>
      </c>
      <c r="P52" s="33">
        <f>SUM(Table2[[#This Row],[Value(1000$) 2022]:[Value(1000$) 2024]])</f>
        <v>27.536300000000001</v>
      </c>
      <c r="Q52" s="33">
        <f>SUM(Table2[[#This Row],[Volume(1000) 2022]:[Volume(1000) 2024]])</f>
        <v>1491.0779</v>
      </c>
      <c r="R52" s="33">
        <f>AVERAGE(Table2[[#This Row],[Average Price(2022)]:[Average Price(2024)]])</f>
        <v>1.8393107352036021E-2</v>
      </c>
    </row>
    <row r="53" spans="1:18" x14ac:dyDescent="0.3">
      <c r="A53" t="s">
        <v>77</v>
      </c>
      <c r="B53" t="s">
        <v>718</v>
      </c>
      <c r="C53" t="s">
        <v>835</v>
      </c>
      <c r="D53" t="s">
        <v>9</v>
      </c>
      <c r="E53" t="s">
        <v>20</v>
      </c>
      <c r="F53" s="27" t="str">
        <f>IF('Working Sheet'!B69="ITEM",'Working Sheet'!E69,"")</f>
        <v>100</v>
      </c>
      <c r="G53" s="27">
        <f>IF('Working Sheet'!B69="ITEM",'Working Sheet'!F69,"")</f>
        <v>18.2471</v>
      </c>
      <c r="H53" s="27">
        <f>IF('Working Sheet'!B69="ITEM",'Working Sheet'!G69,"")</f>
        <v>19.903099999999998</v>
      </c>
      <c r="I53" s="27">
        <f>IF('Working Sheet'!B69="ITEM",'Working Sheet'!H69,"")</f>
        <v>8.7614000000000001</v>
      </c>
      <c r="J53">
        <f>IF('Working Sheet'!B69="ITEM",'Working Sheet'!I69,"")</f>
        <v>989.38980000000004</v>
      </c>
      <c r="K53">
        <f>IF('Working Sheet'!B69="ITEM",'Working Sheet'!J69,"")</f>
        <v>1044.1582000000001</v>
      </c>
      <c r="L53">
        <f>IF('Working Sheet'!B69="ITEM",'Working Sheet'!K69,"")</f>
        <v>387.44209999999998</v>
      </c>
      <c r="M53" s="33">
        <f>IFERROR(Table2[[#This Row],[Value(1000$) 2022]]/Table2[[#This Row],[Volume(1000) 2022]],0)</f>
        <v>1.8442781601346606E-2</v>
      </c>
      <c r="N53" s="33">
        <f>IFERROR(Table2[[#This Row],[Value(1000$) 2023]]/Table2[[#This Row],[Volume(1000) 2023]],0)</f>
        <v>1.9061383610261353E-2</v>
      </c>
      <c r="O53" s="33">
        <f>IFERROR(Table2[[#This Row],[Value(1000$) 2024]]/Table2[[#This Row],[Volume(1000) 2024]],0)</f>
        <v>2.2613443402252881E-2</v>
      </c>
      <c r="P53" s="33">
        <f>SUM(Table2[[#This Row],[Value(1000$) 2022]:[Value(1000$) 2024]])</f>
        <v>46.9116</v>
      </c>
      <c r="Q53" s="33">
        <f>SUM(Table2[[#This Row],[Volume(1000) 2022]:[Volume(1000) 2024]])</f>
        <v>2420.9901</v>
      </c>
      <c r="R53" s="33">
        <f>AVERAGE(Table2[[#This Row],[Average Price(2022)]:[Average Price(2024)]])</f>
        <v>2.0039202871286948E-2</v>
      </c>
    </row>
    <row r="54" spans="1:18" x14ac:dyDescent="0.3">
      <c r="A54" t="s">
        <v>78</v>
      </c>
      <c r="B54" t="s">
        <v>718</v>
      </c>
      <c r="C54" t="s">
        <v>835</v>
      </c>
      <c r="D54" t="s">
        <v>9</v>
      </c>
      <c r="E54" t="s">
        <v>20</v>
      </c>
      <c r="F54" s="27" t="str">
        <f>IF('Working Sheet'!B70="ITEM",'Working Sheet'!E70,"")</f>
        <v>100</v>
      </c>
      <c r="G54" s="27">
        <f>IF('Working Sheet'!B70="ITEM",'Working Sheet'!F70,"")</f>
        <v>13.7898</v>
      </c>
      <c r="H54" s="27">
        <f>IF('Working Sheet'!B70="ITEM",'Working Sheet'!G70,"")</f>
        <v>10.6778</v>
      </c>
      <c r="I54" s="27">
        <f>IF('Working Sheet'!B70="ITEM",'Working Sheet'!H70,"")</f>
        <v>5.2233000000000001</v>
      </c>
      <c r="J54">
        <f>IF('Working Sheet'!B70="ITEM",'Working Sheet'!I70,"")</f>
        <v>726.86360000000002</v>
      </c>
      <c r="K54">
        <f>IF('Working Sheet'!B70="ITEM",'Working Sheet'!J70,"")</f>
        <v>563.28449999999998</v>
      </c>
      <c r="L54">
        <f>IF('Working Sheet'!B70="ITEM",'Working Sheet'!K70,"")</f>
        <v>268.45999999999998</v>
      </c>
      <c r="M54" s="33">
        <f>IFERROR(Table2[[#This Row],[Value(1000$) 2022]]/Table2[[#This Row],[Volume(1000) 2022]],0)</f>
        <v>1.8971647500301295E-2</v>
      </c>
      <c r="N54" s="33">
        <f>IFERROR(Table2[[#This Row],[Value(1000$) 2023]]/Table2[[#This Row],[Volume(1000) 2023]],0)</f>
        <v>1.8956317810981841E-2</v>
      </c>
      <c r="O54" s="33">
        <f>IFERROR(Table2[[#This Row],[Value(1000$) 2024]]/Table2[[#This Row],[Volume(1000) 2024]],0)</f>
        <v>1.9456529836847203E-2</v>
      </c>
      <c r="P54" s="33">
        <f>SUM(Table2[[#This Row],[Value(1000$) 2022]:[Value(1000$) 2024]])</f>
        <v>29.690899999999999</v>
      </c>
      <c r="Q54" s="33">
        <f>SUM(Table2[[#This Row],[Volume(1000) 2022]:[Volume(1000) 2024]])</f>
        <v>1558.6080999999999</v>
      </c>
      <c r="R54" s="33">
        <f>AVERAGE(Table2[[#This Row],[Average Price(2022)]:[Average Price(2024)]])</f>
        <v>1.9128165049376779E-2</v>
      </c>
    </row>
    <row r="55" spans="1:18" x14ac:dyDescent="0.3">
      <c r="A55" t="s">
        <v>79</v>
      </c>
      <c r="B55" t="s">
        <v>718</v>
      </c>
      <c r="C55" t="s">
        <v>835</v>
      </c>
      <c r="D55" t="s">
        <v>9</v>
      </c>
      <c r="E55" t="s">
        <v>10</v>
      </c>
      <c r="F55" s="27" t="str">
        <f>IF('Working Sheet'!B71="ITEM",'Working Sheet'!E71,"")</f>
        <v>100</v>
      </c>
      <c r="G55" s="27">
        <f>IF('Working Sheet'!B71="ITEM",'Working Sheet'!F71,"")</f>
        <v>0</v>
      </c>
      <c r="H55" s="27">
        <f>IF('Working Sheet'!B71="ITEM",'Working Sheet'!G71,"")</f>
        <v>0</v>
      </c>
      <c r="I55" s="27">
        <f>IF('Working Sheet'!B71="ITEM",'Working Sheet'!H71,"")</f>
        <v>0</v>
      </c>
      <c r="J55">
        <f>IF('Working Sheet'!B71="ITEM",'Working Sheet'!I71,"")</f>
        <v>0</v>
      </c>
      <c r="K55">
        <f>IF('Working Sheet'!B71="ITEM",'Working Sheet'!J71,"")</f>
        <v>0</v>
      </c>
      <c r="L55">
        <f>IF('Working Sheet'!B71="ITEM",'Working Sheet'!K71,"")</f>
        <v>0</v>
      </c>
      <c r="M55" s="33">
        <f>IFERROR(Table2[[#This Row],[Value(1000$) 2022]]/Table2[[#This Row],[Volume(1000) 2022]],0)</f>
        <v>0</v>
      </c>
      <c r="N55" s="33">
        <f>IFERROR(Table2[[#This Row],[Value(1000$) 2023]]/Table2[[#This Row],[Volume(1000) 2023]],0)</f>
        <v>0</v>
      </c>
      <c r="O55" s="33">
        <f>IFERROR(Table2[[#This Row],[Value(1000$) 2024]]/Table2[[#This Row],[Volume(1000) 2024]],0)</f>
        <v>0</v>
      </c>
      <c r="P55" s="33">
        <f>SUM(Table2[[#This Row],[Value(1000$) 2022]:[Value(1000$) 2024]])</f>
        <v>0</v>
      </c>
      <c r="Q55" s="33">
        <f>SUM(Table2[[#This Row],[Volume(1000) 2022]:[Volume(1000) 2024]])</f>
        <v>0</v>
      </c>
      <c r="R55" s="33">
        <f>AVERAGE(Table2[[#This Row],[Average Price(2022)]:[Average Price(2024)]])</f>
        <v>0</v>
      </c>
    </row>
    <row r="56" spans="1:18" x14ac:dyDescent="0.3">
      <c r="A56" t="s">
        <v>80</v>
      </c>
      <c r="B56" t="s">
        <v>718</v>
      </c>
      <c r="C56" t="s">
        <v>835</v>
      </c>
      <c r="D56" t="s">
        <v>9</v>
      </c>
      <c r="E56" t="s">
        <v>20</v>
      </c>
      <c r="F56" s="27" t="str">
        <f>IF('Working Sheet'!B72="ITEM",'Working Sheet'!E72,"")</f>
        <v>120</v>
      </c>
      <c r="G56" s="27">
        <f>IF('Working Sheet'!B72="ITEM",'Working Sheet'!F72,"")</f>
        <v>29.590800000000002</v>
      </c>
      <c r="H56" s="27">
        <f>IF('Working Sheet'!B72="ITEM",'Working Sheet'!G72,"")</f>
        <v>20.845300000000002</v>
      </c>
      <c r="I56" s="27">
        <f>IF('Working Sheet'!B72="ITEM",'Working Sheet'!H72,"")</f>
        <v>11.449400000000001</v>
      </c>
      <c r="J56">
        <f>IF('Working Sheet'!B72="ITEM",'Working Sheet'!I72,"")</f>
        <v>1741.4848</v>
      </c>
      <c r="K56">
        <f>IF('Working Sheet'!B72="ITEM",'Working Sheet'!J72,"")</f>
        <v>1127.5655999999999</v>
      </c>
      <c r="L56">
        <f>IF('Working Sheet'!B72="ITEM",'Working Sheet'!K72,"")</f>
        <v>585.96109999999999</v>
      </c>
      <c r="M56" s="33">
        <f>IFERROR(Table2[[#This Row],[Value(1000$) 2022]]/Table2[[#This Row],[Volume(1000) 2022]],0)</f>
        <v>1.6991707306317001E-2</v>
      </c>
      <c r="N56" s="33">
        <f>IFERROR(Table2[[#This Row],[Value(1000$) 2023]]/Table2[[#This Row],[Volume(1000) 2023]],0)</f>
        <v>1.8486995346434835E-2</v>
      </c>
      <c r="O56" s="33">
        <f>IFERROR(Table2[[#This Row],[Value(1000$) 2024]]/Table2[[#This Row],[Volume(1000) 2024]],0)</f>
        <v>1.9539522333479137E-2</v>
      </c>
      <c r="P56" s="33">
        <f>SUM(Table2[[#This Row],[Value(1000$) 2022]:[Value(1000$) 2024]])</f>
        <v>61.885500000000008</v>
      </c>
      <c r="Q56" s="33">
        <f>SUM(Table2[[#This Row],[Volume(1000) 2022]:[Volume(1000) 2024]])</f>
        <v>3455.0115000000001</v>
      </c>
      <c r="R56" s="33">
        <f>AVERAGE(Table2[[#This Row],[Average Price(2022)]:[Average Price(2024)]])</f>
        <v>1.8339408328743659E-2</v>
      </c>
    </row>
    <row r="57" spans="1:18" x14ac:dyDescent="0.3">
      <c r="A57" t="s">
        <v>81</v>
      </c>
      <c r="B57" t="s">
        <v>718</v>
      </c>
      <c r="C57" t="s">
        <v>835</v>
      </c>
      <c r="D57" t="s">
        <v>9</v>
      </c>
      <c r="E57" t="s">
        <v>64</v>
      </c>
      <c r="F57" s="27" t="str">
        <f>IF('Working Sheet'!B73="ITEM",'Working Sheet'!E73,"")</f>
        <v>72</v>
      </c>
      <c r="G57" s="27">
        <f>IF('Working Sheet'!B73="ITEM",'Working Sheet'!F73,"")</f>
        <v>0.72840000000000005</v>
      </c>
      <c r="H57" s="27">
        <f>IF('Working Sheet'!B73="ITEM",'Working Sheet'!G73,"")</f>
        <v>0</v>
      </c>
      <c r="I57" s="27">
        <f>IF('Working Sheet'!B73="ITEM",'Working Sheet'!H73,"")</f>
        <v>0</v>
      </c>
      <c r="J57">
        <f>IF('Working Sheet'!B73="ITEM",'Working Sheet'!I73,"")</f>
        <v>51.0182</v>
      </c>
      <c r="K57">
        <f>IF('Working Sheet'!B73="ITEM",'Working Sheet'!J73,"")</f>
        <v>0</v>
      </c>
      <c r="L57">
        <f>IF('Working Sheet'!B73="ITEM",'Working Sheet'!K73,"")</f>
        <v>0</v>
      </c>
      <c r="M57" s="33">
        <f>IFERROR(Table2[[#This Row],[Value(1000$) 2022]]/Table2[[#This Row],[Volume(1000) 2022]],0)</f>
        <v>1.4277257919722766E-2</v>
      </c>
      <c r="N57" s="33">
        <f>IFERROR(Table2[[#This Row],[Value(1000$) 2023]]/Table2[[#This Row],[Volume(1000) 2023]],0)</f>
        <v>0</v>
      </c>
      <c r="O57" s="33">
        <f>IFERROR(Table2[[#This Row],[Value(1000$) 2024]]/Table2[[#This Row],[Volume(1000) 2024]],0)</f>
        <v>0</v>
      </c>
      <c r="P57" s="33">
        <f>SUM(Table2[[#This Row],[Value(1000$) 2022]:[Value(1000$) 2024]])</f>
        <v>0.72840000000000005</v>
      </c>
      <c r="Q57" s="33">
        <f>SUM(Table2[[#This Row],[Volume(1000) 2022]:[Volume(1000) 2024]])</f>
        <v>51.0182</v>
      </c>
      <c r="R57" s="33">
        <f>AVERAGE(Table2[[#This Row],[Average Price(2022)]:[Average Price(2024)]])</f>
        <v>4.7590859732409225E-3</v>
      </c>
    </row>
    <row r="58" spans="1:18" x14ac:dyDescent="0.3">
      <c r="A58" t="s">
        <v>82</v>
      </c>
      <c r="B58" t="s">
        <v>718</v>
      </c>
      <c r="C58" t="s">
        <v>835</v>
      </c>
      <c r="D58" t="s">
        <v>9</v>
      </c>
      <c r="E58" t="s">
        <v>30</v>
      </c>
      <c r="F58" s="27" t="str">
        <f>IF('Working Sheet'!B74="ITEM",'Working Sheet'!E74,"")</f>
        <v>90</v>
      </c>
      <c r="G58" s="27">
        <f>IF('Working Sheet'!B74="ITEM",'Working Sheet'!F74,"")</f>
        <v>2.0455000000000001</v>
      </c>
      <c r="H58" s="27">
        <f>IF('Working Sheet'!B74="ITEM",'Working Sheet'!G74,"")</f>
        <v>0.30070000000000002</v>
      </c>
      <c r="I58" s="27">
        <f>IF('Working Sheet'!B74="ITEM",'Working Sheet'!H74,"")</f>
        <v>9.6000000000000002E-2</v>
      </c>
      <c r="J58">
        <f>IF('Working Sheet'!B74="ITEM",'Working Sheet'!I74,"")</f>
        <v>81.869600000000005</v>
      </c>
      <c r="K58">
        <f>IF('Working Sheet'!B74="ITEM",'Working Sheet'!J74,"")</f>
        <v>11.870100000000001</v>
      </c>
      <c r="L58">
        <f>IF('Working Sheet'!B74="ITEM",'Working Sheet'!K74,"")</f>
        <v>3.7711999999999999</v>
      </c>
      <c r="M58" s="33">
        <f>IFERROR(Table2[[#This Row],[Value(1000$) 2022]]/Table2[[#This Row],[Volume(1000) 2022]],0)</f>
        <v>2.4984853962887323E-2</v>
      </c>
      <c r="N58" s="33">
        <f>IFERROR(Table2[[#This Row],[Value(1000$) 2023]]/Table2[[#This Row],[Volume(1000) 2023]],0)</f>
        <v>2.5332558276678376E-2</v>
      </c>
      <c r="O58" s="33">
        <f>IFERROR(Table2[[#This Row],[Value(1000$) 2024]]/Table2[[#This Row],[Volume(1000) 2024]],0)</f>
        <v>2.5456088247772592E-2</v>
      </c>
      <c r="P58" s="33">
        <f>SUM(Table2[[#This Row],[Value(1000$) 2022]:[Value(1000$) 2024]])</f>
        <v>2.4422000000000001</v>
      </c>
      <c r="Q58" s="33">
        <f>SUM(Table2[[#This Row],[Volume(1000) 2022]:[Volume(1000) 2024]])</f>
        <v>97.510899999999992</v>
      </c>
      <c r="R58" s="33">
        <f>AVERAGE(Table2[[#This Row],[Average Price(2022)]:[Average Price(2024)]])</f>
        <v>2.5257833495779428E-2</v>
      </c>
    </row>
    <row r="59" spans="1:18" x14ac:dyDescent="0.3">
      <c r="A59" t="s">
        <v>83</v>
      </c>
      <c r="B59" t="s">
        <v>719</v>
      </c>
      <c r="C59" t="s">
        <v>836</v>
      </c>
      <c r="D59" t="s">
        <v>9</v>
      </c>
      <c r="E59" t="s">
        <v>10</v>
      </c>
      <c r="F59" s="27" t="str">
        <f>IF('Working Sheet'!B77="ITEM",'Working Sheet'!E77,"")</f>
        <v>102</v>
      </c>
      <c r="G59" s="27">
        <f>IF('Working Sheet'!B77="ITEM",'Working Sheet'!F77,"")</f>
        <v>0</v>
      </c>
      <c r="H59" s="27">
        <f>IF('Working Sheet'!B77="ITEM",'Working Sheet'!G77,"")</f>
        <v>0</v>
      </c>
      <c r="I59" s="27">
        <f>IF('Working Sheet'!B77="ITEM",'Working Sheet'!H77,"")</f>
        <v>0</v>
      </c>
      <c r="J59">
        <f>IF('Working Sheet'!B77="ITEM",'Working Sheet'!I77,"")</f>
        <v>0</v>
      </c>
      <c r="K59">
        <f>IF('Working Sheet'!B77="ITEM",'Working Sheet'!J77,"")</f>
        <v>0</v>
      </c>
      <c r="L59">
        <f>IF('Working Sheet'!B77="ITEM",'Working Sheet'!K77,"")</f>
        <v>0</v>
      </c>
      <c r="M59" s="33">
        <f>IFERROR(Table2[[#This Row],[Value(1000$) 2022]]/Table2[[#This Row],[Volume(1000) 2022]],0)</f>
        <v>0</v>
      </c>
      <c r="N59" s="33">
        <f>IFERROR(Table2[[#This Row],[Value(1000$) 2023]]/Table2[[#This Row],[Volume(1000) 2023]],0)</f>
        <v>0</v>
      </c>
      <c r="O59" s="33">
        <f>IFERROR(Table2[[#This Row],[Value(1000$) 2024]]/Table2[[#This Row],[Volume(1000) 2024]],0)</f>
        <v>0</v>
      </c>
      <c r="P59" s="33">
        <f>SUM(Table2[[#This Row],[Value(1000$) 2022]:[Value(1000$) 2024]])</f>
        <v>0</v>
      </c>
      <c r="Q59" s="33">
        <f>SUM(Table2[[#This Row],[Volume(1000) 2022]:[Volume(1000) 2024]])</f>
        <v>0</v>
      </c>
      <c r="R59" s="33">
        <f>AVERAGE(Table2[[#This Row],[Average Price(2022)]:[Average Price(2024)]])</f>
        <v>0</v>
      </c>
    </row>
    <row r="60" spans="1:18" x14ac:dyDescent="0.3">
      <c r="A60" t="s">
        <v>85</v>
      </c>
      <c r="B60" t="s">
        <v>719</v>
      </c>
      <c r="C60" t="s">
        <v>837</v>
      </c>
      <c r="D60" t="s">
        <v>9</v>
      </c>
      <c r="E60" t="s">
        <v>10</v>
      </c>
      <c r="F60" s="27" t="str">
        <f>IF('Working Sheet'!B79="ITEM",'Working Sheet'!E79,"")</f>
        <v>120</v>
      </c>
      <c r="G60" s="27">
        <f>IF('Working Sheet'!B79="ITEM",'Working Sheet'!F79,"")</f>
        <v>1.0717000000000001</v>
      </c>
      <c r="H60" s="27">
        <f>IF('Working Sheet'!B79="ITEM",'Working Sheet'!G79,"")</f>
        <v>1.6845000000000001</v>
      </c>
      <c r="I60" s="27">
        <f>IF('Working Sheet'!B79="ITEM",'Working Sheet'!H79,"")</f>
        <v>0.2092</v>
      </c>
      <c r="J60">
        <f>IF('Working Sheet'!B79="ITEM",'Working Sheet'!I79,"")</f>
        <v>53.428199999999997</v>
      </c>
      <c r="K60">
        <f>IF('Working Sheet'!B79="ITEM",'Working Sheet'!J79,"")</f>
        <v>83.401399999999995</v>
      </c>
      <c r="L60">
        <f>IF('Working Sheet'!B79="ITEM",'Working Sheet'!K79,"")</f>
        <v>9.5612999999999992</v>
      </c>
      <c r="M60" s="33">
        <f>IFERROR(Table2[[#This Row],[Value(1000$) 2022]]/Table2[[#This Row],[Volume(1000) 2022]],0)</f>
        <v>2.0058695595210022E-2</v>
      </c>
      <c r="N60" s="33">
        <f>IFERROR(Table2[[#This Row],[Value(1000$) 2023]]/Table2[[#This Row],[Volume(1000) 2023]],0)</f>
        <v>2.0197502679811134E-2</v>
      </c>
      <c r="O60" s="33">
        <f>IFERROR(Table2[[#This Row],[Value(1000$) 2024]]/Table2[[#This Row],[Volume(1000) 2024]],0)</f>
        <v>2.1879869892169477E-2</v>
      </c>
      <c r="P60" s="33">
        <f>SUM(Table2[[#This Row],[Value(1000$) 2022]:[Value(1000$) 2024]])</f>
        <v>2.9654000000000003</v>
      </c>
      <c r="Q60" s="33">
        <f>SUM(Table2[[#This Row],[Volume(1000) 2022]:[Volume(1000) 2024]])</f>
        <v>146.39089999999999</v>
      </c>
      <c r="R60" s="33">
        <f>AVERAGE(Table2[[#This Row],[Average Price(2022)]:[Average Price(2024)]])</f>
        <v>2.0712022722396875E-2</v>
      </c>
    </row>
    <row r="61" spans="1:18" x14ac:dyDescent="0.3">
      <c r="A61" t="s">
        <v>86</v>
      </c>
      <c r="B61" t="s">
        <v>719</v>
      </c>
      <c r="C61" t="s">
        <v>837</v>
      </c>
      <c r="D61" t="s">
        <v>9</v>
      </c>
      <c r="E61" t="s">
        <v>10</v>
      </c>
      <c r="F61" s="27" t="str">
        <f>IF('Working Sheet'!B80="ITEM",'Working Sheet'!E80,"")</f>
        <v>72</v>
      </c>
      <c r="G61" s="27">
        <f>IF('Working Sheet'!B80="ITEM",'Working Sheet'!F80,"")</f>
        <v>0.46760000000000002</v>
      </c>
      <c r="H61" s="27">
        <f>IF('Working Sheet'!B80="ITEM",'Working Sheet'!G80,"")</f>
        <v>0.37340000000000001</v>
      </c>
      <c r="I61" s="27">
        <f>IF('Working Sheet'!B80="ITEM",'Working Sheet'!H80,"")</f>
        <v>0.47289999999999999</v>
      </c>
      <c r="J61">
        <f>IF('Working Sheet'!B80="ITEM",'Working Sheet'!I80,"")</f>
        <v>17.929200000000002</v>
      </c>
      <c r="K61">
        <f>IF('Working Sheet'!B80="ITEM",'Working Sheet'!J80,"")</f>
        <v>13.441700000000001</v>
      </c>
      <c r="L61">
        <f>IF('Working Sheet'!B80="ITEM",'Working Sheet'!K80,"")</f>
        <v>18.149699999999999</v>
      </c>
      <c r="M61" s="33">
        <f>IFERROR(Table2[[#This Row],[Value(1000$) 2022]]/Table2[[#This Row],[Volume(1000) 2022]],0)</f>
        <v>2.60803605291926E-2</v>
      </c>
      <c r="N61" s="33">
        <f>IFERROR(Table2[[#This Row],[Value(1000$) 2023]]/Table2[[#This Row],[Volume(1000) 2023]],0)</f>
        <v>2.7779224354062357E-2</v>
      </c>
      <c r="O61" s="33">
        <f>IFERROR(Table2[[#This Row],[Value(1000$) 2024]]/Table2[[#This Row],[Volume(1000) 2024]],0)</f>
        <v>2.6055527088602017E-2</v>
      </c>
      <c r="P61" s="33">
        <f>SUM(Table2[[#This Row],[Value(1000$) 2022]:[Value(1000$) 2024]])</f>
        <v>1.3138999999999998</v>
      </c>
      <c r="Q61" s="33">
        <f>SUM(Table2[[#This Row],[Volume(1000) 2022]:[Volume(1000) 2024]])</f>
        <v>49.520600000000002</v>
      </c>
      <c r="R61" s="33">
        <f>AVERAGE(Table2[[#This Row],[Average Price(2022)]:[Average Price(2024)]])</f>
        <v>2.6638370657285654E-2</v>
      </c>
    </row>
    <row r="62" spans="1:18" x14ac:dyDescent="0.3">
      <c r="A62" t="s">
        <v>87</v>
      </c>
      <c r="B62" t="s">
        <v>720</v>
      </c>
      <c r="C62" t="s">
        <v>838</v>
      </c>
      <c r="D62" t="s">
        <v>9</v>
      </c>
      <c r="E62" t="s">
        <v>10</v>
      </c>
      <c r="F62" s="27" t="str">
        <f>IF('Working Sheet'!B83="ITEM",'Working Sheet'!E83,"")</f>
        <v>20</v>
      </c>
      <c r="G62" s="27">
        <f>IF('Working Sheet'!B83="ITEM",'Working Sheet'!F83,"")</f>
        <v>4.4499999999999998E-2</v>
      </c>
      <c r="H62" s="27">
        <f>IF('Working Sheet'!B83="ITEM",'Working Sheet'!G83,"")</f>
        <v>6.2E-2</v>
      </c>
      <c r="I62" s="27">
        <f>IF('Working Sheet'!B83="ITEM",'Working Sheet'!H83,"")</f>
        <v>0</v>
      </c>
      <c r="J62">
        <f>IF('Working Sheet'!B83="ITEM",'Working Sheet'!I83,"")</f>
        <v>0.36759999999999998</v>
      </c>
      <c r="K62">
        <f>IF('Working Sheet'!B83="ITEM",'Working Sheet'!J83,"")</f>
        <v>0.48380000000000001</v>
      </c>
      <c r="L62">
        <f>IF('Working Sheet'!B83="ITEM",'Working Sheet'!K83,"")</f>
        <v>0</v>
      </c>
      <c r="M62" s="33">
        <f>IFERROR(Table2[[#This Row],[Value(1000$) 2022]]/Table2[[#This Row],[Volume(1000) 2022]],0)</f>
        <v>0.12105549510337323</v>
      </c>
      <c r="N62" s="33">
        <f>IFERROR(Table2[[#This Row],[Value(1000$) 2023]]/Table2[[#This Row],[Volume(1000) 2023]],0)</f>
        <v>0.1281521289789169</v>
      </c>
      <c r="O62" s="33">
        <f>IFERROR(Table2[[#This Row],[Value(1000$) 2024]]/Table2[[#This Row],[Volume(1000) 2024]],0)</f>
        <v>0</v>
      </c>
      <c r="P62" s="33">
        <f>SUM(Table2[[#This Row],[Value(1000$) 2022]:[Value(1000$) 2024]])</f>
        <v>0.1065</v>
      </c>
      <c r="Q62" s="33">
        <f>SUM(Table2[[#This Row],[Volume(1000) 2022]:[Volume(1000) 2024]])</f>
        <v>0.85139999999999993</v>
      </c>
      <c r="R62" s="33">
        <f>AVERAGE(Table2[[#This Row],[Average Price(2022)]:[Average Price(2024)]])</f>
        <v>8.306920802743005E-2</v>
      </c>
    </row>
    <row r="63" spans="1:18" x14ac:dyDescent="0.3">
      <c r="A63" t="s">
        <v>89</v>
      </c>
      <c r="B63" t="s">
        <v>721</v>
      </c>
      <c r="C63" t="s">
        <v>839</v>
      </c>
      <c r="D63" t="s">
        <v>9</v>
      </c>
      <c r="E63" t="s">
        <v>20</v>
      </c>
      <c r="F63" s="27" t="str">
        <f>IF('Working Sheet'!B86="ITEM",'Working Sheet'!E86,"")</f>
        <v>72</v>
      </c>
      <c r="G63" s="27">
        <f>IF('Working Sheet'!B86="ITEM",'Working Sheet'!F86,"")</f>
        <v>0</v>
      </c>
      <c r="H63" s="27">
        <f>IF('Working Sheet'!B86="ITEM",'Working Sheet'!G86,"")</f>
        <v>0</v>
      </c>
      <c r="I63" s="27">
        <f>IF('Working Sheet'!B86="ITEM",'Working Sheet'!H86,"")</f>
        <v>0</v>
      </c>
      <c r="J63">
        <f>IF('Working Sheet'!B86="ITEM",'Working Sheet'!I86,"")</f>
        <v>0</v>
      </c>
      <c r="K63">
        <f>IF('Working Sheet'!B86="ITEM",'Working Sheet'!J86,"")</f>
        <v>0</v>
      </c>
      <c r="L63">
        <f>IF('Working Sheet'!B86="ITEM",'Working Sheet'!K86,"")</f>
        <v>0</v>
      </c>
      <c r="M63" s="33">
        <f>IFERROR(Table2[[#This Row],[Value(1000$) 2022]]/Table2[[#This Row],[Volume(1000) 2022]],0)</f>
        <v>0</v>
      </c>
      <c r="N63" s="33">
        <f>IFERROR(Table2[[#This Row],[Value(1000$) 2023]]/Table2[[#This Row],[Volume(1000) 2023]],0)</f>
        <v>0</v>
      </c>
      <c r="O63" s="33">
        <f>IFERROR(Table2[[#This Row],[Value(1000$) 2024]]/Table2[[#This Row],[Volume(1000) 2024]],0)</f>
        <v>0</v>
      </c>
      <c r="P63" s="33">
        <f>SUM(Table2[[#This Row],[Value(1000$) 2022]:[Value(1000$) 2024]])</f>
        <v>0</v>
      </c>
      <c r="Q63" s="33">
        <f>SUM(Table2[[#This Row],[Volume(1000) 2022]:[Volume(1000) 2024]])</f>
        <v>0</v>
      </c>
      <c r="R63" s="33">
        <f>AVERAGE(Table2[[#This Row],[Average Price(2022)]:[Average Price(2024)]])</f>
        <v>0</v>
      </c>
    </row>
    <row r="64" spans="1:18" x14ac:dyDescent="0.3">
      <c r="A64" t="s">
        <v>90</v>
      </c>
      <c r="B64" t="s">
        <v>721</v>
      </c>
      <c r="C64" t="s">
        <v>839</v>
      </c>
      <c r="D64" t="s">
        <v>9</v>
      </c>
      <c r="E64" t="s">
        <v>10</v>
      </c>
      <c r="F64" s="27" t="str">
        <f>IF('Working Sheet'!B87="ITEM",'Working Sheet'!E87,"")</f>
        <v>72</v>
      </c>
      <c r="G64" s="27">
        <f>IF('Working Sheet'!B87="ITEM",'Working Sheet'!F87,"")</f>
        <v>3.3401000000000001</v>
      </c>
      <c r="H64" s="27">
        <f>IF('Working Sheet'!B87="ITEM",'Working Sheet'!G87,"")</f>
        <v>5.1974</v>
      </c>
      <c r="I64" s="27">
        <f>IF('Working Sheet'!B87="ITEM",'Working Sheet'!H87,"")</f>
        <v>3.7094999999999998</v>
      </c>
      <c r="J64">
        <f>IF('Working Sheet'!B87="ITEM",'Working Sheet'!I87,"")</f>
        <v>168.65979999999999</v>
      </c>
      <c r="K64">
        <f>IF('Working Sheet'!B87="ITEM",'Working Sheet'!J87,"")</f>
        <v>278.62639999999999</v>
      </c>
      <c r="L64">
        <f>IF('Working Sheet'!B87="ITEM",'Working Sheet'!K87,"")</f>
        <v>222.0746</v>
      </c>
      <c r="M64" s="33">
        <f>IFERROR(Table2[[#This Row],[Value(1000$) 2022]]/Table2[[#This Row],[Volume(1000) 2022]],0)</f>
        <v>1.9803770667343377E-2</v>
      </c>
      <c r="N64" s="33">
        <f>IFERROR(Table2[[#This Row],[Value(1000$) 2023]]/Table2[[#This Row],[Volume(1000) 2023]],0)</f>
        <v>1.865365234593707E-2</v>
      </c>
      <c r="O64" s="33">
        <f>IFERROR(Table2[[#This Row],[Value(1000$) 2024]]/Table2[[#This Row],[Volume(1000) 2024]],0)</f>
        <v>1.670384636514036E-2</v>
      </c>
      <c r="P64" s="33">
        <f>SUM(Table2[[#This Row],[Value(1000$) 2022]:[Value(1000$) 2024]])</f>
        <v>12.247</v>
      </c>
      <c r="Q64" s="33">
        <f>SUM(Table2[[#This Row],[Volume(1000) 2022]:[Volume(1000) 2024]])</f>
        <v>669.36080000000004</v>
      </c>
      <c r="R64" s="33">
        <f>AVERAGE(Table2[[#This Row],[Average Price(2022)]:[Average Price(2024)]])</f>
        <v>1.8387089792806937E-2</v>
      </c>
    </row>
    <row r="65" spans="1:18" x14ac:dyDescent="0.3">
      <c r="A65" t="s">
        <v>91</v>
      </c>
      <c r="B65" t="s">
        <v>721</v>
      </c>
      <c r="C65" t="s">
        <v>840</v>
      </c>
      <c r="D65" t="s">
        <v>9</v>
      </c>
      <c r="E65" t="s">
        <v>30</v>
      </c>
      <c r="F65" s="27" t="str">
        <f>IF('Working Sheet'!B89="ITEM",'Working Sheet'!E89,"")</f>
        <v>120</v>
      </c>
      <c r="G65" s="27">
        <f>IF('Working Sheet'!B89="ITEM",'Working Sheet'!F89,"")</f>
        <v>1.2582</v>
      </c>
      <c r="H65" s="27">
        <f>IF('Working Sheet'!B89="ITEM",'Working Sheet'!G89,"")</f>
        <v>4.4390999999999998</v>
      </c>
      <c r="I65" s="27">
        <f>IF('Working Sheet'!B89="ITEM",'Working Sheet'!H89,"")</f>
        <v>0.70909999999999995</v>
      </c>
      <c r="J65">
        <f>IF('Working Sheet'!B89="ITEM",'Working Sheet'!I89,"")</f>
        <v>67.526600000000002</v>
      </c>
      <c r="K65">
        <f>IF('Working Sheet'!B89="ITEM",'Working Sheet'!J89,"")</f>
        <v>226.15649999999999</v>
      </c>
      <c r="L65">
        <f>IF('Working Sheet'!B89="ITEM",'Working Sheet'!K89,"")</f>
        <v>33.759099999999997</v>
      </c>
      <c r="M65" s="33">
        <f>IFERROR(Table2[[#This Row],[Value(1000$) 2022]]/Table2[[#This Row],[Volume(1000) 2022]],0)</f>
        <v>1.8632657352806153E-2</v>
      </c>
      <c r="N65" s="33">
        <f>IFERROR(Table2[[#This Row],[Value(1000$) 2023]]/Table2[[#This Row],[Volume(1000) 2023]],0)</f>
        <v>1.9628443135616267E-2</v>
      </c>
      <c r="O65" s="33">
        <f>IFERROR(Table2[[#This Row],[Value(1000$) 2024]]/Table2[[#This Row],[Volume(1000) 2024]],0)</f>
        <v>2.1004706879034097E-2</v>
      </c>
      <c r="P65" s="33">
        <f>SUM(Table2[[#This Row],[Value(1000$) 2022]:[Value(1000$) 2024]])</f>
        <v>6.4064000000000005</v>
      </c>
      <c r="Q65" s="33">
        <f>SUM(Table2[[#This Row],[Volume(1000) 2022]:[Volume(1000) 2024]])</f>
        <v>327.44219999999996</v>
      </c>
      <c r="R65" s="33">
        <f>AVERAGE(Table2[[#This Row],[Average Price(2022)]:[Average Price(2024)]])</f>
        <v>1.9755269122485503E-2</v>
      </c>
    </row>
    <row r="66" spans="1:18" x14ac:dyDescent="0.3">
      <c r="A66" t="s">
        <v>92</v>
      </c>
      <c r="B66" t="s">
        <v>721</v>
      </c>
      <c r="C66" t="s">
        <v>840</v>
      </c>
      <c r="D66" t="s">
        <v>9</v>
      </c>
      <c r="E66" t="s">
        <v>30</v>
      </c>
      <c r="F66" s="27" t="str">
        <f>IF('Working Sheet'!B90="ITEM",'Working Sheet'!E90,"")</f>
        <v>120</v>
      </c>
      <c r="G66" s="27">
        <f>IF('Working Sheet'!B90="ITEM",'Working Sheet'!F90,"")</f>
        <v>4.5986000000000002</v>
      </c>
      <c r="H66" s="27">
        <f>IF('Working Sheet'!B90="ITEM",'Working Sheet'!G90,"")</f>
        <v>6.1303000000000001</v>
      </c>
      <c r="I66" s="27">
        <f>IF('Working Sheet'!B90="ITEM",'Working Sheet'!H90,"")</f>
        <v>2.8555999999999999</v>
      </c>
      <c r="J66">
        <f>IF('Working Sheet'!B90="ITEM",'Working Sheet'!I90,"")</f>
        <v>228.69929999999999</v>
      </c>
      <c r="K66">
        <f>IF('Working Sheet'!B90="ITEM",'Working Sheet'!J90,"")</f>
        <v>310.51369999999997</v>
      </c>
      <c r="L66">
        <f>IF('Working Sheet'!B90="ITEM",'Working Sheet'!K90,"")</f>
        <v>123.6022</v>
      </c>
      <c r="M66" s="33">
        <f>IFERROR(Table2[[#This Row],[Value(1000$) 2022]]/Table2[[#This Row],[Volume(1000) 2022]],0)</f>
        <v>2.0107626039957274E-2</v>
      </c>
      <c r="N66" s="33">
        <f>IFERROR(Table2[[#This Row],[Value(1000$) 2023]]/Table2[[#This Row],[Volume(1000) 2023]],0)</f>
        <v>1.9742446146498529E-2</v>
      </c>
      <c r="O66" s="33">
        <f>IFERROR(Table2[[#This Row],[Value(1000$) 2024]]/Table2[[#This Row],[Volume(1000) 2024]],0)</f>
        <v>2.3103148649457696E-2</v>
      </c>
      <c r="P66" s="33">
        <f>SUM(Table2[[#This Row],[Value(1000$) 2022]:[Value(1000$) 2024]])</f>
        <v>13.584499999999998</v>
      </c>
      <c r="Q66" s="33">
        <f>SUM(Table2[[#This Row],[Volume(1000) 2022]:[Volume(1000) 2024]])</f>
        <v>662.8152</v>
      </c>
      <c r="R66" s="33">
        <f>AVERAGE(Table2[[#This Row],[Average Price(2022)]:[Average Price(2024)]])</f>
        <v>2.0984406945304498E-2</v>
      </c>
    </row>
    <row r="67" spans="1:18" x14ac:dyDescent="0.3">
      <c r="A67" t="s">
        <v>93</v>
      </c>
      <c r="B67" t="s">
        <v>721</v>
      </c>
      <c r="C67" t="s">
        <v>840</v>
      </c>
      <c r="D67" t="s">
        <v>9</v>
      </c>
      <c r="E67" t="s">
        <v>30</v>
      </c>
      <c r="F67" s="27" t="str">
        <f>IF('Working Sheet'!B91="ITEM",'Working Sheet'!E91,"")</f>
        <v>72</v>
      </c>
      <c r="G67" s="27">
        <f>IF('Working Sheet'!B91="ITEM",'Working Sheet'!F91,"")</f>
        <v>0.94640000000000002</v>
      </c>
      <c r="H67" s="27">
        <f>IF('Working Sheet'!B91="ITEM",'Working Sheet'!G91,"")</f>
        <v>1.6005</v>
      </c>
      <c r="I67" s="27">
        <f>IF('Working Sheet'!B91="ITEM",'Working Sheet'!H91,"")</f>
        <v>1.0179</v>
      </c>
      <c r="J67">
        <f>IF('Working Sheet'!B91="ITEM",'Working Sheet'!I91,"")</f>
        <v>54.868499999999997</v>
      </c>
      <c r="K67">
        <f>IF('Working Sheet'!B91="ITEM",'Working Sheet'!J91,"")</f>
        <v>87.027500000000003</v>
      </c>
      <c r="L67">
        <f>IF('Working Sheet'!B91="ITEM",'Working Sheet'!K91,"")</f>
        <v>38.080399999999997</v>
      </c>
      <c r="M67" s="33">
        <f>IFERROR(Table2[[#This Row],[Value(1000$) 2022]]/Table2[[#This Row],[Volume(1000) 2022]],0)</f>
        <v>1.7248512352260405E-2</v>
      </c>
      <c r="N67" s="33">
        <f>IFERROR(Table2[[#This Row],[Value(1000$) 2023]]/Table2[[#This Row],[Volume(1000) 2023]],0)</f>
        <v>1.8390738559650684E-2</v>
      </c>
      <c r="O67" s="33">
        <f>IFERROR(Table2[[#This Row],[Value(1000$) 2024]]/Table2[[#This Row],[Volume(1000) 2024]],0)</f>
        <v>2.6730286446570942E-2</v>
      </c>
      <c r="P67" s="33">
        <f>SUM(Table2[[#This Row],[Value(1000$) 2022]:[Value(1000$) 2024]])</f>
        <v>3.5648</v>
      </c>
      <c r="Q67" s="33">
        <f>SUM(Table2[[#This Row],[Volume(1000) 2022]:[Volume(1000) 2024]])</f>
        <v>179.97640000000001</v>
      </c>
      <c r="R67" s="33">
        <f>AVERAGE(Table2[[#This Row],[Average Price(2022)]:[Average Price(2024)]])</f>
        <v>2.0789845786160676E-2</v>
      </c>
    </row>
    <row r="68" spans="1:18" x14ac:dyDescent="0.3">
      <c r="A68" t="s">
        <v>94</v>
      </c>
      <c r="B68" t="s">
        <v>721</v>
      </c>
      <c r="C68" t="s">
        <v>840</v>
      </c>
      <c r="D68" t="s">
        <v>9</v>
      </c>
      <c r="E68" t="s">
        <v>20</v>
      </c>
      <c r="F68" s="27" t="str">
        <f>IF('Working Sheet'!B92="ITEM",'Working Sheet'!E92,"")</f>
        <v>72</v>
      </c>
      <c r="G68" s="27">
        <f>IF('Working Sheet'!B92="ITEM",'Working Sheet'!F92,"")</f>
        <v>1.8199000000000001</v>
      </c>
      <c r="H68" s="27">
        <f>IF('Working Sheet'!B92="ITEM",'Working Sheet'!G92,"")</f>
        <v>0.76910000000000001</v>
      </c>
      <c r="I68" s="27">
        <f>IF('Working Sheet'!B92="ITEM",'Working Sheet'!H92,"")</f>
        <v>0.73480000000000001</v>
      </c>
      <c r="J68">
        <f>IF('Working Sheet'!B92="ITEM",'Working Sheet'!I92,"")</f>
        <v>83.522300000000001</v>
      </c>
      <c r="K68">
        <f>IF('Working Sheet'!B92="ITEM",'Working Sheet'!J92,"")</f>
        <v>35.127499999999998</v>
      </c>
      <c r="L68">
        <f>IF('Working Sheet'!B92="ITEM",'Working Sheet'!K92,"")</f>
        <v>37.258200000000002</v>
      </c>
      <c r="M68" s="33">
        <f>IFERROR(Table2[[#This Row],[Value(1000$) 2022]]/Table2[[#This Row],[Volume(1000) 2022]],0)</f>
        <v>2.1789390378377991E-2</v>
      </c>
      <c r="N68" s="33">
        <f>IFERROR(Table2[[#This Row],[Value(1000$) 2023]]/Table2[[#This Row],[Volume(1000) 2023]],0)</f>
        <v>2.1894527079923138E-2</v>
      </c>
      <c r="O68" s="33">
        <f>IFERROR(Table2[[#This Row],[Value(1000$) 2024]]/Table2[[#This Row],[Volume(1000) 2024]],0)</f>
        <v>1.9721833046148229E-2</v>
      </c>
      <c r="P68" s="33">
        <f>SUM(Table2[[#This Row],[Value(1000$) 2022]:[Value(1000$) 2024]])</f>
        <v>3.3237999999999999</v>
      </c>
      <c r="Q68" s="33">
        <f>SUM(Table2[[#This Row],[Volume(1000) 2022]:[Volume(1000) 2024]])</f>
        <v>155.90800000000002</v>
      </c>
      <c r="R68" s="33">
        <f>AVERAGE(Table2[[#This Row],[Average Price(2022)]:[Average Price(2024)]])</f>
        <v>2.1135250168149784E-2</v>
      </c>
    </row>
    <row r="69" spans="1:18" x14ac:dyDescent="0.3">
      <c r="A69" t="s">
        <v>95</v>
      </c>
      <c r="B69" t="s">
        <v>722</v>
      </c>
      <c r="C69" t="s">
        <v>841</v>
      </c>
      <c r="D69" t="s">
        <v>9</v>
      </c>
      <c r="E69" t="s">
        <v>30</v>
      </c>
      <c r="F69" s="27" t="str">
        <f>IF('Working Sheet'!B95="ITEM",'Working Sheet'!E95,"")</f>
        <v>120</v>
      </c>
      <c r="G69" s="27">
        <f>IF('Working Sheet'!B95="ITEM",'Working Sheet'!F95,"")</f>
        <v>0</v>
      </c>
      <c r="H69" s="27">
        <f>IF('Working Sheet'!B95="ITEM",'Working Sheet'!G95,"")</f>
        <v>10.5616</v>
      </c>
      <c r="I69" s="27">
        <f>IF('Working Sheet'!B95="ITEM",'Working Sheet'!H95,"")</f>
        <v>42.6479</v>
      </c>
      <c r="J69">
        <f>IF('Working Sheet'!B95="ITEM",'Working Sheet'!I95,"")</f>
        <v>0</v>
      </c>
      <c r="K69">
        <f>IF('Working Sheet'!B95="ITEM",'Working Sheet'!J95,"")</f>
        <v>483.39569999999998</v>
      </c>
      <c r="L69">
        <f>IF('Working Sheet'!B95="ITEM",'Working Sheet'!K95,"")</f>
        <v>1689.356</v>
      </c>
      <c r="M69" s="33">
        <f>IFERROR(Table2[[#This Row],[Value(1000$) 2022]]/Table2[[#This Row],[Volume(1000) 2022]],0)</f>
        <v>0</v>
      </c>
      <c r="N69" s="33">
        <f>IFERROR(Table2[[#This Row],[Value(1000$) 2023]]/Table2[[#This Row],[Volume(1000) 2023]],0)</f>
        <v>2.1848766962552627E-2</v>
      </c>
      <c r="O69" s="33">
        <f>IFERROR(Table2[[#This Row],[Value(1000$) 2024]]/Table2[[#This Row],[Volume(1000) 2024]],0)</f>
        <v>2.5245063799459677E-2</v>
      </c>
      <c r="P69" s="33">
        <f>SUM(Table2[[#This Row],[Value(1000$) 2022]:[Value(1000$) 2024]])</f>
        <v>53.209499999999998</v>
      </c>
      <c r="Q69" s="33">
        <f>SUM(Table2[[#This Row],[Volume(1000) 2022]:[Volume(1000) 2024]])</f>
        <v>2172.7516999999998</v>
      </c>
      <c r="R69" s="33">
        <f>AVERAGE(Table2[[#This Row],[Average Price(2022)]:[Average Price(2024)]])</f>
        <v>1.5697943587337435E-2</v>
      </c>
    </row>
    <row r="70" spans="1:18" x14ac:dyDescent="0.3">
      <c r="A70" t="s">
        <v>96</v>
      </c>
      <c r="B70" t="s">
        <v>722</v>
      </c>
      <c r="C70" t="s">
        <v>841</v>
      </c>
      <c r="D70" t="s">
        <v>9</v>
      </c>
      <c r="E70" t="s">
        <v>30</v>
      </c>
      <c r="F70" s="27" t="str">
        <f>IF('Working Sheet'!B96="ITEM",'Working Sheet'!E96,"")</f>
        <v>50</v>
      </c>
      <c r="G70" s="27">
        <f>IF('Working Sheet'!B96="ITEM",'Working Sheet'!F96,"")</f>
        <v>0</v>
      </c>
      <c r="H70" s="27">
        <f>IF('Working Sheet'!B96="ITEM",'Working Sheet'!G96,"")</f>
        <v>2.0855999999999999</v>
      </c>
      <c r="I70" s="27">
        <f>IF('Working Sheet'!B96="ITEM",'Working Sheet'!H96,"")</f>
        <v>2.5316000000000001</v>
      </c>
      <c r="J70">
        <f>IF('Working Sheet'!B96="ITEM",'Working Sheet'!I96,"")</f>
        <v>0</v>
      </c>
      <c r="K70">
        <f>IF('Working Sheet'!B96="ITEM",'Working Sheet'!J96,"")</f>
        <v>61.262700000000002</v>
      </c>
      <c r="L70">
        <f>IF('Working Sheet'!B96="ITEM",'Working Sheet'!K96,"")</f>
        <v>71.165300000000002</v>
      </c>
      <c r="M70" s="33">
        <f>IFERROR(Table2[[#This Row],[Value(1000$) 2022]]/Table2[[#This Row],[Volume(1000) 2022]],0)</f>
        <v>0</v>
      </c>
      <c r="N70" s="33">
        <f>IFERROR(Table2[[#This Row],[Value(1000$) 2023]]/Table2[[#This Row],[Volume(1000) 2023]],0)</f>
        <v>3.4043553418311626E-2</v>
      </c>
      <c r="O70" s="33">
        <f>IFERROR(Table2[[#This Row],[Value(1000$) 2024]]/Table2[[#This Row],[Volume(1000) 2024]],0)</f>
        <v>3.557351686847382E-2</v>
      </c>
      <c r="P70" s="33">
        <f>SUM(Table2[[#This Row],[Value(1000$) 2022]:[Value(1000$) 2024]])</f>
        <v>4.6172000000000004</v>
      </c>
      <c r="Q70" s="33">
        <f>SUM(Table2[[#This Row],[Volume(1000) 2022]:[Volume(1000) 2024]])</f>
        <v>132.428</v>
      </c>
      <c r="R70" s="33">
        <f>AVERAGE(Table2[[#This Row],[Average Price(2022)]:[Average Price(2024)]])</f>
        <v>2.3205690095595147E-2</v>
      </c>
    </row>
    <row r="71" spans="1:18" x14ac:dyDescent="0.3">
      <c r="A71" t="s">
        <v>97</v>
      </c>
      <c r="B71" t="s">
        <v>722</v>
      </c>
      <c r="C71" t="s">
        <v>841</v>
      </c>
      <c r="D71" t="s">
        <v>9</v>
      </c>
      <c r="E71" t="s">
        <v>30</v>
      </c>
      <c r="F71" s="27" t="str">
        <f>IF('Working Sheet'!B97="ITEM",'Working Sheet'!E97,"")</f>
        <v>72</v>
      </c>
      <c r="G71" s="27">
        <f>IF('Working Sheet'!B97="ITEM",'Working Sheet'!F97,"")</f>
        <v>0</v>
      </c>
      <c r="H71" s="27">
        <f>IF('Working Sheet'!B97="ITEM",'Working Sheet'!G97,"")</f>
        <v>0.54479999999999995</v>
      </c>
      <c r="I71" s="27">
        <f>IF('Working Sheet'!B97="ITEM",'Working Sheet'!H97,"")</f>
        <v>7.6315999999999997</v>
      </c>
      <c r="J71">
        <f>IF('Working Sheet'!B97="ITEM",'Working Sheet'!I97,"")</f>
        <v>0</v>
      </c>
      <c r="K71">
        <f>IF('Working Sheet'!B97="ITEM",'Working Sheet'!J97,"")</f>
        <v>20.880700000000001</v>
      </c>
      <c r="L71">
        <f>IF('Working Sheet'!B97="ITEM",'Working Sheet'!K97,"")</f>
        <v>330.70479999999998</v>
      </c>
      <c r="M71" s="33">
        <f>IFERROR(Table2[[#This Row],[Value(1000$) 2022]]/Table2[[#This Row],[Volume(1000) 2022]],0)</f>
        <v>0</v>
      </c>
      <c r="N71" s="33">
        <f>IFERROR(Table2[[#This Row],[Value(1000$) 2023]]/Table2[[#This Row],[Volume(1000) 2023]],0)</f>
        <v>2.6091079322053377E-2</v>
      </c>
      <c r="O71" s="33">
        <f>IFERROR(Table2[[#This Row],[Value(1000$) 2024]]/Table2[[#This Row],[Volume(1000) 2024]],0)</f>
        <v>2.3076774210716022E-2</v>
      </c>
      <c r="P71" s="33">
        <f>SUM(Table2[[#This Row],[Value(1000$) 2022]:[Value(1000$) 2024]])</f>
        <v>8.1763999999999992</v>
      </c>
      <c r="Q71" s="33">
        <f>SUM(Table2[[#This Row],[Volume(1000) 2022]:[Volume(1000) 2024]])</f>
        <v>351.58549999999997</v>
      </c>
      <c r="R71" s="33">
        <f>AVERAGE(Table2[[#This Row],[Average Price(2022)]:[Average Price(2024)]])</f>
        <v>1.6389284510923131E-2</v>
      </c>
    </row>
    <row r="72" spans="1:18" x14ac:dyDescent="0.3">
      <c r="A72" t="s">
        <v>98</v>
      </c>
      <c r="B72" t="s">
        <v>723</v>
      </c>
      <c r="C72" t="s">
        <v>842</v>
      </c>
      <c r="D72" t="s">
        <v>9</v>
      </c>
      <c r="E72" t="s">
        <v>64</v>
      </c>
      <c r="F72" s="27" t="str">
        <f>IF('Working Sheet'!B100="ITEM",'Working Sheet'!E100,"")</f>
        <v>60</v>
      </c>
      <c r="G72" s="27">
        <f>IF('Working Sheet'!B100="ITEM",'Working Sheet'!F100,"")</f>
        <v>0</v>
      </c>
      <c r="H72" s="27">
        <f>IF('Working Sheet'!B100="ITEM",'Working Sheet'!G100,"")</f>
        <v>1.5012000000000001</v>
      </c>
      <c r="I72" s="27">
        <f>IF('Working Sheet'!B100="ITEM",'Working Sheet'!H100,"")</f>
        <v>0.18310000000000001</v>
      </c>
      <c r="J72">
        <f>IF('Working Sheet'!B100="ITEM",'Working Sheet'!I100,"")</f>
        <v>0</v>
      </c>
      <c r="K72">
        <f>IF('Working Sheet'!B100="ITEM",'Working Sheet'!J100,"")</f>
        <v>36.194499999999998</v>
      </c>
      <c r="L72">
        <f>IF('Working Sheet'!B100="ITEM",'Working Sheet'!K100,"")</f>
        <v>4.9927999999999999</v>
      </c>
      <c r="M72" s="33">
        <f>IFERROR(Table2[[#This Row],[Value(1000$) 2022]]/Table2[[#This Row],[Volume(1000) 2022]],0)</f>
        <v>0</v>
      </c>
      <c r="N72" s="33">
        <f>IFERROR(Table2[[#This Row],[Value(1000$) 2023]]/Table2[[#This Row],[Volume(1000) 2023]],0)</f>
        <v>4.1475914848941142E-2</v>
      </c>
      <c r="O72" s="33">
        <f>IFERROR(Table2[[#This Row],[Value(1000$) 2024]]/Table2[[#This Row],[Volume(1000) 2024]],0)</f>
        <v>3.6672808844736421E-2</v>
      </c>
      <c r="P72" s="33">
        <f>SUM(Table2[[#This Row],[Value(1000$) 2022]:[Value(1000$) 2024]])</f>
        <v>1.6843000000000001</v>
      </c>
      <c r="Q72" s="33">
        <f>SUM(Table2[[#This Row],[Volume(1000) 2022]:[Volume(1000) 2024]])</f>
        <v>41.1873</v>
      </c>
      <c r="R72" s="33">
        <f>AVERAGE(Table2[[#This Row],[Average Price(2022)]:[Average Price(2024)]])</f>
        <v>2.6049574564559187E-2</v>
      </c>
    </row>
    <row r="73" spans="1:18" x14ac:dyDescent="0.3">
      <c r="A73" t="s">
        <v>100</v>
      </c>
      <c r="B73" t="s">
        <v>723</v>
      </c>
      <c r="C73" t="s">
        <v>842</v>
      </c>
      <c r="D73" t="s">
        <v>9</v>
      </c>
      <c r="E73" t="s">
        <v>30</v>
      </c>
      <c r="F73" s="27" t="str">
        <f>IF('Working Sheet'!B101="ITEM",'Working Sheet'!E101,"")</f>
        <v>72</v>
      </c>
      <c r="G73" s="27">
        <f>IF('Working Sheet'!B101="ITEM",'Working Sheet'!F101,"")</f>
        <v>3.1665000000000001</v>
      </c>
      <c r="H73" s="27">
        <f>IF('Working Sheet'!B101="ITEM",'Working Sheet'!G101,"")</f>
        <v>0.6875</v>
      </c>
      <c r="I73" s="27">
        <f>IF('Working Sheet'!B101="ITEM",'Working Sheet'!H101,"")</f>
        <v>0.27989999999999998</v>
      </c>
      <c r="J73">
        <f>IF('Working Sheet'!B101="ITEM",'Working Sheet'!I101,"")</f>
        <v>65.203199999999995</v>
      </c>
      <c r="K73">
        <f>IF('Working Sheet'!B101="ITEM",'Working Sheet'!J101,"")</f>
        <v>14.1759</v>
      </c>
      <c r="L73">
        <f>IF('Working Sheet'!B101="ITEM",'Working Sheet'!K101,"")</f>
        <v>5.1737000000000002</v>
      </c>
      <c r="M73" s="33">
        <f>IFERROR(Table2[[#This Row],[Value(1000$) 2022]]/Table2[[#This Row],[Volume(1000) 2022]],0)</f>
        <v>4.8563567432273268E-2</v>
      </c>
      <c r="N73" s="33">
        <f>IFERROR(Table2[[#This Row],[Value(1000$) 2023]]/Table2[[#This Row],[Volume(1000) 2023]],0)</f>
        <v>4.8497802608652711E-2</v>
      </c>
      <c r="O73" s="33">
        <f>IFERROR(Table2[[#This Row],[Value(1000$) 2024]]/Table2[[#This Row],[Volume(1000) 2024]],0)</f>
        <v>5.4100546997313329E-2</v>
      </c>
      <c r="P73" s="33">
        <f>SUM(Table2[[#This Row],[Value(1000$) 2022]:[Value(1000$) 2024]])</f>
        <v>4.1338999999999997</v>
      </c>
      <c r="Q73" s="33">
        <f>SUM(Table2[[#This Row],[Volume(1000) 2022]:[Volume(1000) 2024]])</f>
        <v>84.552799999999991</v>
      </c>
      <c r="R73" s="33">
        <f>AVERAGE(Table2[[#This Row],[Average Price(2022)]:[Average Price(2024)]])</f>
        <v>5.0387305679413102E-2</v>
      </c>
    </row>
    <row r="74" spans="1:18" x14ac:dyDescent="0.3">
      <c r="A74" t="s">
        <v>101</v>
      </c>
      <c r="B74" t="s">
        <v>724</v>
      </c>
      <c r="C74" t="s">
        <v>843</v>
      </c>
      <c r="D74" t="s">
        <v>9</v>
      </c>
      <c r="E74" t="s">
        <v>20</v>
      </c>
      <c r="F74" s="27" t="str">
        <f>IF('Working Sheet'!B104="ITEM",'Working Sheet'!E104,"")</f>
        <v>72</v>
      </c>
      <c r="G74" s="27">
        <f>IF('Working Sheet'!B104="ITEM",'Working Sheet'!F104,"")</f>
        <v>0</v>
      </c>
      <c r="H74" s="27">
        <f>IF('Working Sheet'!B104="ITEM",'Working Sheet'!G104,"")</f>
        <v>0</v>
      </c>
      <c r="I74" s="27">
        <f>IF('Working Sheet'!B104="ITEM",'Working Sheet'!H104,"")</f>
        <v>5.57E-2</v>
      </c>
      <c r="J74">
        <f>IF('Working Sheet'!B104="ITEM",'Working Sheet'!I104,"")</f>
        <v>0</v>
      </c>
      <c r="K74">
        <f>IF('Working Sheet'!B104="ITEM",'Working Sheet'!J104,"")</f>
        <v>0</v>
      </c>
      <c r="L74">
        <f>IF('Working Sheet'!B104="ITEM",'Working Sheet'!K104,"")</f>
        <v>1.7425999999999999</v>
      </c>
      <c r="M74" s="33">
        <f>IFERROR(Table2[[#This Row],[Value(1000$) 2022]]/Table2[[#This Row],[Volume(1000) 2022]],0)</f>
        <v>0</v>
      </c>
      <c r="N74" s="33">
        <f>IFERROR(Table2[[#This Row],[Value(1000$) 2023]]/Table2[[#This Row],[Volume(1000) 2023]],0)</f>
        <v>0</v>
      </c>
      <c r="O74" s="33">
        <f>IFERROR(Table2[[#This Row],[Value(1000$) 2024]]/Table2[[#This Row],[Volume(1000) 2024]],0)</f>
        <v>3.1963732353953861E-2</v>
      </c>
      <c r="P74" s="33">
        <f>SUM(Table2[[#This Row],[Value(1000$) 2022]:[Value(1000$) 2024]])</f>
        <v>5.57E-2</v>
      </c>
      <c r="Q74" s="33">
        <f>SUM(Table2[[#This Row],[Volume(1000) 2022]:[Volume(1000) 2024]])</f>
        <v>1.7425999999999999</v>
      </c>
      <c r="R74" s="33">
        <f>AVERAGE(Table2[[#This Row],[Average Price(2022)]:[Average Price(2024)]])</f>
        <v>1.0654577451317954E-2</v>
      </c>
    </row>
    <row r="75" spans="1:18" x14ac:dyDescent="0.3">
      <c r="A75" t="s">
        <v>104</v>
      </c>
      <c r="B75" t="s">
        <v>725</v>
      </c>
      <c r="C75" t="s">
        <v>844</v>
      </c>
      <c r="D75" t="s">
        <v>9</v>
      </c>
      <c r="E75" t="s">
        <v>20</v>
      </c>
      <c r="F75" s="27" t="str">
        <f>IF('Working Sheet'!B107="ITEM",'Working Sheet'!E107,"")</f>
        <v>140</v>
      </c>
      <c r="G75" s="27">
        <f>IF('Working Sheet'!B107="ITEM",'Working Sheet'!F107,"")</f>
        <v>209.29769999999999</v>
      </c>
      <c r="H75" s="27">
        <f>IF('Working Sheet'!B107="ITEM",'Working Sheet'!G107,"")</f>
        <v>236.50559999999999</v>
      </c>
      <c r="I75" s="27">
        <f>IF('Working Sheet'!B107="ITEM",'Working Sheet'!H107,"")</f>
        <v>198.2927</v>
      </c>
      <c r="J75">
        <f>IF('Working Sheet'!B107="ITEM",'Working Sheet'!I107,"")</f>
        <v>7336.5478999999996</v>
      </c>
      <c r="K75">
        <f>IF('Working Sheet'!B107="ITEM",'Working Sheet'!J107,"")</f>
        <v>8103.1085000000003</v>
      </c>
      <c r="L75">
        <f>IF('Working Sheet'!B107="ITEM",'Working Sheet'!K107,"")</f>
        <v>7048.5825999999997</v>
      </c>
      <c r="M75" s="33">
        <f>IFERROR(Table2[[#This Row],[Value(1000$) 2022]]/Table2[[#This Row],[Volume(1000) 2022]],0)</f>
        <v>2.8528090166221091E-2</v>
      </c>
      <c r="N75" s="33">
        <f>IFERROR(Table2[[#This Row],[Value(1000$) 2023]]/Table2[[#This Row],[Volume(1000) 2023]],0)</f>
        <v>2.9187021252399616E-2</v>
      </c>
      <c r="O75" s="33">
        <f>IFERROR(Table2[[#This Row],[Value(1000$) 2024]]/Table2[[#This Row],[Volume(1000) 2024]],0)</f>
        <v>2.8132280098412978E-2</v>
      </c>
      <c r="P75" s="33">
        <f>SUM(Table2[[#This Row],[Value(1000$) 2022]:[Value(1000$) 2024]])</f>
        <v>644.096</v>
      </c>
      <c r="Q75" s="33">
        <f>SUM(Table2[[#This Row],[Volume(1000) 2022]:[Volume(1000) 2024]])</f>
        <v>22488.239000000001</v>
      </c>
      <c r="R75" s="33">
        <f>AVERAGE(Table2[[#This Row],[Average Price(2022)]:[Average Price(2024)]])</f>
        <v>2.8615797172344564E-2</v>
      </c>
    </row>
    <row r="76" spans="1:18" x14ac:dyDescent="0.3">
      <c r="A76" t="s">
        <v>106</v>
      </c>
      <c r="B76" t="s">
        <v>725</v>
      </c>
      <c r="C76" t="s">
        <v>844</v>
      </c>
      <c r="D76" t="s">
        <v>9</v>
      </c>
      <c r="E76" t="s">
        <v>20</v>
      </c>
      <c r="F76" s="27" t="str">
        <f>IF('Working Sheet'!B108="ITEM",'Working Sheet'!E108,"")</f>
        <v>140</v>
      </c>
      <c r="G76" s="27">
        <f>IF('Working Sheet'!B108="ITEM",'Working Sheet'!F108,"")</f>
        <v>2.7799999999999998E-2</v>
      </c>
      <c r="H76" s="27">
        <f>IF('Working Sheet'!B108="ITEM",'Working Sheet'!G108,"")</f>
        <v>4.5999999999999999E-3</v>
      </c>
      <c r="I76" s="27">
        <f>IF('Working Sheet'!B108="ITEM",'Working Sheet'!H108,"")</f>
        <v>0</v>
      </c>
      <c r="J76">
        <f>IF('Working Sheet'!B108="ITEM",'Working Sheet'!I108,"")</f>
        <v>1.2</v>
      </c>
      <c r="K76">
        <f>IF('Working Sheet'!B108="ITEM",'Working Sheet'!J108,"")</f>
        <v>0.2</v>
      </c>
      <c r="L76">
        <f>IF('Working Sheet'!B108="ITEM",'Working Sheet'!K108,"")</f>
        <v>0</v>
      </c>
      <c r="M76" s="33">
        <f>IFERROR(Table2[[#This Row],[Value(1000$) 2022]]/Table2[[#This Row],[Volume(1000) 2022]],0)</f>
        <v>2.3166666666666665E-2</v>
      </c>
      <c r="N76" s="33">
        <f>IFERROR(Table2[[#This Row],[Value(1000$) 2023]]/Table2[[#This Row],[Volume(1000) 2023]],0)</f>
        <v>2.3E-2</v>
      </c>
      <c r="O76" s="33">
        <f>IFERROR(Table2[[#This Row],[Value(1000$) 2024]]/Table2[[#This Row],[Volume(1000) 2024]],0)</f>
        <v>0</v>
      </c>
      <c r="P76" s="33">
        <f>SUM(Table2[[#This Row],[Value(1000$) 2022]:[Value(1000$) 2024]])</f>
        <v>3.2399999999999998E-2</v>
      </c>
      <c r="Q76" s="33">
        <f>SUM(Table2[[#This Row],[Volume(1000) 2022]:[Volume(1000) 2024]])</f>
        <v>1.4</v>
      </c>
      <c r="R76" s="33">
        <f>AVERAGE(Table2[[#This Row],[Average Price(2022)]:[Average Price(2024)]])</f>
        <v>1.5388888888888888E-2</v>
      </c>
    </row>
    <row r="77" spans="1:18" x14ac:dyDescent="0.3">
      <c r="A77" t="s">
        <v>107</v>
      </c>
      <c r="B77" t="s">
        <v>725</v>
      </c>
      <c r="C77" t="s">
        <v>844</v>
      </c>
      <c r="D77" t="s">
        <v>9</v>
      </c>
      <c r="E77" t="s">
        <v>20</v>
      </c>
      <c r="F77" s="27" t="str">
        <f>IF('Working Sheet'!B109="ITEM",'Working Sheet'!E109,"")</f>
        <v>20</v>
      </c>
      <c r="G77" s="27">
        <f>IF('Working Sheet'!B109="ITEM",'Working Sheet'!F109,"")</f>
        <v>27.777100000000001</v>
      </c>
      <c r="H77" s="27">
        <f>IF('Working Sheet'!B109="ITEM",'Working Sheet'!G109,"")</f>
        <v>19.717700000000001</v>
      </c>
      <c r="I77" s="27">
        <f>IF('Working Sheet'!B109="ITEM",'Working Sheet'!H109,"")</f>
        <v>14.4848</v>
      </c>
      <c r="J77">
        <f>IF('Working Sheet'!B109="ITEM",'Working Sheet'!I109,"")</f>
        <v>429.91730000000001</v>
      </c>
      <c r="K77">
        <f>IF('Working Sheet'!B109="ITEM",'Working Sheet'!J109,"")</f>
        <v>309.96710000000002</v>
      </c>
      <c r="L77">
        <f>IF('Working Sheet'!B109="ITEM",'Working Sheet'!K109,"")</f>
        <v>229.3313</v>
      </c>
      <c r="M77" s="33">
        <f>IFERROR(Table2[[#This Row],[Value(1000$) 2022]]/Table2[[#This Row],[Volume(1000) 2022]],0)</f>
        <v>6.4610333196640377E-2</v>
      </c>
      <c r="N77" s="33">
        <f>IFERROR(Table2[[#This Row],[Value(1000$) 2023]]/Table2[[#This Row],[Volume(1000) 2023]],0)</f>
        <v>6.3612234975905513E-2</v>
      </c>
      <c r="O77" s="33">
        <f>IFERROR(Table2[[#This Row],[Value(1000$) 2024]]/Table2[[#This Row],[Volume(1000) 2024]],0)</f>
        <v>6.3161025119554112E-2</v>
      </c>
      <c r="P77" s="33">
        <f>SUM(Table2[[#This Row],[Value(1000$) 2022]:[Value(1000$) 2024]])</f>
        <v>61.979599999999998</v>
      </c>
      <c r="Q77" s="33">
        <f>SUM(Table2[[#This Row],[Volume(1000) 2022]:[Volume(1000) 2024]])</f>
        <v>969.21569999999997</v>
      </c>
      <c r="R77" s="33">
        <f>AVERAGE(Table2[[#This Row],[Average Price(2022)]:[Average Price(2024)]])</f>
        <v>6.3794531097366672E-2</v>
      </c>
    </row>
    <row r="78" spans="1:18" x14ac:dyDescent="0.3">
      <c r="A78" t="s">
        <v>108</v>
      </c>
      <c r="B78" t="s">
        <v>725</v>
      </c>
      <c r="C78" t="s">
        <v>844</v>
      </c>
      <c r="D78" t="s">
        <v>9</v>
      </c>
      <c r="E78" t="s">
        <v>64</v>
      </c>
      <c r="F78" s="27" t="str">
        <f>IF('Working Sheet'!B110="ITEM",'Working Sheet'!E110,"")</f>
        <v>20</v>
      </c>
      <c r="G78" s="27">
        <f>IF('Working Sheet'!B110="ITEM",'Working Sheet'!F110,"")</f>
        <v>40.515599999999999</v>
      </c>
      <c r="H78" s="27">
        <f>IF('Working Sheet'!B110="ITEM",'Working Sheet'!G110,"")</f>
        <v>34.999099999999999</v>
      </c>
      <c r="I78" s="27">
        <f>IF('Working Sheet'!B110="ITEM",'Working Sheet'!H110,"")</f>
        <v>5.7746000000000004</v>
      </c>
      <c r="J78">
        <f>IF('Working Sheet'!B110="ITEM",'Working Sheet'!I110,"")</f>
        <v>630.63189999999997</v>
      </c>
      <c r="K78">
        <f>IF('Working Sheet'!B110="ITEM",'Working Sheet'!J110,"")</f>
        <v>558.36739999999998</v>
      </c>
      <c r="L78">
        <f>IF('Working Sheet'!B110="ITEM",'Working Sheet'!K110,"")</f>
        <v>90.998999999999995</v>
      </c>
      <c r="M78" s="33">
        <f>IFERROR(Table2[[#This Row],[Value(1000$) 2022]]/Table2[[#This Row],[Volume(1000) 2022]],0)</f>
        <v>6.424603639619246E-2</v>
      </c>
      <c r="N78" s="33">
        <f>IFERROR(Table2[[#This Row],[Value(1000$) 2023]]/Table2[[#This Row],[Volume(1000) 2023]],0)</f>
        <v>6.2681130739366236E-2</v>
      </c>
      <c r="O78" s="33">
        <f>IFERROR(Table2[[#This Row],[Value(1000$) 2024]]/Table2[[#This Row],[Volume(1000) 2024]],0)</f>
        <v>6.3457840196046111E-2</v>
      </c>
      <c r="P78" s="33">
        <f>SUM(Table2[[#This Row],[Value(1000$) 2022]:[Value(1000$) 2024]])</f>
        <v>81.289300000000011</v>
      </c>
      <c r="Q78" s="33">
        <f>SUM(Table2[[#This Row],[Volume(1000) 2022]:[Volume(1000) 2024]])</f>
        <v>1279.9983</v>
      </c>
      <c r="R78" s="33">
        <f>AVERAGE(Table2[[#This Row],[Average Price(2022)]:[Average Price(2024)]])</f>
        <v>6.3461669110534927E-2</v>
      </c>
    </row>
    <row r="79" spans="1:18" x14ac:dyDescent="0.3">
      <c r="A79" t="s">
        <v>109</v>
      </c>
      <c r="B79" t="s">
        <v>725</v>
      </c>
      <c r="C79" t="s">
        <v>844</v>
      </c>
      <c r="D79" t="s">
        <v>9</v>
      </c>
      <c r="E79" t="s">
        <v>20</v>
      </c>
      <c r="F79" s="27" t="str">
        <f>IF('Working Sheet'!B111="ITEM",'Working Sheet'!E111,"")</f>
        <v>25</v>
      </c>
      <c r="G79" s="27">
        <f>IF('Working Sheet'!B111="ITEM",'Working Sheet'!F111,"")</f>
        <v>61.397500000000001</v>
      </c>
      <c r="H79" s="27">
        <f>IF('Working Sheet'!B111="ITEM",'Working Sheet'!G111,"")</f>
        <v>45.295999999999999</v>
      </c>
      <c r="I79" s="27">
        <f>IF('Working Sheet'!B111="ITEM",'Working Sheet'!H111,"")</f>
        <v>19.337599999999998</v>
      </c>
      <c r="J79">
        <f>IF('Working Sheet'!B111="ITEM",'Working Sheet'!I111,"")</f>
        <v>1027.2618</v>
      </c>
      <c r="K79">
        <f>IF('Working Sheet'!B111="ITEM",'Working Sheet'!J111,"")</f>
        <v>758.06629999999996</v>
      </c>
      <c r="L79">
        <f>IF('Working Sheet'!B111="ITEM",'Working Sheet'!K111,"")</f>
        <v>328.18349999999998</v>
      </c>
      <c r="M79" s="33">
        <f>IFERROR(Table2[[#This Row],[Value(1000$) 2022]]/Table2[[#This Row],[Volume(1000) 2022]],0)</f>
        <v>5.9768113639580484E-2</v>
      </c>
      <c r="N79" s="33">
        <f>IFERROR(Table2[[#This Row],[Value(1000$) 2023]]/Table2[[#This Row],[Volume(1000) 2023]],0)</f>
        <v>5.9752029604798425E-2</v>
      </c>
      <c r="O79" s="33">
        <f>IFERROR(Table2[[#This Row],[Value(1000$) 2024]]/Table2[[#This Row],[Volume(1000) 2024]],0)</f>
        <v>5.8923132942393507E-2</v>
      </c>
      <c r="P79" s="33">
        <f>SUM(Table2[[#This Row],[Value(1000$) 2022]:[Value(1000$) 2024]])</f>
        <v>126.0311</v>
      </c>
      <c r="Q79" s="33">
        <f>SUM(Table2[[#This Row],[Volume(1000) 2022]:[Volume(1000) 2024]])</f>
        <v>2113.5115999999998</v>
      </c>
      <c r="R79" s="33">
        <f>AVERAGE(Table2[[#This Row],[Average Price(2022)]:[Average Price(2024)]])</f>
        <v>5.9481092062257469E-2</v>
      </c>
    </row>
    <row r="80" spans="1:18" x14ac:dyDescent="0.3">
      <c r="A80" t="s">
        <v>110</v>
      </c>
      <c r="B80" t="s">
        <v>725</v>
      </c>
      <c r="C80" t="s">
        <v>844</v>
      </c>
      <c r="D80" t="s">
        <v>9</v>
      </c>
      <c r="E80" t="s">
        <v>20</v>
      </c>
      <c r="F80" s="27" t="str">
        <f>IF('Working Sheet'!B112="ITEM",'Working Sheet'!E112,"")</f>
        <v>25</v>
      </c>
      <c r="G80" s="27">
        <f>IF('Working Sheet'!B112="ITEM",'Working Sheet'!F112,"")</f>
        <v>1.03E-2</v>
      </c>
      <c r="H80" s="27">
        <f>IF('Working Sheet'!B112="ITEM",'Working Sheet'!G112,"")</f>
        <v>1.6999999999999999E-3</v>
      </c>
      <c r="I80" s="27">
        <f>IF('Working Sheet'!B112="ITEM",'Working Sheet'!H112,"")</f>
        <v>0</v>
      </c>
      <c r="J80">
        <f>IF('Working Sheet'!B112="ITEM",'Working Sheet'!I112,"")</f>
        <v>0.21429999999999999</v>
      </c>
      <c r="K80">
        <f>IF('Working Sheet'!B112="ITEM",'Working Sheet'!J112,"")</f>
        <v>3.5700000000000003E-2</v>
      </c>
      <c r="L80">
        <f>IF('Working Sheet'!B112="ITEM",'Working Sheet'!K112,"")</f>
        <v>0</v>
      </c>
      <c r="M80" s="33">
        <f>IFERROR(Table2[[#This Row],[Value(1000$) 2022]]/Table2[[#This Row],[Volume(1000) 2022]],0)</f>
        <v>4.806346243583761E-2</v>
      </c>
      <c r="N80" s="33">
        <f>IFERROR(Table2[[#This Row],[Value(1000$) 2023]]/Table2[[#This Row],[Volume(1000) 2023]],0)</f>
        <v>4.7619047619047616E-2</v>
      </c>
      <c r="O80" s="33">
        <f>IFERROR(Table2[[#This Row],[Value(1000$) 2024]]/Table2[[#This Row],[Volume(1000) 2024]],0)</f>
        <v>0</v>
      </c>
      <c r="P80" s="33">
        <f>SUM(Table2[[#This Row],[Value(1000$) 2022]:[Value(1000$) 2024]])</f>
        <v>1.2E-2</v>
      </c>
      <c r="Q80" s="33">
        <f>SUM(Table2[[#This Row],[Volume(1000) 2022]:[Volume(1000) 2024]])</f>
        <v>0.25</v>
      </c>
      <c r="R80" s="33">
        <f>AVERAGE(Table2[[#This Row],[Average Price(2022)]:[Average Price(2024)]])</f>
        <v>3.189417001829508E-2</v>
      </c>
    </row>
    <row r="81" spans="1:18" x14ac:dyDescent="0.3">
      <c r="A81" t="s">
        <v>111</v>
      </c>
      <c r="B81" t="s">
        <v>725</v>
      </c>
      <c r="C81" t="s">
        <v>844</v>
      </c>
      <c r="D81" t="s">
        <v>9</v>
      </c>
      <c r="E81" t="s">
        <v>69</v>
      </c>
      <c r="F81" s="27" t="str">
        <f>IF('Working Sheet'!B113="ITEM",'Working Sheet'!E113,"")</f>
        <v>30</v>
      </c>
      <c r="G81" s="27">
        <f>IF('Working Sheet'!B113="ITEM",'Working Sheet'!F113,"")</f>
        <v>0</v>
      </c>
      <c r="H81" s="27">
        <f>IF('Working Sheet'!B113="ITEM",'Working Sheet'!G113,"")</f>
        <v>0</v>
      </c>
      <c r="I81" s="27">
        <f>IF('Working Sheet'!B113="ITEM",'Working Sheet'!H113,"")</f>
        <v>8.3928999999999991</v>
      </c>
      <c r="J81">
        <f>IF('Working Sheet'!B113="ITEM",'Working Sheet'!I113,"")</f>
        <v>0</v>
      </c>
      <c r="K81">
        <f>IF('Working Sheet'!B113="ITEM",'Working Sheet'!J113,"")</f>
        <v>0</v>
      </c>
      <c r="L81">
        <f>IF('Working Sheet'!B113="ITEM",'Working Sheet'!K113,"")</f>
        <v>185.37119999999999</v>
      </c>
      <c r="M81" s="33">
        <f>IFERROR(Table2[[#This Row],[Value(1000$) 2022]]/Table2[[#This Row],[Volume(1000) 2022]],0)</f>
        <v>0</v>
      </c>
      <c r="N81" s="33">
        <f>IFERROR(Table2[[#This Row],[Value(1000$) 2023]]/Table2[[#This Row],[Volume(1000) 2023]],0)</f>
        <v>0</v>
      </c>
      <c r="O81" s="33">
        <f>IFERROR(Table2[[#This Row],[Value(1000$) 2024]]/Table2[[#This Row],[Volume(1000) 2024]],0)</f>
        <v>4.5276180981727469E-2</v>
      </c>
      <c r="P81" s="33">
        <f>SUM(Table2[[#This Row],[Value(1000$) 2022]:[Value(1000$) 2024]])</f>
        <v>8.3928999999999991</v>
      </c>
      <c r="Q81" s="33">
        <f>SUM(Table2[[#This Row],[Volume(1000) 2022]:[Volume(1000) 2024]])</f>
        <v>185.37119999999999</v>
      </c>
      <c r="R81" s="33">
        <f>AVERAGE(Table2[[#This Row],[Average Price(2022)]:[Average Price(2024)]])</f>
        <v>1.5092060327242489E-2</v>
      </c>
    </row>
    <row r="82" spans="1:18" x14ac:dyDescent="0.3">
      <c r="A82" t="s">
        <v>112</v>
      </c>
      <c r="B82" t="s">
        <v>725</v>
      </c>
      <c r="C82" t="s">
        <v>844</v>
      </c>
      <c r="D82" t="s">
        <v>9</v>
      </c>
      <c r="E82" t="s">
        <v>69</v>
      </c>
      <c r="F82" s="27" t="str">
        <f>IF('Working Sheet'!B114="ITEM",'Working Sheet'!E114,"")</f>
        <v>64</v>
      </c>
      <c r="G82" s="27">
        <f>IF('Working Sheet'!B114="ITEM",'Working Sheet'!F114,"")</f>
        <v>11.2281</v>
      </c>
      <c r="H82" s="27">
        <f>IF('Working Sheet'!B114="ITEM",'Working Sheet'!G114,"")</f>
        <v>7.5716999999999999</v>
      </c>
      <c r="I82" s="27">
        <f>IF('Working Sheet'!B114="ITEM",'Working Sheet'!H114,"")</f>
        <v>1.9255</v>
      </c>
      <c r="J82">
        <f>IF('Working Sheet'!B114="ITEM",'Working Sheet'!I114,"")</f>
        <v>325.11810000000003</v>
      </c>
      <c r="K82">
        <f>IF('Working Sheet'!B114="ITEM",'Working Sheet'!J114,"")</f>
        <v>236.1233</v>
      </c>
      <c r="L82">
        <f>IF('Working Sheet'!B114="ITEM",'Working Sheet'!K114,"")</f>
        <v>61.869799999999998</v>
      </c>
      <c r="M82" s="33">
        <f>IFERROR(Table2[[#This Row],[Value(1000$) 2022]]/Table2[[#This Row],[Volume(1000) 2022]],0)</f>
        <v>3.4535450348657917E-2</v>
      </c>
      <c r="N82" s="33">
        <f>IFERROR(Table2[[#This Row],[Value(1000$) 2023]]/Table2[[#This Row],[Volume(1000) 2023]],0)</f>
        <v>3.2066721073269772E-2</v>
      </c>
      <c r="O82" s="33">
        <f>IFERROR(Table2[[#This Row],[Value(1000$) 2024]]/Table2[[#This Row],[Volume(1000) 2024]],0)</f>
        <v>3.1121807408460996E-2</v>
      </c>
      <c r="P82" s="33">
        <f>SUM(Table2[[#This Row],[Value(1000$) 2022]:[Value(1000$) 2024]])</f>
        <v>20.725299999999997</v>
      </c>
      <c r="Q82" s="33">
        <f>SUM(Table2[[#This Row],[Volume(1000) 2022]:[Volume(1000) 2024]])</f>
        <v>623.11120000000005</v>
      </c>
      <c r="R82" s="33">
        <f>AVERAGE(Table2[[#This Row],[Average Price(2022)]:[Average Price(2024)]])</f>
        <v>3.2574659610129564E-2</v>
      </c>
    </row>
    <row r="83" spans="1:18" x14ac:dyDescent="0.3">
      <c r="A83" t="s">
        <v>113</v>
      </c>
      <c r="B83" t="s">
        <v>725</v>
      </c>
      <c r="C83" t="s">
        <v>844</v>
      </c>
      <c r="D83" t="s">
        <v>9</v>
      </c>
      <c r="E83" t="s">
        <v>69</v>
      </c>
      <c r="F83" s="27" t="str">
        <f>IF('Working Sheet'!B115="ITEM",'Working Sheet'!E115,"")</f>
        <v>72</v>
      </c>
      <c r="G83" s="27">
        <f>IF('Working Sheet'!B115="ITEM",'Working Sheet'!F115,"")</f>
        <v>56.268599999999999</v>
      </c>
      <c r="H83" s="27">
        <f>IF('Working Sheet'!B115="ITEM",'Working Sheet'!G115,"")</f>
        <v>22.377800000000001</v>
      </c>
      <c r="I83" s="27">
        <f>IF('Working Sheet'!B115="ITEM",'Working Sheet'!H115,"")</f>
        <v>12.435499999999999</v>
      </c>
      <c r="J83">
        <f>IF('Working Sheet'!B115="ITEM",'Working Sheet'!I115,"")</f>
        <v>1799.2518</v>
      </c>
      <c r="K83">
        <f>IF('Working Sheet'!B115="ITEM",'Working Sheet'!J115,"")</f>
        <v>721.99059999999997</v>
      </c>
      <c r="L83">
        <f>IF('Working Sheet'!B115="ITEM",'Working Sheet'!K115,"")</f>
        <v>385.45190000000002</v>
      </c>
      <c r="M83" s="33">
        <f>IFERROR(Table2[[#This Row],[Value(1000$) 2022]]/Table2[[#This Row],[Volume(1000) 2022]],0)</f>
        <v>3.1273332615257075E-2</v>
      </c>
      <c r="N83" s="33">
        <f>IFERROR(Table2[[#This Row],[Value(1000$) 2023]]/Table2[[#This Row],[Volume(1000) 2023]],0)</f>
        <v>3.0994586356110455E-2</v>
      </c>
      <c r="O83" s="33">
        <f>IFERROR(Table2[[#This Row],[Value(1000$) 2024]]/Table2[[#This Row],[Volume(1000) 2024]],0)</f>
        <v>3.2262131799064939E-2</v>
      </c>
      <c r="P83" s="33">
        <f>SUM(Table2[[#This Row],[Value(1000$) 2022]:[Value(1000$) 2024]])</f>
        <v>91.081900000000005</v>
      </c>
      <c r="Q83" s="33">
        <f>SUM(Table2[[#This Row],[Volume(1000) 2022]:[Volume(1000) 2024]])</f>
        <v>2906.6943000000001</v>
      </c>
      <c r="R83" s="33">
        <f>AVERAGE(Table2[[#This Row],[Average Price(2022)]:[Average Price(2024)]])</f>
        <v>3.1510016923477491E-2</v>
      </c>
    </row>
    <row r="84" spans="1:18" x14ac:dyDescent="0.3">
      <c r="A84" t="s">
        <v>114</v>
      </c>
      <c r="B84" t="s">
        <v>725</v>
      </c>
      <c r="C84" t="s">
        <v>844</v>
      </c>
      <c r="D84" t="s">
        <v>9</v>
      </c>
      <c r="E84" t="s">
        <v>10</v>
      </c>
      <c r="F84" s="27" t="str">
        <f>IF('Working Sheet'!B116="ITEM",'Working Sheet'!E116,"")</f>
        <v>72</v>
      </c>
      <c r="G84" s="27">
        <f>IF('Working Sheet'!B116="ITEM",'Working Sheet'!F116,"")</f>
        <v>0.64159999999999995</v>
      </c>
      <c r="H84" s="27">
        <f>IF('Working Sheet'!B116="ITEM",'Working Sheet'!G116,"")</f>
        <v>0.34470000000000001</v>
      </c>
      <c r="I84" s="27">
        <f>IF('Working Sheet'!B116="ITEM",'Working Sheet'!H116,"")</f>
        <v>0</v>
      </c>
      <c r="J84">
        <f>IF('Working Sheet'!B116="ITEM",'Working Sheet'!I116,"")</f>
        <v>14.463900000000001</v>
      </c>
      <c r="K84">
        <f>IF('Working Sheet'!B116="ITEM",'Working Sheet'!J116,"")</f>
        <v>7.3648999999999996</v>
      </c>
      <c r="L84">
        <f>IF('Working Sheet'!B116="ITEM",'Working Sheet'!K116,"")</f>
        <v>0</v>
      </c>
      <c r="M84" s="33">
        <f>IFERROR(Table2[[#This Row],[Value(1000$) 2022]]/Table2[[#This Row],[Volume(1000) 2022]],0)</f>
        <v>4.4358713763231208E-2</v>
      </c>
      <c r="N84" s="33">
        <f>IFERROR(Table2[[#This Row],[Value(1000$) 2023]]/Table2[[#This Row],[Volume(1000) 2023]],0)</f>
        <v>4.6803079471547479E-2</v>
      </c>
      <c r="O84" s="33">
        <f>IFERROR(Table2[[#This Row],[Value(1000$) 2024]]/Table2[[#This Row],[Volume(1000) 2024]],0)</f>
        <v>0</v>
      </c>
      <c r="P84" s="33">
        <f>SUM(Table2[[#This Row],[Value(1000$) 2022]:[Value(1000$) 2024]])</f>
        <v>0.98629999999999995</v>
      </c>
      <c r="Q84" s="33">
        <f>SUM(Table2[[#This Row],[Volume(1000) 2022]:[Volume(1000) 2024]])</f>
        <v>21.828800000000001</v>
      </c>
      <c r="R84" s="33">
        <f>AVERAGE(Table2[[#This Row],[Average Price(2022)]:[Average Price(2024)]])</f>
        <v>3.0387264411592896E-2</v>
      </c>
    </row>
    <row r="85" spans="1:18" x14ac:dyDescent="0.3">
      <c r="A85" t="s">
        <v>115</v>
      </c>
      <c r="B85" t="s">
        <v>725</v>
      </c>
      <c r="C85" t="s">
        <v>844</v>
      </c>
      <c r="D85" t="s">
        <v>9</v>
      </c>
      <c r="E85" t="s">
        <v>64</v>
      </c>
      <c r="F85" s="27" t="str">
        <f>IF('Working Sheet'!B117="ITEM",'Working Sheet'!E117,"")</f>
        <v>72</v>
      </c>
      <c r="G85" s="27">
        <f>IF('Working Sheet'!B117="ITEM",'Working Sheet'!F117,"")</f>
        <v>64.480099999999993</v>
      </c>
      <c r="H85" s="27">
        <f>IF('Working Sheet'!B117="ITEM",'Working Sheet'!G117,"")</f>
        <v>81.182500000000005</v>
      </c>
      <c r="I85" s="27">
        <f>IF('Working Sheet'!B117="ITEM",'Working Sheet'!H117,"")</f>
        <v>15.496600000000001</v>
      </c>
      <c r="J85">
        <f>IF('Working Sheet'!B117="ITEM",'Working Sheet'!I117,"")</f>
        <v>2159.5493999999999</v>
      </c>
      <c r="K85">
        <f>IF('Working Sheet'!B117="ITEM",'Working Sheet'!J117,"")</f>
        <v>2486.1275000000001</v>
      </c>
      <c r="L85">
        <f>IF('Working Sheet'!B117="ITEM",'Working Sheet'!K117,"")</f>
        <v>493.73469999999998</v>
      </c>
      <c r="M85" s="33">
        <f>IFERROR(Table2[[#This Row],[Value(1000$) 2022]]/Table2[[#This Row],[Volume(1000) 2022]],0)</f>
        <v>2.985812688517336E-2</v>
      </c>
      <c r="N85" s="33">
        <f>IFERROR(Table2[[#This Row],[Value(1000$) 2023]]/Table2[[#This Row],[Volume(1000) 2023]],0)</f>
        <v>3.2654198145509433E-2</v>
      </c>
      <c r="O85" s="33">
        <f>IFERROR(Table2[[#This Row],[Value(1000$) 2024]]/Table2[[#This Row],[Volume(1000) 2024]],0)</f>
        <v>3.1386491571283121E-2</v>
      </c>
      <c r="P85" s="33">
        <f>SUM(Table2[[#This Row],[Value(1000$) 2022]:[Value(1000$) 2024]])</f>
        <v>161.1592</v>
      </c>
      <c r="Q85" s="33">
        <f>SUM(Table2[[#This Row],[Volume(1000) 2022]:[Volume(1000) 2024]])</f>
        <v>5139.4116000000004</v>
      </c>
      <c r="R85" s="33">
        <f>AVERAGE(Table2[[#This Row],[Average Price(2022)]:[Average Price(2024)]])</f>
        <v>3.1299605533988639E-2</v>
      </c>
    </row>
    <row r="86" spans="1:18" x14ac:dyDescent="0.3">
      <c r="A86" t="s">
        <v>116</v>
      </c>
      <c r="B86" t="s">
        <v>726</v>
      </c>
      <c r="C86" t="s">
        <v>845</v>
      </c>
      <c r="D86" t="s">
        <v>9</v>
      </c>
      <c r="E86" t="s">
        <v>20</v>
      </c>
      <c r="F86" s="27" t="str">
        <f>IF('Working Sheet'!B120="ITEM",'Working Sheet'!E120,"")</f>
        <v>100</v>
      </c>
      <c r="G86" s="27">
        <f>IF('Working Sheet'!B120="ITEM",'Working Sheet'!F120,"")</f>
        <v>0</v>
      </c>
      <c r="H86" s="27">
        <f>IF('Working Sheet'!B120="ITEM",'Working Sheet'!G120,"")</f>
        <v>0</v>
      </c>
      <c r="I86" s="27">
        <f>IF('Working Sheet'!B120="ITEM",'Working Sheet'!H120,"")</f>
        <v>0.24490000000000001</v>
      </c>
      <c r="J86">
        <f>IF('Working Sheet'!B120="ITEM",'Working Sheet'!I120,"")</f>
        <v>0</v>
      </c>
      <c r="K86">
        <f>IF('Working Sheet'!B120="ITEM",'Working Sheet'!J120,"")</f>
        <v>0</v>
      </c>
      <c r="L86">
        <f>IF('Working Sheet'!B120="ITEM",'Working Sheet'!K120,"")</f>
        <v>9.7979000000000003</v>
      </c>
      <c r="M86" s="33">
        <f>IFERROR(Table2[[#This Row],[Value(1000$) 2022]]/Table2[[#This Row],[Volume(1000) 2022]],0)</f>
        <v>0</v>
      </c>
      <c r="N86" s="33">
        <f>IFERROR(Table2[[#This Row],[Value(1000$) 2023]]/Table2[[#This Row],[Volume(1000) 2023]],0)</f>
        <v>0</v>
      </c>
      <c r="O86" s="33">
        <f>IFERROR(Table2[[#This Row],[Value(1000$) 2024]]/Table2[[#This Row],[Volume(1000) 2024]],0)</f>
        <v>2.4995152022372142E-2</v>
      </c>
      <c r="P86" s="33">
        <f>SUM(Table2[[#This Row],[Value(1000$) 2022]:[Value(1000$) 2024]])</f>
        <v>0.24490000000000001</v>
      </c>
      <c r="Q86" s="33">
        <f>SUM(Table2[[#This Row],[Volume(1000) 2022]:[Volume(1000) 2024]])</f>
        <v>9.7979000000000003</v>
      </c>
      <c r="R86" s="33">
        <f>AVERAGE(Table2[[#This Row],[Average Price(2022)]:[Average Price(2024)]])</f>
        <v>8.331717340790714E-3</v>
      </c>
    </row>
    <row r="87" spans="1:18" x14ac:dyDescent="0.3">
      <c r="A87" t="s">
        <v>117</v>
      </c>
      <c r="B87" t="s">
        <v>726</v>
      </c>
      <c r="C87" t="s">
        <v>845</v>
      </c>
      <c r="D87" t="s">
        <v>9</v>
      </c>
      <c r="E87" t="s">
        <v>20</v>
      </c>
      <c r="F87" s="27" t="str">
        <f>IF('Working Sheet'!B121="ITEM",'Working Sheet'!E121,"")</f>
        <v>100</v>
      </c>
      <c r="G87" s="27">
        <f>IF('Working Sheet'!B121="ITEM",'Working Sheet'!F121,"")</f>
        <v>0.22359999999999999</v>
      </c>
      <c r="H87" s="27">
        <f>IF('Working Sheet'!B121="ITEM",'Working Sheet'!G121,"")</f>
        <v>1.0136000000000001</v>
      </c>
      <c r="I87" s="27">
        <f>IF('Working Sheet'!B121="ITEM",'Working Sheet'!H121,"")</f>
        <v>0.81230000000000002</v>
      </c>
      <c r="J87">
        <f>IF('Working Sheet'!B121="ITEM",'Working Sheet'!I121,"")</f>
        <v>12.2155</v>
      </c>
      <c r="K87">
        <f>IF('Working Sheet'!B121="ITEM",'Working Sheet'!J121,"")</f>
        <v>49.151600000000002</v>
      </c>
      <c r="L87">
        <f>IF('Working Sheet'!B121="ITEM",'Working Sheet'!K121,"")</f>
        <v>34.919499999999999</v>
      </c>
      <c r="M87" s="33">
        <f>IFERROR(Table2[[#This Row],[Value(1000$) 2022]]/Table2[[#This Row],[Volume(1000) 2022]],0)</f>
        <v>1.8304612991690884E-2</v>
      </c>
      <c r="N87" s="33">
        <f>IFERROR(Table2[[#This Row],[Value(1000$) 2023]]/Table2[[#This Row],[Volume(1000) 2023]],0)</f>
        <v>2.0621912613221136E-2</v>
      </c>
      <c r="O87" s="33">
        <f>IFERROR(Table2[[#This Row],[Value(1000$) 2024]]/Table2[[#This Row],[Volume(1000) 2024]],0)</f>
        <v>2.3262074199229658E-2</v>
      </c>
      <c r="P87" s="33">
        <f>SUM(Table2[[#This Row],[Value(1000$) 2022]:[Value(1000$) 2024]])</f>
        <v>2.0495000000000001</v>
      </c>
      <c r="Q87" s="33">
        <f>SUM(Table2[[#This Row],[Volume(1000) 2022]:[Volume(1000) 2024]])</f>
        <v>96.286599999999993</v>
      </c>
      <c r="R87" s="33">
        <f>AVERAGE(Table2[[#This Row],[Average Price(2022)]:[Average Price(2024)]])</f>
        <v>2.0729533268047228E-2</v>
      </c>
    </row>
    <row r="88" spans="1:18" x14ac:dyDescent="0.3">
      <c r="A88" t="s">
        <v>120</v>
      </c>
      <c r="B88" t="s">
        <v>727</v>
      </c>
      <c r="C88" t="s">
        <v>833</v>
      </c>
      <c r="D88" t="s">
        <v>9</v>
      </c>
      <c r="E88" t="s">
        <v>10</v>
      </c>
      <c r="F88" s="27" t="str">
        <f>IF('Working Sheet'!B124="ITEM",'Working Sheet'!E124,"")</f>
        <v>20</v>
      </c>
      <c r="G88" s="27">
        <f>IF('Working Sheet'!B124="ITEM",'Working Sheet'!F124,"")</f>
        <v>15.0191</v>
      </c>
      <c r="H88" s="27">
        <f>IF('Working Sheet'!B124="ITEM",'Working Sheet'!G124,"")</f>
        <v>17.616800000000001</v>
      </c>
      <c r="I88" s="27">
        <f>IF('Working Sheet'!B124="ITEM",'Working Sheet'!H124,"")</f>
        <v>13.700200000000001</v>
      </c>
      <c r="J88">
        <f>IF('Working Sheet'!B124="ITEM",'Working Sheet'!I124,"")</f>
        <v>121.4559</v>
      </c>
      <c r="K88">
        <f>IF('Working Sheet'!B124="ITEM",'Working Sheet'!J124,"")</f>
        <v>162.24</v>
      </c>
      <c r="L88">
        <f>IF('Working Sheet'!B124="ITEM",'Working Sheet'!K124,"")</f>
        <v>126.0534</v>
      </c>
      <c r="M88" s="33">
        <f>IFERROR(Table2[[#This Row],[Value(1000$) 2022]]/Table2[[#This Row],[Volume(1000) 2022]],0)</f>
        <v>0.12365887536134515</v>
      </c>
      <c r="N88" s="33">
        <f>IFERROR(Table2[[#This Row],[Value(1000$) 2023]]/Table2[[#This Row],[Volume(1000) 2023]],0)</f>
        <v>0.10858481262327416</v>
      </c>
      <c r="O88" s="33">
        <f>IFERROR(Table2[[#This Row],[Value(1000$) 2024]]/Table2[[#This Row],[Volume(1000) 2024]],0)</f>
        <v>0.10868568400376349</v>
      </c>
      <c r="P88" s="33">
        <f>SUM(Table2[[#This Row],[Value(1000$) 2022]:[Value(1000$) 2024]])</f>
        <v>46.336100000000002</v>
      </c>
      <c r="Q88" s="33">
        <f>SUM(Table2[[#This Row],[Volume(1000) 2022]:[Volume(1000) 2024]])</f>
        <v>409.74930000000001</v>
      </c>
      <c r="R88" s="33">
        <f>AVERAGE(Table2[[#This Row],[Average Price(2022)]:[Average Price(2024)]])</f>
        <v>0.1136431239961276</v>
      </c>
    </row>
    <row r="89" spans="1:18" x14ac:dyDescent="0.3">
      <c r="A89" t="s">
        <v>121</v>
      </c>
      <c r="B89" t="s">
        <v>727</v>
      </c>
      <c r="C89" t="s">
        <v>833</v>
      </c>
      <c r="D89" t="s">
        <v>9</v>
      </c>
      <c r="E89" t="s">
        <v>10</v>
      </c>
      <c r="F89" s="27" t="str">
        <f>IF('Working Sheet'!B125="ITEM",'Working Sheet'!E125,"")</f>
        <v>60</v>
      </c>
      <c r="G89" s="27">
        <f>IF('Working Sheet'!B125="ITEM",'Working Sheet'!F125,"")</f>
        <v>19.776399999999999</v>
      </c>
      <c r="H89" s="27">
        <f>IF('Working Sheet'!B125="ITEM",'Working Sheet'!G125,"")</f>
        <v>13.798299999999999</v>
      </c>
      <c r="I89" s="27">
        <f>IF('Working Sheet'!B125="ITEM",'Working Sheet'!H125,"")</f>
        <v>7.5656999999999996</v>
      </c>
      <c r="J89">
        <f>IF('Working Sheet'!B125="ITEM",'Working Sheet'!I125,"")</f>
        <v>281.97280000000001</v>
      </c>
      <c r="K89">
        <f>IF('Working Sheet'!B125="ITEM",'Working Sheet'!J125,"")</f>
        <v>222.7071</v>
      </c>
      <c r="L89">
        <f>IF('Working Sheet'!B125="ITEM",'Working Sheet'!K125,"")</f>
        <v>118.9547</v>
      </c>
      <c r="M89" s="33">
        <f>IFERROR(Table2[[#This Row],[Value(1000$) 2022]]/Table2[[#This Row],[Volume(1000) 2022]],0)</f>
        <v>7.0135842889810646E-2</v>
      </c>
      <c r="N89" s="33">
        <f>IFERROR(Table2[[#This Row],[Value(1000$) 2023]]/Table2[[#This Row],[Volume(1000) 2023]],0)</f>
        <v>6.1957162569132279E-2</v>
      </c>
      <c r="O89" s="33">
        <f>IFERROR(Table2[[#This Row],[Value(1000$) 2024]]/Table2[[#This Row],[Volume(1000) 2024]],0)</f>
        <v>6.3601522260154489E-2</v>
      </c>
      <c r="P89" s="33">
        <f>SUM(Table2[[#This Row],[Value(1000$) 2022]:[Value(1000$) 2024]])</f>
        <v>41.1404</v>
      </c>
      <c r="Q89" s="33">
        <f>SUM(Table2[[#This Row],[Volume(1000) 2022]:[Volume(1000) 2024]])</f>
        <v>623.63459999999998</v>
      </c>
      <c r="R89" s="33">
        <f>AVERAGE(Table2[[#This Row],[Average Price(2022)]:[Average Price(2024)]])</f>
        <v>6.5231509239699129E-2</v>
      </c>
    </row>
    <row r="90" spans="1:18" x14ac:dyDescent="0.3">
      <c r="A90" t="s">
        <v>122</v>
      </c>
      <c r="B90" t="s">
        <v>727</v>
      </c>
      <c r="C90" t="s">
        <v>833</v>
      </c>
      <c r="D90" t="s">
        <v>9</v>
      </c>
      <c r="E90" t="s">
        <v>10</v>
      </c>
      <c r="F90" s="27" t="str">
        <f>IF('Working Sheet'!B126="ITEM",'Working Sheet'!E126,"")</f>
        <v>63</v>
      </c>
      <c r="G90" s="27">
        <f>IF('Working Sheet'!B126="ITEM",'Working Sheet'!F126,"")</f>
        <v>41.314100000000003</v>
      </c>
      <c r="H90" s="27">
        <f>IF('Working Sheet'!B126="ITEM",'Working Sheet'!G126,"")</f>
        <v>32.422600000000003</v>
      </c>
      <c r="I90" s="27">
        <f>IF('Working Sheet'!B126="ITEM",'Working Sheet'!H126,"")</f>
        <v>18.6829</v>
      </c>
      <c r="J90">
        <f>IF('Working Sheet'!B126="ITEM",'Working Sheet'!I126,"")</f>
        <v>549.64080000000001</v>
      </c>
      <c r="K90">
        <f>IF('Working Sheet'!B126="ITEM",'Working Sheet'!J126,"")</f>
        <v>416.84789999999998</v>
      </c>
      <c r="L90">
        <f>IF('Working Sheet'!B126="ITEM",'Working Sheet'!K126,"")</f>
        <v>241.38910000000001</v>
      </c>
      <c r="M90" s="33">
        <f>IFERROR(Table2[[#This Row],[Value(1000$) 2022]]/Table2[[#This Row],[Volume(1000) 2022]],0)</f>
        <v>7.5165635447732415E-2</v>
      </c>
      <c r="N90" s="33">
        <f>IFERROR(Table2[[#This Row],[Value(1000$) 2023]]/Table2[[#This Row],[Volume(1000) 2023]],0)</f>
        <v>7.7780408633460793E-2</v>
      </c>
      <c r="O90" s="33">
        <f>IFERROR(Table2[[#This Row],[Value(1000$) 2024]]/Table2[[#This Row],[Volume(1000) 2024]],0)</f>
        <v>7.739744669498333E-2</v>
      </c>
      <c r="P90" s="33">
        <f>SUM(Table2[[#This Row],[Value(1000$) 2022]:[Value(1000$) 2024]])</f>
        <v>92.419600000000017</v>
      </c>
      <c r="Q90" s="33">
        <f>SUM(Table2[[#This Row],[Volume(1000) 2022]:[Volume(1000) 2024]])</f>
        <v>1207.8778</v>
      </c>
      <c r="R90" s="33">
        <f>AVERAGE(Table2[[#This Row],[Average Price(2022)]:[Average Price(2024)]])</f>
        <v>7.6781163592058846E-2</v>
      </c>
    </row>
    <row r="91" spans="1:18" x14ac:dyDescent="0.3">
      <c r="A91" t="s">
        <v>124</v>
      </c>
      <c r="B91" t="s">
        <v>727</v>
      </c>
      <c r="C91" t="s">
        <v>833</v>
      </c>
      <c r="D91" t="s">
        <v>9</v>
      </c>
      <c r="E91" t="s">
        <v>30</v>
      </c>
      <c r="F91" s="27" t="str">
        <f>IF('Working Sheet'!B127="ITEM",'Working Sheet'!E127,"")</f>
        <v>63</v>
      </c>
      <c r="G91" s="27">
        <f>IF('Working Sheet'!B127="ITEM",'Working Sheet'!F127,"")</f>
        <v>10.5054</v>
      </c>
      <c r="H91" s="27">
        <f>IF('Working Sheet'!B127="ITEM",'Working Sheet'!G127,"")</f>
        <v>0.496</v>
      </c>
      <c r="I91" s="27">
        <f>IF('Working Sheet'!B127="ITEM",'Working Sheet'!H127,"")</f>
        <v>0</v>
      </c>
      <c r="J91">
        <f>IF('Working Sheet'!B127="ITEM",'Working Sheet'!I127,"")</f>
        <v>168.06010000000001</v>
      </c>
      <c r="K91">
        <f>IF('Working Sheet'!B127="ITEM",'Working Sheet'!J127,"")</f>
        <v>9.3780000000000001</v>
      </c>
      <c r="L91">
        <f>IF('Working Sheet'!B127="ITEM",'Working Sheet'!K127,"")</f>
        <v>0</v>
      </c>
      <c r="M91" s="33">
        <f>IFERROR(Table2[[#This Row],[Value(1000$) 2022]]/Table2[[#This Row],[Volume(1000) 2022]],0)</f>
        <v>6.2509780727251732E-2</v>
      </c>
      <c r="N91" s="33">
        <f>IFERROR(Table2[[#This Row],[Value(1000$) 2023]]/Table2[[#This Row],[Volume(1000) 2023]],0)</f>
        <v>5.2889741949242911E-2</v>
      </c>
      <c r="O91" s="33">
        <f>IFERROR(Table2[[#This Row],[Value(1000$) 2024]]/Table2[[#This Row],[Volume(1000) 2024]],0)</f>
        <v>0</v>
      </c>
      <c r="P91" s="33">
        <f>SUM(Table2[[#This Row],[Value(1000$) 2022]:[Value(1000$) 2024]])</f>
        <v>11.0014</v>
      </c>
      <c r="Q91" s="33">
        <f>SUM(Table2[[#This Row],[Volume(1000) 2022]:[Volume(1000) 2024]])</f>
        <v>177.43810000000002</v>
      </c>
      <c r="R91" s="33">
        <f>AVERAGE(Table2[[#This Row],[Average Price(2022)]:[Average Price(2024)]])</f>
        <v>3.8466507558831547E-2</v>
      </c>
    </row>
    <row r="92" spans="1:18" x14ac:dyDescent="0.3">
      <c r="A92" t="s">
        <v>125</v>
      </c>
      <c r="B92" t="s">
        <v>727</v>
      </c>
      <c r="C92" t="s">
        <v>833</v>
      </c>
      <c r="D92" t="s">
        <v>9</v>
      </c>
      <c r="E92" t="s">
        <v>10</v>
      </c>
      <c r="F92" s="27" t="str">
        <f>IF('Working Sheet'!B128="ITEM",'Working Sheet'!E128,"")</f>
        <v>63</v>
      </c>
      <c r="G92" s="27">
        <f>IF('Working Sheet'!B128="ITEM",'Working Sheet'!F128,"")</f>
        <v>26.694099999999999</v>
      </c>
      <c r="H92" s="27">
        <f>IF('Working Sheet'!B128="ITEM",'Working Sheet'!G128,"")</f>
        <v>16.9801</v>
      </c>
      <c r="I92" s="27">
        <f>IF('Working Sheet'!B128="ITEM",'Working Sheet'!H128,"")</f>
        <v>8.3484999999999996</v>
      </c>
      <c r="J92">
        <f>IF('Working Sheet'!B128="ITEM",'Working Sheet'!I128,"")</f>
        <v>362.30340000000001</v>
      </c>
      <c r="K92">
        <f>IF('Working Sheet'!B128="ITEM",'Working Sheet'!J128,"")</f>
        <v>234.6001</v>
      </c>
      <c r="L92">
        <f>IF('Working Sheet'!B128="ITEM",'Working Sheet'!K128,"")</f>
        <v>111.9991</v>
      </c>
      <c r="M92" s="33">
        <f>IFERROR(Table2[[#This Row],[Value(1000$) 2022]]/Table2[[#This Row],[Volume(1000) 2022]],0)</f>
        <v>7.3678855898122952E-2</v>
      </c>
      <c r="N92" s="33">
        <f>IFERROR(Table2[[#This Row],[Value(1000$) 2023]]/Table2[[#This Row],[Volume(1000) 2023]],0)</f>
        <v>7.2378912029449266E-2</v>
      </c>
      <c r="O92" s="33">
        <f>IFERROR(Table2[[#This Row],[Value(1000$) 2024]]/Table2[[#This Row],[Volume(1000) 2024]],0)</f>
        <v>7.4540777559819679E-2</v>
      </c>
      <c r="P92" s="33">
        <f>SUM(Table2[[#This Row],[Value(1000$) 2022]:[Value(1000$) 2024]])</f>
        <v>52.0227</v>
      </c>
      <c r="Q92" s="33">
        <f>SUM(Table2[[#This Row],[Volume(1000) 2022]:[Volume(1000) 2024]])</f>
        <v>708.90260000000001</v>
      </c>
      <c r="R92" s="33">
        <f>AVERAGE(Table2[[#This Row],[Average Price(2022)]:[Average Price(2024)]])</f>
        <v>7.353284849579729E-2</v>
      </c>
    </row>
    <row r="93" spans="1:18" x14ac:dyDescent="0.3">
      <c r="A93" t="s">
        <v>127</v>
      </c>
      <c r="B93" t="s">
        <v>728</v>
      </c>
      <c r="C93" t="s">
        <v>126</v>
      </c>
      <c r="D93" t="s">
        <v>9</v>
      </c>
      <c r="E93" t="s">
        <v>20</v>
      </c>
      <c r="F93" s="27" t="str">
        <f>IF('Working Sheet'!B131="ITEM",'Working Sheet'!E131,"")</f>
        <v>60</v>
      </c>
      <c r="G93" s="27">
        <f>IF('Working Sheet'!B131="ITEM",'Working Sheet'!F131,"")</f>
        <v>0.52039999999999997</v>
      </c>
      <c r="H93" s="27">
        <f>IF('Working Sheet'!B131="ITEM",'Working Sheet'!G131,"")</f>
        <v>1.6072</v>
      </c>
      <c r="I93" s="27">
        <f>IF('Working Sheet'!B131="ITEM",'Working Sheet'!H131,"")</f>
        <v>0.16420000000000001</v>
      </c>
      <c r="J93">
        <f>IF('Working Sheet'!B131="ITEM",'Working Sheet'!I131,"")</f>
        <v>10.5198</v>
      </c>
      <c r="K93">
        <f>IF('Working Sheet'!B131="ITEM",'Working Sheet'!J131,"")</f>
        <v>34.4998</v>
      </c>
      <c r="L93">
        <f>IF('Working Sheet'!B131="ITEM",'Working Sheet'!K131,"")</f>
        <v>3.1461000000000001</v>
      </c>
      <c r="M93" s="33">
        <f>IFERROR(Table2[[#This Row],[Value(1000$) 2022]]/Table2[[#This Row],[Volume(1000) 2022]],0)</f>
        <v>4.9468621076446319E-2</v>
      </c>
      <c r="N93" s="33">
        <f>IFERROR(Table2[[#This Row],[Value(1000$) 2023]]/Table2[[#This Row],[Volume(1000) 2023]],0)</f>
        <v>4.6585777308853965E-2</v>
      </c>
      <c r="O93" s="33">
        <f>IFERROR(Table2[[#This Row],[Value(1000$) 2024]]/Table2[[#This Row],[Volume(1000) 2024]],0)</f>
        <v>5.219160230126188E-2</v>
      </c>
      <c r="P93" s="33">
        <f>SUM(Table2[[#This Row],[Value(1000$) 2022]:[Value(1000$) 2024]])</f>
        <v>2.2918000000000003</v>
      </c>
      <c r="Q93" s="33">
        <f>SUM(Table2[[#This Row],[Volume(1000) 2022]:[Volume(1000) 2024]])</f>
        <v>48.165699999999994</v>
      </c>
      <c r="R93" s="33">
        <f>AVERAGE(Table2[[#This Row],[Average Price(2022)]:[Average Price(2024)]])</f>
        <v>4.9415333562187386E-2</v>
      </c>
    </row>
    <row r="94" spans="1:18" x14ac:dyDescent="0.3">
      <c r="A94" t="s">
        <v>128</v>
      </c>
      <c r="B94" t="s">
        <v>729</v>
      </c>
      <c r="C94" t="s">
        <v>846</v>
      </c>
      <c r="D94" t="s">
        <v>9</v>
      </c>
      <c r="E94" t="s">
        <v>20</v>
      </c>
      <c r="F94" s="27" t="str">
        <f>IF('Working Sheet'!B134="ITEM",'Working Sheet'!E134,"")</f>
        <v>120</v>
      </c>
      <c r="G94" s="27">
        <f>IF('Working Sheet'!B134="ITEM",'Working Sheet'!F134,"")</f>
        <v>0</v>
      </c>
      <c r="H94" s="27">
        <f>IF('Working Sheet'!B134="ITEM",'Working Sheet'!G134,"")</f>
        <v>0</v>
      </c>
      <c r="I94" s="27">
        <f>IF('Working Sheet'!B134="ITEM",'Working Sheet'!H134,"")</f>
        <v>0</v>
      </c>
      <c r="J94">
        <f>IF('Working Sheet'!B134="ITEM",'Working Sheet'!I134,"")</f>
        <v>0</v>
      </c>
      <c r="K94">
        <f>IF('Working Sheet'!B134="ITEM",'Working Sheet'!J134,"")</f>
        <v>0</v>
      </c>
      <c r="L94">
        <f>IF('Working Sheet'!B134="ITEM",'Working Sheet'!K134,"")</f>
        <v>0</v>
      </c>
      <c r="M94" s="33">
        <f>IFERROR(Table2[[#This Row],[Value(1000$) 2022]]/Table2[[#This Row],[Volume(1000) 2022]],0)</f>
        <v>0</v>
      </c>
      <c r="N94" s="33">
        <f>IFERROR(Table2[[#This Row],[Value(1000$) 2023]]/Table2[[#This Row],[Volume(1000) 2023]],0)</f>
        <v>0</v>
      </c>
      <c r="O94" s="33">
        <f>IFERROR(Table2[[#This Row],[Value(1000$) 2024]]/Table2[[#This Row],[Volume(1000) 2024]],0)</f>
        <v>0</v>
      </c>
      <c r="P94" s="33">
        <f>SUM(Table2[[#This Row],[Value(1000$) 2022]:[Value(1000$) 2024]])</f>
        <v>0</v>
      </c>
      <c r="Q94" s="33">
        <f>SUM(Table2[[#This Row],[Volume(1000) 2022]:[Volume(1000) 2024]])</f>
        <v>0</v>
      </c>
      <c r="R94" s="33">
        <f>AVERAGE(Table2[[#This Row],[Average Price(2022)]:[Average Price(2024)]])</f>
        <v>0</v>
      </c>
    </row>
    <row r="95" spans="1:18" x14ac:dyDescent="0.3">
      <c r="A95" t="s">
        <v>129</v>
      </c>
      <c r="B95" t="s">
        <v>730</v>
      </c>
      <c r="C95" t="s">
        <v>847</v>
      </c>
      <c r="D95" t="s">
        <v>9</v>
      </c>
      <c r="E95" t="s">
        <v>20</v>
      </c>
      <c r="F95" s="27" t="str">
        <f>IF('Working Sheet'!B137="ITEM",'Working Sheet'!E137,"")</f>
        <v>72</v>
      </c>
      <c r="G95" s="27">
        <f>IF('Working Sheet'!B137="ITEM",'Working Sheet'!F137,"")</f>
        <v>0</v>
      </c>
      <c r="H95" s="27">
        <f>IF('Working Sheet'!B137="ITEM",'Working Sheet'!G137,"")</f>
        <v>3.7900000000000003E-2</v>
      </c>
      <c r="I95" s="27">
        <f>IF('Working Sheet'!B137="ITEM",'Working Sheet'!H137,"")</f>
        <v>6.93E-2</v>
      </c>
      <c r="J95">
        <f>IF('Working Sheet'!B137="ITEM",'Working Sheet'!I137,"")</f>
        <v>0</v>
      </c>
      <c r="K95">
        <f>IF('Working Sheet'!B137="ITEM",'Working Sheet'!J137,"")</f>
        <v>2.3294000000000001</v>
      </c>
      <c r="L95">
        <f>IF('Working Sheet'!B137="ITEM",'Working Sheet'!K137,"")</f>
        <v>4.2670000000000003</v>
      </c>
      <c r="M95" s="33">
        <f>IFERROR(Table2[[#This Row],[Value(1000$) 2022]]/Table2[[#This Row],[Volume(1000) 2022]],0)</f>
        <v>0</v>
      </c>
      <c r="N95" s="33">
        <f>IFERROR(Table2[[#This Row],[Value(1000$) 2023]]/Table2[[#This Row],[Volume(1000) 2023]],0)</f>
        <v>1.6270284193354512E-2</v>
      </c>
      <c r="O95" s="33">
        <f>IFERROR(Table2[[#This Row],[Value(1000$) 2024]]/Table2[[#This Row],[Volume(1000) 2024]],0)</f>
        <v>1.6240918678228262E-2</v>
      </c>
      <c r="P95" s="33">
        <f>SUM(Table2[[#This Row],[Value(1000$) 2022]:[Value(1000$) 2024]])</f>
        <v>0.1072</v>
      </c>
      <c r="Q95" s="33">
        <f>SUM(Table2[[#This Row],[Volume(1000) 2022]:[Volume(1000) 2024]])</f>
        <v>6.5964000000000009</v>
      </c>
      <c r="R95" s="33">
        <f>AVERAGE(Table2[[#This Row],[Average Price(2022)]:[Average Price(2024)]])</f>
        <v>1.0837067623860925E-2</v>
      </c>
    </row>
    <row r="96" spans="1:18" x14ac:dyDescent="0.3">
      <c r="A96" t="s">
        <v>849</v>
      </c>
      <c r="B96" t="s">
        <v>731</v>
      </c>
      <c r="C96" t="s">
        <v>848</v>
      </c>
      <c r="D96" t="s">
        <v>9</v>
      </c>
      <c r="E96" t="s">
        <v>20</v>
      </c>
      <c r="F96" s="27" t="str">
        <f>IF('Working Sheet'!B140="ITEM",'Working Sheet'!E140,"")</f>
        <v>25</v>
      </c>
      <c r="G96" s="27">
        <f>IF('Working Sheet'!B140="ITEM",'Working Sheet'!F140,"")</f>
        <v>0</v>
      </c>
      <c r="H96" s="27">
        <f>IF('Working Sheet'!B140="ITEM",'Working Sheet'!G140,"")</f>
        <v>8.6E-3</v>
      </c>
      <c r="I96" s="27">
        <f>IF('Working Sheet'!B140="ITEM",'Working Sheet'!H140,"")</f>
        <v>13.3878</v>
      </c>
      <c r="J96">
        <f>IF('Working Sheet'!B140="ITEM",'Working Sheet'!I140,"")</f>
        <v>0</v>
      </c>
      <c r="K96">
        <f>IF('Working Sheet'!B140="ITEM",'Working Sheet'!J140,"")</f>
        <v>0.19639999999999999</v>
      </c>
      <c r="L96">
        <f>IF('Working Sheet'!B140="ITEM",'Working Sheet'!K140,"")</f>
        <v>341.02409999999998</v>
      </c>
      <c r="M96" s="33">
        <f>IFERROR(Table2[[#This Row],[Value(1000$) 2022]]/Table2[[#This Row],[Volume(1000) 2022]],0)</f>
        <v>0</v>
      </c>
      <c r="N96" s="33">
        <f>IFERROR(Table2[[#This Row],[Value(1000$) 2023]]/Table2[[#This Row],[Volume(1000) 2023]],0)</f>
        <v>4.3788187372708759E-2</v>
      </c>
      <c r="O96" s="33">
        <f>IFERROR(Table2[[#This Row],[Value(1000$) 2024]]/Table2[[#This Row],[Volume(1000) 2024]],0)</f>
        <v>3.9257636043904233E-2</v>
      </c>
      <c r="P96" s="33">
        <f>SUM(Table2[[#This Row],[Value(1000$) 2022]:[Value(1000$) 2024]])</f>
        <v>13.3964</v>
      </c>
      <c r="Q96" s="33">
        <f>SUM(Table2[[#This Row],[Volume(1000) 2022]:[Volume(1000) 2024]])</f>
        <v>341.22049999999996</v>
      </c>
      <c r="R96" s="33">
        <f>AVERAGE(Table2[[#This Row],[Average Price(2022)]:[Average Price(2024)]])</f>
        <v>2.7681941138870996E-2</v>
      </c>
    </row>
    <row r="97" spans="1:18" x14ac:dyDescent="0.3">
      <c r="A97" t="s">
        <v>850</v>
      </c>
      <c r="B97" t="s">
        <v>731</v>
      </c>
      <c r="C97" t="s">
        <v>848</v>
      </c>
      <c r="D97" t="s">
        <v>9</v>
      </c>
      <c r="E97" t="s">
        <v>20</v>
      </c>
      <c r="F97" s="27" t="str">
        <f>IF('Working Sheet'!B141="ITEM",'Working Sheet'!E141,"")</f>
        <v>25</v>
      </c>
      <c r="G97" s="27">
        <f>IF('Working Sheet'!B141="ITEM",'Working Sheet'!F141,"")</f>
        <v>0</v>
      </c>
      <c r="H97" s="27">
        <f>IF('Working Sheet'!B141="ITEM",'Working Sheet'!G141,"")</f>
        <v>4.8898999999999999</v>
      </c>
      <c r="I97" s="27">
        <f>IF('Working Sheet'!B141="ITEM",'Working Sheet'!H141,"")</f>
        <v>10.664400000000001</v>
      </c>
      <c r="J97">
        <f>IF('Working Sheet'!B141="ITEM",'Working Sheet'!I141,"")</f>
        <v>0</v>
      </c>
      <c r="K97">
        <f>IF('Working Sheet'!B141="ITEM",'Working Sheet'!J141,"")</f>
        <v>145.9169</v>
      </c>
      <c r="L97">
        <f>IF('Working Sheet'!B141="ITEM",'Working Sheet'!K141,"")</f>
        <v>284.60649999999998</v>
      </c>
      <c r="M97" s="33">
        <f>IFERROR(Table2[[#This Row],[Value(1000$) 2022]]/Table2[[#This Row],[Volume(1000) 2022]],0)</f>
        <v>0</v>
      </c>
      <c r="N97" s="33">
        <f>IFERROR(Table2[[#This Row],[Value(1000$) 2023]]/Table2[[#This Row],[Volume(1000) 2023]],0)</f>
        <v>3.3511539787372126E-2</v>
      </c>
      <c r="O97" s="33">
        <f>IFERROR(Table2[[#This Row],[Value(1000$) 2024]]/Table2[[#This Row],[Volume(1000) 2024]],0)</f>
        <v>3.7470683206462262E-2</v>
      </c>
      <c r="P97" s="33">
        <f>SUM(Table2[[#This Row],[Value(1000$) 2022]:[Value(1000$) 2024]])</f>
        <v>15.554300000000001</v>
      </c>
      <c r="Q97" s="33">
        <f>SUM(Table2[[#This Row],[Volume(1000) 2022]:[Volume(1000) 2024]])</f>
        <v>430.52339999999998</v>
      </c>
      <c r="R97" s="33">
        <f>AVERAGE(Table2[[#This Row],[Average Price(2022)]:[Average Price(2024)]])</f>
        <v>2.3660740997944796E-2</v>
      </c>
    </row>
    <row r="98" spans="1:18" x14ac:dyDescent="0.3">
      <c r="A98" t="s">
        <v>851</v>
      </c>
      <c r="B98" t="s">
        <v>731</v>
      </c>
      <c r="C98" t="s">
        <v>848</v>
      </c>
      <c r="D98" t="s">
        <v>9</v>
      </c>
      <c r="E98" t="s">
        <v>20</v>
      </c>
      <c r="F98" s="27" t="str">
        <f>IF('Working Sheet'!B142="ITEM",'Working Sheet'!E142,"")</f>
        <v>25</v>
      </c>
      <c r="G98" s="27">
        <f>IF('Working Sheet'!B142="ITEM",'Working Sheet'!F142,"")</f>
        <v>0</v>
      </c>
      <c r="H98" s="27">
        <f>IF('Working Sheet'!B142="ITEM",'Working Sheet'!G142,"")</f>
        <v>5.8544999999999998</v>
      </c>
      <c r="I98" s="27">
        <f>IF('Working Sheet'!B142="ITEM",'Working Sheet'!H142,"")</f>
        <v>9.0564</v>
      </c>
      <c r="J98">
        <f>IF('Working Sheet'!B142="ITEM",'Working Sheet'!I142,"")</f>
        <v>0</v>
      </c>
      <c r="K98">
        <f>IF('Working Sheet'!B142="ITEM",'Working Sheet'!J142,"")</f>
        <v>166.38579999999999</v>
      </c>
      <c r="L98">
        <f>IF('Working Sheet'!B142="ITEM",'Working Sheet'!K142,"")</f>
        <v>238.54349999999999</v>
      </c>
      <c r="M98" s="33">
        <f>IFERROR(Table2[[#This Row],[Value(1000$) 2022]]/Table2[[#This Row],[Volume(1000) 2022]],0)</f>
        <v>0</v>
      </c>
      <c r="N98" s="33">
        <f>IFERROR(Table2[[#This Row],[Value(1000$) 2023]]/Table2[[#This Row],[Volume(1000) 2023]],0)</f>
        <v>3.5186295945928078E-2</v>
      </c>
      <c r="O98" s="33">
        <f>IFERROR(Table2[[#This Row],[Value(1000$) 2024]]/Table2[[#This Row],[Volume(1000) 2024]],0)</f>
        <v>3.7965402536644259E-2</v>
      </c>
      <c r="P98" s="33">
        <f>SUM(Table2[[#This Row],[Value(1000$) 2022]:[Value(1000$) 2024]])</f>
        <v>14.9109</v>
      </c>
      <c r="Q98" s="33">
        <f>SUM(Table2[[#This Row],[Volume(1000) 2022]:[Volume(1000) 2024]])</f>
        <v>404.92930000000001</v>
      </c>
      <c r="R98" s="33">
        <f>AVERAGE(Table2[[#This Row],[Average Price(2022)]:[Average Price(2024)]])</f>
        <v>2.4383899494190776E-2</v>
      </c>
    </row>
    <row r="99" spans="1:18" x14ac:dyDescent="0.3">
      <c r="A99" t="s">
        <v>852</v>
      </c>
      <c r="B99" t="s">
        <v>731</v>
      </c>
      <c r="C99" t="s">
        <v>848</v>
      </c>
      <c r="D99" t="s">
        <v>9</v>
      </c>
      <c r="E99" t="s">
        <v>20</v>
      </c>
      <c r="F99" s="27" t="str">
        <f>IF('Working Sheet'!B143="ITEM",'Working Sheet'!E143,"")</f>
        <v>66</v>
      </c>
      <c r="G99" s="27">
        <f>IF('Working Sheet'!B143="ITEM",'Working Sheet'!F143,"")</f>
        <v>0</v>
      </c>
      <c r="H99" s="27">
        <f>IF('Working Sheet'!B143="ITEM",'Working Sheet'!G143,"")</f>
        <v>0</v>
      </c>
      <c r="I99" s="27">
        <f>IF('Working Sheet'!B143="ITEM",'Working Sheet'!H143,"")</f>
        <v>0.9879</v>
      </c>
      <c r="J99">
        <f>IF('Working Sheet'!B143="ITEM",'Working Sheet'!I143,"")</f>
        <v>0</v>
      </c>
      <c r="K99">
        <f>IF('Working Sheet'!B143="ITEM",'Working Sheet'!J143,"")</f>
        <v>0</v>
      </c>
      <c r="L99">
        <f>IF('Working Sheet'!B143="ITEM",'Working Sheet'!K143,"")</f>
        <v>34.929000000000002</v>
      </c>
      <c r="M99" s="33">
        <f>IFERROR(Table2[[#This Row],[Value(1000$) 2022]]/Table2[[#This Row],[Volume(1000) 2022]],0)</f>
        <v>0</v>
      </c>
      <c r="N99" s="33">
        <f>IFERROR(Table2[[#This Row],[Value(1000$) 2023]]/Table2[[#This Row],[Volume(1000) 2023]],0)</f>
        <v>0</v>
      </c>
      <c r="O99" s="33">
        <f>IFERROR(Table2[[#This Row],[Value(1000$) 2024]]/Table2[[#This Row],[Volume(1000) 2024]],0)</f>
        <v>2.8283088551060723E-2</v>
      </c>
      <c r="P99" s="33">
        <f>SUM(Table2[[#This Row],[Value(1000$) 2022]:[Value(1000$) 2024]])</f>
        <v>0.9879</v>
      </c>
      <c r="Q99" s="33">
        <f>SUM(Table2[[#This Row],[Volume(1000) 2022]:[Volume(1000) 2024]])</f>
        <v>34.929000000000002</v>
      </c>
      <c r="R99" s="33">
        <f>AVERAGE(Table2[[#This Row],[Average Price(2022)]:[Average Price(2024)]])</f>
        <v>9.427696183686907E-3</v>
      </c>
    </row>
    <row r="100" spans="1:18" x14ac:dyDescent="0.3">
      <c r="A100" t="s">
        <v>853</v>
      </c>
      <c r="B100" t="s">
        <v>731</v>
      </c>
      <c r="C100" t="s">
        <v>848</v>
      </c>
      <c r="D100" t="s">
        <v>9</v>
      </c>
      <c r="E100" t="s">
        <v>20</v>
      </c>
      <c r="F100" s="27" t="str">
        <f>IF('Working Sheet'!B144="ITEM",'Working Sheet'!E144,"")</f>
        <v>80</v>
      </c>
      <c r="G100" s="27">
        <f>IF('Working Sheet'!B144="ITEM",'Working Sheet'!F144,"")</f>
        <v>15.267200000000001</v>
      </c>
      <c r="H100" s="27">
        <f>IF('Working Sheet'!B144="ITEM",'Working Sheet'!G144,"")</f>
        <v>16.318300000000001</v>
      </c>
      <c r="I100" s="27">
        <f>IF('Working Sheet'!B144="ITEM",'Working Sheet'!H144,"")</f>
        <v>16.784099999999999</v>
      </c>
      <c r="J100">
        <f>IF('Working Sheet'!B144="ITEM",'Working Sheet'!I144,"")</f>
        <v>431.15870000000001</v>
      </c>
      <c r="K100">
        <f>IF('Working Sheet'!B144="ITEM",'Working Sheet'!J144,"")</f>
        <v>473.67329999999998</v>
      </c>
      <c r="L100">
        <f>IF('Working Sheet'!B144="ITEM",'Working Sheet'!K144,"")</f>
        <v>505.80540000000002</v>
      </c>
      <c r="M100" s="33">
        <f>IFERROR(Table2[[#This Row],[Value(1000$) 2022]]/Table2[[#This Row],[Volume(1000) 2022]],0)</f>
        <v>3.5409699491161843E-2</v>
      </c>
      <c r="N100" s="33">
        <f>IFERROR(Table2[[#This Row],[Value(1000$) 2023]]/Table2[[#This Row],[Volume(1000) 2023]],0)</f>
        <v>3.4450537955168684E-2</v>
      </c>
      <c r="O100" s="33">
        <f>IFERROR(Table2[[#This Row],[Value(1000$) 2024]]/Table2[[#This Row],[Volume(1000) 2024]],0)</f>
        <v>3.3182919755305101E-2</v>
      </c>
      <c r="P100" s="33">
        <f>SUM(Table2[[#This Row],[Value(1000$) 2022]:[Value(1000$) 2024]])</f>
        <v>48.369600000000005</v>
      </c>
      <c r="Q100" s="33">
        <f>SUM(Table2[[#This Row],[Volume(1000) 2022]:[Volume(1000) 2024]])</f>
        <v>1410.6374000000001</v>
      </c>
      <c r="R100" s="33">
        <f>AVERAGE(Table2[[#This Row],[Average Price(2022)]:[Average Price(2024)]])</f>
        <v>3.4347719067211874E-2</v>
      </c>
    </row>
    <row r="101" spans="1:18" x14ac:dyDescent="0.3">
      <c r="A101" t="s">
        <v>854</v>
      </c>
      <c r="B101" t="s">
        <v>731</v>
      </c>
      <c r="C101" t="s">
        <v>848</v>
      </c>
      <c r="D101" t="s">
        <v>9</v>
      </c>
      <c r="E101" t="s">
        <v>20</v>
      </c>
      <c r="F101" s="27" t="str">
        <f>IF('Working Sheet'!B145="ITEM",'Working Sheet'!E145,"")</f>
        <v>80</v>
      </c>
      <c r="G101" s="27">
        <f>IF('Working Sheet'!B145="ITEM",'Working Sheet'!F145,"")</f>
        <v>9.5295000000000005</v>
      </c>
      <c r="H101" s="27">
        <f>IF('Working Sheet'!B145="ITEM",'Working Sheet'!G145,"")</f>
        <v>13.395300000000001</v>
      </c>
      <c r="I101" s="27">
        <f>IF('Working Sheet'!B145="ITEM",'Working Sheet'!H145,"")</f>
        <v>18.126999999999999</v>
      </c>
      <c r="J101">
        <f>IF('Working Sheet'!B145="ITEM",'Working Sheet'!I145,"")</f>
        <v>274.45499999999998</v>
      </c>
      <c r="K101">
        <f>IF('Working Sheet'!B145="ITEM",'Working Sheet'!J145,"")</f>
        <v>396.72109999999998</v>
      </c>
      <c r="L101">
        <f>IF('Working Sheet'!B145="ITEM",'Working Sheet'!K145,"")</f>
        <v>559.59109999999998</v>
      </c>
      <c r="M101" s="33">
        <f>IFERROR(Table2[[#This Row],[Value(1000$) 2022]]/Table2[[#This Row],[Volume(1000) 2022]],0)</f>
        <v>3.472153905011751E-2</v>
      </c>
      <c r="N101" s="33">
        <f>IFERROR(Table2[[#This Row],[Value(1000$) 2023]]/Table2[[#This Row],[Volume(1000) 2023]],0)</f>
        <v>3.376503039540877E-2</v>
      </c>
      <c r="O101" s="33">
        <f>IFERROR(Table2[[#This Row],[Value(1000$) 2024]]/Table2[[#This Row],[Volume(1000) 2024]],0)</f>
        <v>3.2393295747555673E-2</v>
      </c>
      <c r="P101" s="33">
        <f>SUM(Table2[[#This Row],[Value(1000$) 2022]:[Value(1000$) 2024]])</f>
        <v>41.0518</v>
      </c>
      <c r="Q101" s="33">
        <f>SUM(Table2[[#This Row],[Volume(1000) 2022]:[Volume(1000) 2024]])</f>
        <v>1230.7671999999998</v>
      </c>
      <c r="R101" s="33">
        <f>AVERAGE(Table2[[#This Row],[Average Price(2022)]:[Average Price(2024)]])</f>
        <v>3.3626621731027317E-2</v>
      </c>
    </row>
    <row r="102" spans="1:18" x14ac:dyDescent="0.3">
      <c r="A102" t="s">
        <v>855</v>
      </c>
      <c r="B102" t="s">
        <v>731</v>
      </c>
      <c r="C102" t="s">
        <v>848</v>
      </c>
      <c r="D102" t="s">
        <v>9</v>
      </c>
      <c r="E102" t="s">
        <v>20</v>
      </c>
      <c r="F102" s="27" t="str">
        <f>IF('Working Sheet'!B146="ITEM",'Working Sheet'!E146,"")</f>
        <v>80</v>
      </c>
      <c r="G102" s="27">
        <f>IF('Working Sheet'!B146="ITEM",'Working Sheet'!F146,"")</f>
        <v>11.2293</v>
      </c>
      <c r="H102" s="27">
        <f>IF('Working Sheet'!B146="ITEM",'Working Sheet'!G146,"")</f>
        <v>14.7631</v>
      </c>
      <c r="I102" s="27">
        <f>IF('Working Sheet'!B146="ITEM",'Working Sheet'!H146,"")</f>
        <v>16.131900000000002</v>
      </c>
      <c r="J102">
        <f>IF('Working Sheet'!B146="ITEM",'Working Sheet'!I146,"")</f>
        <v>318.93810000000002</v>
      </c>
      <c r="K102">
        <f>IF('Working Sheet'!B146="ITEM",'Working Sheet'!J146,"")</f>
        <v>440.8152</v>
      </c>
      <c r="L102">
        <f>IF('Working Sheet'!B146="ITEM",'Working Sheet'!K146,"")</f>
        <v>474.58569999999997</v>
      </c>
      <c r="M102" s="33">
        <f>IFERROR(Table2[[#This Row],[Value(1000$) 2022]]/Table2[[#This Row],[Volume(1000) 2022]],0)</f>
        <v>3.5208399372793651E-2</v>
      </c>
      <c r="N102" s="33">
        <f>IFERROR(Table2[[#This Row],[Value(1000$) 2023]]/Table2[[#This Row],[Volume(1000) 2023]],0)</f>
        <v>3.349045132744969E-2</v>
      </c>
      <c r="O102" s="33">
        <f>IFERROR(Table2[[#This Row],[Value(1000$) 2024]]/Table2[[#This Row],[Volume(1000) 2024]],0)</f>
        <v>3.3991542518032047E-2</v>
      </c>
      <c r="P102" s="33">
        <f>SUM(Table2[[#This Row],[Value(1000$) 2022]:[Value(1000$) 2024]])</f>
        <v>42.124300000000005</v>
      </c>
      <c r="Q102" s="33">
        <f>SUM(Table2[[#This Row],[Volume(1000) 2022]:[Volume(1000) 2024]])</f>
        <v>1234.3389999999999</v>
      </c>
      <c r="R102" s="33">
        <f>AVERAGE(Table2[[#This Row],[Average Price(2022)]:[Average Price(2024)]])</f>
        <v>3.4230131072758463E-2</v>
      </c>
    </row>
    <row r="103" spans="1:18" x14ac:dyDescent="0.3">
      <c r="A103" t="s">
        <v>819</v>
      </c>
      <c r="B103" t="s">
        <v>732</v>
      </c>
      <c r="C103" t="s">
        <v>856</v>
      </c>
      <c r="D103" t="s">
        <v>9</v>
      </c>
      <c r="E103" t="s">
        <v>10</v>
      </c>
      <c r="F103" s="27" t="str">
        <f>IF('Working Sheet'!B149="ITEM",'Working Sheet'!E149,"")</f>
        <v>60</v>
      </c>
      <c r="G103" s="27">
        <f>IF('Working Sheet'!B149="ITEM",'Working Sheet'!F149,"")</f>
        <v>1.03E-2</v>
      </c>
      <c r="H103" s="27">
        <f>IF('Working Sheet'!B149="ITEM",'Working Sheet'!G149,"")</f>
        <v>0</v>
      </c>
      <c r="I103" s="27">
        <f>IF('Working Sheet'!B149="ITEM",'Working Sheet'!H149,"")</f>
        <v>0</v>
      </c>
      <c r="J103">
        <f>IF('Working Sheet'!B149="ITEM",'Working Sheet'!I149,"")</f>
        <v>0.3876</v>
      </c>
      <c r="K103">
        <f>IF('Working Sheet'!B149="ITEM",'Working Sheet'!J149,"")</f>
        <v>0</v>
      </c>
      <c r="L103">
        <f>IF('Working Sheet'!B149="ITEM",'Working Sheet'!K149,"")</f>
        <v>0</v>
      </c>
      <c r="M103" s="33">
        <f>IFERROR(Table2[[#This Row],[Value(1000$) 2022]]/Table2[[#This Row],[Volume(1000) 2022]],0)</f>
        <v>2.6573787409700723E-2</v>
      </c>
      <c r="N103" s="33">
        <f>IFERROR(Table2[[#This Row],[Value(1000$) 2023]]/Table2[[#This Row],[Volume(1000) 2023]],0)</f>
        <v>0</v>
      </c>
      <c r="O103" s="33">
        <f>IFERROR(Table2[[#This Row],[Value(1000$) 2024]]/Table2[[#This Row],[Volume(1000) 2024]],0)</f>
        <v>0</v>
      </c>
      <c r="P103" s="33">
        <f>SUM(Table2[[#This Row],[Value(1000$) 2022]:[Value(1000$) 2024]])</f>
        <v>1.03E-2</v>
      </c>
      <c r="Q103" s="33">
        <f>SUM(Table2[[#This Row],[Volume(1000) 2022]:[Volume(1000) 2024]])</f>
        <v>0.3876</v>
      </c>
      <c r="R103" s="33">
        <f>AVERAGE(Table2[[#This Row],[Average Price(2022)]:[Average Price(2024)]])</f>
        <v>8.8579291365669076E-3</v>
      </c>
    </row>
    <row r="104" spans="1:18" x14ac:dyDescent="0.3">
      <c r="A104" t="s">
        <v>130</v>
      </c>
      <c r="B104" t="s">
        <v>733</v>
      </c>
      <c r="C104" t="s">
        <v>857</v>
      </c>
      <c r="D104" t="s">
        <v>9</v>
      </c>
      <c r="E104" t="s">
        <v>10</v>
      </c>
      <c r="F104" s="27" t="str">
        <f>IF('Working Sheet'!B152="ITEM",'Working Sheet'!E152,"")</f>
        <v>120</v>
      </c>
      <c r="G104" s="27">
        <f>IF('Working Sheet'!B152="ITEM",'Working Sheet'!F152,"")</f>
        <v>0</v>
      </c>
      <c r="H104" s="27">
        <f>IF('Working Sheet'!B152="ITEM",'Working Sheet'!G152,"")</f>
        <v>1.8077000000000001</v>
      </c>
      <c r="I104" s="27">
        <f>IF('Working Sheet'!B152="ITEM",'Working Sheet'!H152,"")</f>
        <v>54.250700000000002</v>
      </c>
      <c r="J104">
        <f>IF('Working Sheet'!B152="ITEM",'Working Sheet'!I152,"")</f>
        <v>0</v>
      </c>
      <c r="K104">
        <f>IF('Working Sheet'!B152="ITEM",'Working Sheet'!J152,"")</f>
        <v>127.6024</v>
      </c>
      <c r="L104">
        <f>IF('Working Sheet'!B152="ITEM",'Working Sheet'!K152,"")</f>
        <v>2956.24</v>
      </c>
      <c r="M104" s="33">
        <f>IFERROR(Table2[[#This Row],[Value(1000$) 2022]]/Table2[[#This Row],[Volume(1000) 2022]],0)</f>
        <v>0</v>
      </c>
      <c r="N104" s="33">
        <f>IFERROR(Table2[[#This Row],[Value(1000$) 2023]]/Table2[[#This Row],[Volume(1000) 2023]],0)</f>
        <v>1.4166661442104538E-2</v>
      </c>
      <c r="O104" s="33">
        <f>IFERROR(Table2[[#This Row],[Value(1000$) 2024]]/Table2[[#This Row],[Volume(1000) 2024]],0)</f>
        <v>1.8351250236787273E-2</v>
      </c>
      <c r="P104" s="33">
        <f>SUM(Table2[[#This Row],[Value(1000$) 2022]:[Value(1000$) 2024]])</f>
        <v>56.058399999999999</v>
      </c>
      <c r="Q104" s="33">
        <f>SUM(Table2[[#This Row],[Volume(1000) 2022]:[Volume(1000) 2024]])</f>
        <v>3083.8424</v>
      </c>
      <c r="R104" s="33">
        <f>AVERAGE(Table2[[#This Row],[Average Price(2022)]:[Average Price(2024)]])</f>
        <v>1.0839303892963939E-2</v>
      </c>
    </row>
    <row r="105" spans="1:18" x14ac:dyDescent="0.3">
      <c r="A105" t="s">
        <v>132</v>
      </c>
      <c r="B105" t="s">
        <v>734</v>
      </c>
      <c r="C105" t="s">
        <v>131</v>
      </c>
      <c r="D105" t="s">
        <v>9</v>
      </c>
      <c r="E105" t="s">
        <v>10</v>
      </c>
      <c r="F105" s="27" t="str">
        <f>IF('Working Sheet'!B155="ITEM",'Working Sheet'!E155,"")</f>
        <v>20</v>
      </c>
      <c r="G105" s="27">
        <f>IF('Working Sheet'!B155="ITEM",'Working Sheet'!F155,"")</f>
        <v>0</v>
      </c>
      <c r="H105" s="27">
        <f>IF('Working Sheet'!B155="ITEM",'Working Sheet'!G155,"")</f>
        <v>0.1202</v>
      </c>
      <c r="I105" s="27">
        <f>IF('Working Sheet'!B155="ITEM",'Working Sheet'!H155,"")</f>
        <v>0</v>
      </c>
      <c r="J105">
        <f>IF('Working Sheet'!B155="ITEM",'Working Sheet'!I155,"")</f>
        <v>0</v>
      </c>
      <c r="K105">
        <f>IF('Working Sheet'!B155="ITEM",'Working Sheet'!J155,"")</f>
        <v>2.4085999999999999</v>
      </c>
      <c r="L105">
        <f>IF('Working Sheet'!B155="ITEM",'Working Sheet'!K155,"")</f>
        <v>0</v>
      </c>
      <c r="M105" s="33">
        <f>IFERROR(Table2[[#This Row],[Value(1000$) 2022]]/Table2[[#This Row],[Volume(1000) 2022]],0)</f>
        <v>0</v>
      </c>
      <c r="N105" s="33">
        <f>IFERROR(Table2[[#This Row],[Value(1000$) 2023]]/Table2[[#This Row],[Volume(1000) 2023]],0)</f>
        <v>4.9904508843311469E-2</v>
      </c>
      <c r="O105" s="33">
        <f>IFERROR(Table2[[#This Row],[Value(1000$) 2024]]/Table2[[#This Row],[Volume(1000) 2024]],0)</f>
        <v>0</v>
      </c>
      <c r="P105" s="33">
        <f>SUM(Table2[[#This Row],[Value(1000$) 2022]:[Value(1000$) 2024]])</f>
        <v>0.1202</v>
      </c>
      <c r="Q105" s="33">
        <f>SUM(Table2[[#This Row],[Volume(1000) 2022]:[Volume(1000) 2024]])</f>
        <v>2.4085999999999999</v>
      </c>
      <c r="R105" s="33">
        <f>AVERAGE(Table2[[#This Row],[Average Price(2022)]:[Average Price(2024)]])</f>
        <v>1.6634836281103824E-2</v>
      </c>
    </row>
    <row r="106" spans="1:18" x14ac:dyDescent="0.3">
      <c r="A106" t="s">
        <v>133</v>
      </c>
      <c r="B106" t="s">
        <v>735</v>
      </c>
      <c r="C106" t="s">
        <v>858</v>
      </c>
      <c r="D106" t="s">
        <v>9</v>
      </c>
      <c r="E106" t="s">
        <v>20</v>
      </c>
      <c r="F106" s="27" t="str">
        <f>IF('Working Sheet'!B158="ITEM",'Working Sheet'!E158,"")</f>
        <v>120</v>
      </c>
      <c r="G106" s="27">
        <f>IF('Working Sheet'!B158="ITEM",'Working Sheet'!F158,"")</f>
        <v>28.356999999999999</v>
      </c>
      <c r="H106" s="27">
        <f>IF('Working Sheet'!B158="ITEM",'Working Sheet'!G158,"")</f>
        <v>20.580200000000001</v>
      </c>
      <c r="I106" s="27">
        <f>IF('Working Sheet'!B158="ITEM",'Working Sheet'!H158,"")</f>
        <v>0.78890000000000005</v>
      </c>
      <c r="J106">
        <f>IF('Working Sheet'!B158="ITEM",'Working Sheet'!I158,"")</f>
        <v>1646.7402</v>
      </c>
      <c r="K106">
        <f>IF('Working Sheet'!B158="ITEM",'Working Sheet'!J158,"")</f>
        <v>1088.8000999999999</v>
      </c>
      <c r="L106">
        <f>IF('Working Sheet'!B158="ITEM",'Working Sheet'!K158,"")</f>
        <v>38.968699999999998</v>
      </c>
      <c r="M106" s="33">
        <f>IFERROR(Table2[[#This Row],[Value(1000$) 2022]]/Table2[[#This Row],[Volume(1000) 2022]],0)</f>
        <v>1.722008122471292E-2</v>
      </c>
      <c r="N106" s="33">
        <f>IFERROR(Table2[[#This Row],[Value(1000$) 2023]]/Table2[[#This Row],[Volume(1000) 2023]],0)</f>
        <v>1.8901724935550614E-2</v>
      </c>
      <c r="O106" s="33">
        <f>IFERROR(Table2[[#This Row],[Value(1000$) 2024]]/Table2[[#This Row],[Volume(1000) 2024]],0)</f>
        <v>2.0244452599137257E-2</v>
      </c>
      <c r="P106" s="33">
        <f>SUM(Table2[[#This Row],[Value(1000$) 2022]:[Value(1000$) 2024]])</f>
        <v>49.726100000000002</v>
      </c>
      <c r="Q106" s="33">
        <f>SUM(Table2[[#This Row],[Volume(1000) 2022]:[Volume(1000) 2024]])</f>
        <v>2774.5089999999996</v>
      </c>
      <c r="R106" s="33">
        <f>AVERAGE(Table2[[#This Row],[Average Price(2022)]:[Average Price(2024)]])</f>
        <v>1.8788752919800263E-2</v>
      </c>
    </row>
    <row r="107" spans="1:18" x14ac:dyDescent="0.3">
      <c r="A107" t="s">
        <v>134</v>
      </c>
      <c r="B107" t="s">
        <v>735</v>
      </c>
      <c r="C107" t="s">
        <v>858</v>
      </c>
      <c r="D107" t="s">
        <v>9</v>
      </c>
      <c r="E107" t="s">
        <v>30</v>
      </c>
      <c r="F107" s="27" t="str">
        <f>IF('Working Sheet'!B159="ITEM",'Working Sheet'!E159,"")</f>
        <v>120</v>
      </c>
      <c r="G107" s="27">
        <f>IF('Working Sheet'!B159="ITEM",'Working Sheet'!F159,"")</f>
        <v>12.003299999999999</v>
      </c>
      <c r="H107" s="27">
        <f>IF('Working Sheet'!B159="ITEM",'Working Sheet'!G159,"")</f>
        <v>12.0252</v>
      </c>
      <c r="I107" s="27">
        <f>IF('Working Sheet'!B159="ITEM",'Working Sheet'!H159,"")</f>
        <v>1.8045</v>
      </c>
      <c r="J107">
        <f>IF('Working Sheet'!B159="ITEM",'Working Sheet'!I159,"")</f>
        <v>643.41989999999998</v>
      </c>
      <c r="K107">
        <f>IF('Working Sheet'!B159="ITEM",'Working Sheet'!J159,"")</f>
        <v>689.18370000000004</v>
      </c>
      <c r="L107">
        <f>IF('Working Sheet'!B159="ITEM",'Working Sheet'!K159,"")</f>
        <v>98.837400000000002</v>
      </c>
      <c r="M107" s="33">
        <f>IFERROR(Table2[[#This Row],[Value(1000$) 2022]]/Table2[[#This Row],[Volume(1000) 2022]],0)</f>
        <v>1.8655469002435268E-2</v>
      </c>
      <c r="N107" s="33">
        <f>IFERROR(Table2[[#This Row],[Value(1000$) 2023]]/Table2[[#This Row],[Volume(1000) 2023]],0)</f>
        <v>1.7448468383683479E-2</v>
      </c>
      <c r="O107" s="33">
        <f>IFERROR(Table2[[#This Row],[Value(1000$) 2024]]/Table2[[#This Row],[Volume(1000) 2024]],0)</f>
        <v>1.825725889187696E-2</v>
      </c>
      <c r="P107" s="33">
        <f>SUM(Table2[[#This Row],[Value(1000$) 2022]:[Value(1000$) 2024]])</f>
        <v>25.833000000000002</v>
      </c>
      <c r="Q107" s="33">
        <f>SUM(Table2[[#This Row],[Volume(1000) 2022]:[Volume(1000) 2024]])</f>
        <v>1431.4409999999998</v>
      </c>
      <c r="R107" s="33">
        <f>AVERAGE(Table2[[#This Row],[Average Price(2022)]:[Average Price(2024)]])</f>
        <v>1.8120398759331902E-2</v>
      </c>
    </row>
    <row r="108" spans="1:18" x14ac:dyDescent="0.3">
      <c r="A108" t="s">
        <v>135</v>
      </c>
      <c r="B108" t="s">
        <v>735</v>
      </c>
      <c r="C108" t="s">
        <v>858</v>
      </c>
      <c r="D108" t="s">
        <v>9</v>
      </c>
      <c r="E108" t="s">
        <v>30</v>
      </c>
      <c r="F108" s="27" t="str">
        <f>IF('Working Sheet'!B160="ITEM",'Working Sheet'!E160,"")</f>
        <v>120</v>
      </c>
      <c r="G108" s="27">
        <f>IF('Working Sheet'!B160="ITEM",'Working Sheet'!F160,"")</f>
        <v>0.11600000000000001</v>
      </c>
      <c r="H108" s="27">
        <f>IF('Working Sheet'!B160="ITEM",'Working Sheet'!G160,"")</f>
        <v>0</v>
      </c>
      <c r="I108" s="27">
        <f>IF('Working Sheet'!B160="ITEM",'Working Sheet'!H160,"")</f>
        <v>0</v>
      </c>
      <c r="J108">
        <f>IF('Working Sheet'!B160="ITEM",'Working Sheet'!I160,"")</f>
        <v>6.96</v>
      </c>
      <c r="K108">
        <f>IF('Working Sheet'!B160="ITEM",'Working Sheet'!J160,"")</f>
        <v>0</v>
      </c>
      <c r="L108">
        <f>IF('Working Sheet'!B160="ITEM",'Working Sheet'!K160,"")</f>
        <v>0</v>
      </c>
      <c r="M108" s="33">
        <f>IFERROR(Table2[[#This Row],[Value(1000$) 2022]]/Table2[[#This Row],[Volume(1000) 2022]],0)</f>
        <v>1.6666666666666666E-2</v>
      </c>
      <c r="N108" s="33">
        <f>IFERROR(Table2[[#This Row],[Value(1000$) 2023]]/Table2[[#This Row],[Volume(1000) 2023]],0)</f>
        <v>0</v>
      </c>
      <c r="O108" s="33">
        <f>IFERROR(Table2[[#This Row],[Value(1000$) 2024]]/Table2[[#This Row],[Volume(1000) 2024]],0)</f>
        <v>0</v>
      </c>
      <c r="P108" s="33">
        <f>SUM(Table2[[#This Row],[Value(1000$) 2022]:[Value(1000$) 2024]])</f>
        <v>0.11600000000000001</v>
      </c>
      <c r="Q108" s="33">
        <f>SUM(Table2[[#This Row],[Volume(1000) 2022]:[Volume(1000) 2024]])</f>
        <v>6.96</v>
      </c>
      <c r="R108" s="33">
        <f>AVERAGE(Table2[[#This Row],[Average Price(2022)]:[Average Price(2024)]])</f>
        <v>5.5555555555555558E-3</v>
      </c>
    </row>
    <row r="109" spans="1:18" x14ac:dyDescent="0.3">
      <c r="A109" t="s">
        <v>136</v>
      </c>
      <c r="B109" t="s">
        <v>735</v>
      </c>
      <c r="C109" t="s">
        <v>858</v>
      </c>
      <c r="D109" t="s">
        <v>9</v>
      </c>
      <c r="E109" t="s">
        <v>20</v>
      </c>
      <c r="F109" s="27" t="str">
        <f>IF('Working Sheet'!B161="ITEM",'Working Sheet'!E161,"")</f>
        <v>60</v>
      </c>
      <c r="G109" s="27">
        <f>IF('Working Sheet'!B161="ITEM",'Working Sheet'!F161,"")</f>
        <v>4.6429999999999998</v>
      </c>
      <c r="H109" s="27">
        <f>IF('Working Sheet'!B161="ITEM",'Working Sheet'!G161,"")</f>
        <v>2.3708</v>
      </c>
      <c r="I109" s="27">
        <f>IF('Working Sheet'!B161="ITEM",'Working Sheet'!H161,"")</f>
        <v>3.8805999999999998</v>
      </c>
      <c r="J109">
        <f>IF('Working Sheet'!B161="ITEM",'Working Sheet'!I161,"")</f>
        <v>208.76240000000001</v>
      </c>
      <c r="K109">
        <f>IF('Working Sheet'!B161="ITEM",'Working Sheet'!J161,"")</f>
        <v>99.124899999999997</v>
      </c>
      <c r="L109">
        <f>IF('Working Sheet'!B161="ITEM",'Working Sheet'!K161,"")</f>
        <v>163.75460000000001</v>
      </c>
      <c r="M109" s="33">
        <f>IFERROR(Table2[[#This Row],[Value(1000$) 2022]]/Table2[[#This Row],[Volume(1000) 2022]],0)</f>
        <v>2.2240595049683273E-2</v>
      </c>
      <c r="N109" s="33">
        <f>IFERROR(Table2[[#This Row],[Value(1000$) 2023]]/Table2[[#This Row],[Volume(1000) 2023]],0)</f>
        <v>2.3917300294880501E-2</v>
      </c>
      <c r="O109" s="33">
        <f>IFERROR(Table2[[#This Row],[Value(1000$) 2024]]/Table2[[#This Row],[Volume(1000) 2024]],0)</f>
        <v>2.3697654905572116E-2</v>
      </c>
      <c r="P109" s="33">
        <f>SUM(Table2[[#This Row],[Value(1000$) 2022]:[Value(1000$) 2024]])</f>
        <v>10.894399999999999</v>
      </c>
      <c r="Q109" s="33">
        <f>SUM(Table2[[#This Row],[Volume(1000) 2022]:[Volume(1000) 2024]])</f>
        <v>471.64189999999996</v>
      </c>
      <c r="R109" s="33">
        <f>AVERAGE(Table2[[#This Row],[Average Price(2022)]:[Average Price(2024)]])</f>
        <v>2.3285183416711961E-2</v>
      </c>
    </row>
    <row r="110" spans="1:18" x14ac:dyDescent="0.3">
      <c r="A110" t="s">
        <v>137</v>
      </c>
      <c r="B110" t="s">
        <v>735</v>
      </c>
      <c r="C110" t="s">
        <v>858</v>
      </c>
      <c r="D110" t="s">
        <v>9</v>
      </c>
      <c r="E110" t="s">
        <v>30</v>
      </c>
      <c r="F110" s="27" t="str">
        <f>IF('Working Sheet'!B162="ITEM",'Working Sheet'!E162,"")</f>
        <v>72</v>
      </c>
      <c r="G110" s="27">
        <f>IF('Working Sheet'!B162="ITEM",'Working Sheet'!F162,"")</f>
        <v>8.5853000000000002</v>
      </c>
      <c r="H110" s="27">
        <f>IF('Working Sheet'!B162="ITEM",'Working Sheet'!G162,"")</f>
        <v>4.2140000000000004</v>
      </c>
      <c r="I110" s="27">
        <f>IF('Working Sheet'!B162="ITEM",'Working Sheet'!H162,"")</f>
        <v>0.26250000000000001</v>
      </c>
      <c r="J110">
        <f>IF('Working Sheet'!B162="ITEM",'Working Sheet'!I162,"")</f>
        <v>402.53930000000003</v>
      </c>
      <c r="K110">
        <f>IF('Working Sheet'!B162="ITEM",'Working Sheet'!J162,"")</f>
        <v>207.43709999999999</v>
      </c>
      <c r="L110">
        <f>IF('Working Sheet'!B162="ITEM",'Working Sheet'!K162,"")</f>
        <v>13.0296</v>
      </c>
      <c r="M110" s="33">
        <f>IFERROR(Table2[[#This Row],[Value(1000$) 2022]]/Table2[[#This Row],[Volume(1000) 2022]],0)</f>
        <v>2.1327855441692276E-2</v>
      </c>
      <c r="N110" s="33">
        <f>IFERROR(Table2[[#This Row],[Value(1000$) 2023]]/Table2[[#This Row],[Volume(1000) 2023]],0)</f>
        <v>2.0314591748534859E-2</v>
      </c>
      <c r="O110" s="33">
        <f>IFERROR(Table2[[#This Row],[Value(1000$) 2024]]/Table2[[#This Row],[Volume(1000) 2024]],0)</f>
        <v>2.0146435807699394E-2</v>
      </c>
      <c r="P110" s="33">
        <f>SUM(Table2[[#This Row],[Value(1000$) 2022]:[Value(1000$) 2024]])</f>
        <v>13.0618</v>
      </c>
      <c r="Q110" s="33">
        <f>SUM(Table2[[#This Row],[Volume(1000) 2022]:[Volume(1000) 2024]])</f>
        <v>623.00599999999997</v>
      </c>
      <c r="R110" s="33">
        <f>AVERAGE(Table2[[#This Row],[Average Price(2022)]:[Average Price(2024)]])</f>
        <v>2.0596294332642179E-2</v>
      </c>
    </row>
    <row r="111" spans="1:18" x14ac:dyDescent="0.3">
      <c r="A111" t="s">
        <v>138</v>
      </c>
      <c r="B111" t="s">
        <v>735</v>
      </c>
      <c r="C111" t="s">
        <v>858</v>
      </c>
      <c r="D111" t="s">
        <v>9</v>
      </c>
      <c r="E111" t="s">
        <v>20</v>
      </c>
      <c r="F111" s="27" t="str">
        <f>IF('Working Sheet'!B163="ITEM",'Working Sheet'!E163,"")</f>
        <v>72</v>
      </c>
      <c r="G111" s="27">
        <f>IF('Working Sheet'!B163="ITEM",'Working Sheet'!F163,"")</f>
        <v>0.83140000000000003</v>
      </c>
      <c r="H111" s="27">
        <f>IF('Working Sheet'!B163="ITEM",'Working Sheet'!G163,"")</f>
        <v>1.5299999999999999E-2</v>
      </c>
      <c r="I111" s="27">
        <f>IF('Working Sheet'!B163="ITEM",'Working Sheet'!H163,"")</f>
        <v>0</v>
      </c>
      <c r="J111">
        <f>IF('Working Sheet'!B163="ITEM",'Working Sheet'!I163,"")</f>
        <v>39.196399999999997</v>
      </c>
      <c r="K111">
        <f>IF('Working Sheet'!B163="ITEM",'Working Sheet'!J163,"")</f>
        <v>0.64800000000000002</v>
      </c>
      <c r="L111">
        <f>IF('Working Sheet'!B163="ITEM",'Working Sheet'!K163,"")</f>
        <v>0</v>
      </c>
      <c r="M111" s="33">
        <f>IFERROR(Table2[[#This Row],[Value(1000$) 2022]]/Table2[[#This Row],[Volume(1000) 2022]],0)</f>
        <v>2.1211131634537868E-2</v>
      </c>
      <c r="N111" s="33">
        <f>IFERROR(Table2[[#This Row],[Value(1000$) 2023]]/Table2[[#This Row],[Volume(1000) 2023]],0)</f>
        <v>2.361111111111111E-2</v>
      </c>
      <c r="O111" s="33">
        <f>IFERROR(Table2[[#This Row],[Value(1000$) 2024]]/Table2[[#This Row],[Volume(1000) 2024]],0)</f>
        <v>0</v>
      </c>
      <c r="P111" s="33">
        <f>SUM(Table2[[#This Row],[Value(1000$) 2022]:[Value(1000$) 2024]])</f>
        <v>0.84670000000000001</v>
      </c>
      <c r="Q111" s="33">
        <f>SUM(Table2[[#This Row],[Volume(1000) 2022]:[Volume(1000) 2024]])</f>
        <v>39.8444</v>
      </c>
      <c r="R111" s="33">
        <f>AVERAGE(Table2[[#This Row],[Average Price(2022)]:[Average Price(2024)]])</f>
        <v>1.4940747581882992E-2</v>
      </c>
    </row>
    <row r="112" spans="1:18" x14ac:dyDescent="0.3">
      <c r="A112" t="s">
        <v>139</v>
      </c>
      <c r="B112" t="s">
        <v>735</v>
      </c>
      <c r="C112" t="s">
        <v>858</v>
      </c>
      <c r="D112" t="s">
        <v>9</v>
      </c>
      <c r="E112" t="s">
        <v>20</v>
      </c>
      <c r="F112" s="27" t="str">
        <f>IF('Working Sheet'!B164="ITEM",'Working Sheet'!E164,"")</f>
        <v>90</v>
      </c>
      <c r="G112" s="27">
        <f>IF('Working Sheet'!B164="ITEM",'Working Sheet'!F164,"")</f>
        <v>2.9493999999999998</v>
      </c>
      <c r="H112" s="27">
        <f>IF('Working Sheet'!B164="ITEM",'Working Sheet'!G164,"")</f>
        <v>0.27079999999999999</v>
      </c>
      <c r="I112" s="27">
        <f>IF('Working Sheet'!B164="ITEM",'Working Sheet'!H164,"")</f>
        <v>0</v>
      </c>
      <c r="J112">
        <f>IF('Working Sheet'!B164="ITEM",'Working Sheet'!I164,"")</f>
        <v>169.64840000000001</v>
      </c>
      <c r="K112">
        <f>IF('Working Sheet'!B164="ITEM",'Working Sheet'!J164,"")</f>
        <v>12.904400000000001</v>
      </c>
      <c r="L112">
        <f>IF('Working Sheet'!B164="ITEM",'Working Sheet'!K164,"")</f>
        <v>0</v>
      </c>
      <c r="M112" s="33">
        <f>IFERROR(Table2[[#This Row],[Value(1000$) 2022]]/Table2[[#This Row],[Volume(1000) 2022]],0)</f>
        <v>1.7385368798055269E-2</v>
      </c>
      <c r="N112" s="33">
        <f>IFERROR(Table2[[#This Row],[Value(1000$) 2023]]/Table2[[#This Row],[Volume(1000) 2023]],0)</f>
        <v>2.0985090356777533E-2</v>
      </c>
      <c r="O112" s="33">
        <f>IFERROR(Table2[[#This Row],[Value(1000$) 2024]]/Table2[[#This Row],[Volume(1000) 2024]],0)</f>
        <v>0</v>
      </c>
      <c r="P112" s="33">
        <f>SUM(Table2[[#This Row],[Value(1000$) 2022]:[Value(1000$) 2024]])</f>
        <v>3.2201999999999997</v>
      </c>
      <c r="Q112" s="33">
        <f>SUM(Table2[[#This Row],[Volume(1000) 2022]:[Volume(1000) 2024]])</f>
        <v>182.55280000000002</v>
      </c>
      <c r="R112" s="33">
        <f>AVERAGE(Table2[[#This Row],[Average Price(2022)]:[Average Price(2024)]])</f>
        <v>1.2790153051610935E-2</v>
      </c>
    </row>
    <row r="113" spans="1:18" x14ac:dyDescent="0.3">
      <c r="A113" t="s">
        <v>140</v>
      </c>
      <c r="B113" t="s">
        <v>735</v>
      </c>
      <c r="C113" t="s">
        <v>859</v>
      </c>
      <c r="D113" t="s">
        <v>9</v>
      </c>
      <c r="E113" t="s">
        <v>69</v>
      </c>
      <c r="F113" s="27" t="str">
        <f>IF('Working Sheet'!B166="ITEM",'Working Sheet'!E166,"")</f>
        <v>100</v>
      </c>
      <c r="G113" s="27">
        <f>IF('Working Sheet'!B166="ITEM",'Working Sheet'!F166,"")</f>
        <v>4.0140000000000002</v>
      </c>
      <c r="H113" s="27">
        <f>IF('Working Sheet'!B166="ITEM",'Working Sheet'!G166,"")</f>
        <v>0</v>
      </c>
      <c r="I113" s="27">
        <f>IF('Working Sheet'!B166="ITEM",'Working Sheet'!H166,"")</f>
        <v>0</v>
      </c>
      <c r="J113">
        <f>IF('Working Sheet'!B166="ITEM",'Working Sheet'!I166,"")</f>
        <v>230.286</v>
      </c>
      <c r="K113">
        <f>IF('Working Sheet'!B166="ITEM",'Working Sheet'!J166,"")</f>
        <v>0</v>
      </c>
      <c r="L113">
        <f>IF('Working Sheet'!B166="ITEM",'Working Sheet'!K166,"")</f>
        <v>0</v>
      </c>
      <c r="M113" s="33">
        <f>IFERROR(Table2[[#This Row],[Value(1000$) 2022]]/Table2[[#This Row],[Volume(1000) 2022]],0)</f>
        <v>1.7430499465881558E-2</v>
      </c>
      <c r="N113" s="33">
        <f>IFERROR(Table2[[#This Row],[Value(1000$) 2023]]/Table2[[#This Row],[Volume(1000) 2023]],0)</f>
        <v>0</v>
      </c>
      <c r="O113" s="33">
        <f>IFERROR(Table2[[#This Row],[Value(1000$) 2024]]/Table2[[#This Row],[Volume(1000) 2024]],0)</f>
        <v>0</v>
      </c>
      <c r="P113" s="33">
        <f>SUM(Table2[[#This Row],[Value(1000$) 2022]:[Value(1000$) 2024]])</f>
        <v>4.0140000000000002</v>
      </c>
      <c r="Q113" s="33">
        <f>SUM(Table2[[#This Row],[Volume(1000) 2022]:[Volume(1000) 2024]])</f>
        <v>230.286</v>
      </c>
      <c r="R113" s="33">
        <f>AVERAGE(Table2[[#This Row],[Average Price(2022)]:[Average Price(2024)]])</f>
        <v>5.8101664886271859E-3</v>
      </c>
    </row>
    <row r="114" spans="1:18" x14ac:dyDescent="0.3">
      <c r="A114" t="s">
        <v>141</v>
      </c>
      <c r="B114" t="s">
        <v>735</v>
      </c>
      <c r="C114" t="s">
        <v>859</v>
      </c>
      <c r="D114" t="s">
        <v>9</v>
      </c>
      <c r="E114" t="s">
        <v>10</v>
      </c>
      <c r="F114" s="27" t="str">
        <f>IF('Working Sheet'!B167="ITEM",'Working Sheet'!E167,"")</f>
        <v>63</v>
      </c>
      <c r="G114" s="27">
        <f>IF('Working Sheet'!B167="ITEM",'Working Sheet'!F167,"")</f>
        <v>4.0500000000000001E-2</v>
      </c>
      <c r="H114" s="27">
        <f>IF('Working Sheet'!B167="ITEM",'Working Sheet'!G167,"")</f>
        <v>0</v>
      </c>
      <c r="I114" s="27">
        <f>IF('Working Sheet'!B167="ITEM",'Working Sheet'!H167,"")</f>
        <v>0</v>
      </c>
      <c r="J114">
        <f>IF('Working Sheet'!B167="ITEM",'Working Sheet'!I167,"")</f>
        <v>2.8330000000000002</v>
      </c>
      <c r="K114">
        <f>IF('Working Sheet'!B167="ITEM",'Working Sheet'!J167,"")</f>
        <v>0</v>
      </c>
      <c r="L114">
        <f>IF('Working Sheet'!B167="ITEM",'Working Sheet'!K167,"")</f>
        <v>0</v>
      </c>
      <c r="M114" s="33">
        <f>IFERROR(Table2[[#This Row],[Value(1000$) 2022]]/Table2[[#This Row],[Volume(1000) 2022]],0)</f>
        <v>1.4295799505824214E-2</v>
      </c>
      <c r="N114" s="33">
        <f>IFERROR(Table2[[#This Row],[Value(1000$) 2023]]/Table2[[#This Row],[Volume(1000) 2023]],0)</f>
        <v>0</v>
      </c>
      <c r="O114" s="33">
        <f>IFERROR(Table2[[#This Row],[Value(1000$) 2024]]/Table2[[#This Row],[Volume(1000) 2024]],0)</f>
        <v>0</v>
      </c>
      <c r="P114" s="33">
        <f>SUM(Table2[[#This Row],[Value(1000$) 2022]:[Value(1000$) 2024]])</f>
        <v>4.0500000000000001E-2</v>
      </c>
      <c r="Q114" s="33">
        <f>SUM(Table2[[#This Row],[Volume(1000) 2022]:[Volume(1000) 2024]])</f>
        <v>2.8330000000000002</v>
      </c>
      <c r="R114" s="33">
        <f>AVERAGE(Table2[[#This Row],[Average Price(2022)]:[Average Price(2024)]])</f>
        <v>4.7652665019414049E-3</v>
      </c>
    </row>
    <row r="115" spans="1:18" x14ac:dyDescent="0.3">
      <c r="A115" t="s">
        <v>142</v>
      </c>
      <c r="B115" t="s">
        <v>735</v>
      </c>
      <c r="C115" t="s">
        <v>860</v>
      </c>
      <c r="D115" t="s">
        <v>9</v>
      </c>
      <c r="E115" t="s">
        <v>30</v>
      </c>
      <c r="F115" s="27" t="str">
        <f>IF('Working Sheet'!B169="ITEM",'Working Sheet'!E169,"")</f>
        <v>120</v>
      </c>
      <c r="G115" s="27">
        <f>IF('Working Sheet'!B169="ITEM",'Working Sheet'!F169,"")</f>
        <v>0.76770000000000005</v>
      </c>
      <c r="H115" s="27">
        <f>IF('Working Sheet'!B169="ITEM",'Working Sheet'!G169,"")</f>
        <v>0</v>
      </c>
      <c r="I115" s="27">
        <f>IF('Working Sheet'!B169="ITEM",'Working Sheet'!H169,"")</f>
        <v>0</v>
      </c>
      <c r="J115">
        <f>IF('Working Sheet'!B169="ITEM",'Working Sheet'!I169,"")</f>
        <v>46.441400000000002</v>
      </c>
      <c r="K115">
        <f>IF('Working Sheet'!B169="ITEM",'Working Sheet'!J169,"")</f>
        <v>0</v>
      </c>
      <c r="L115">
        <f>IF('Working Sheet'!B169="ITEM",'Working Sheet'!K169,"")</f>
        <v>0</v>
      </c>
      <c r="M115" s="33">
        <f>IFERROR(Table2[[#This Row],[Value(1000$) 2022]]/Table2[[#This Row],[Volume(1000) 2022]],0)</f>
        <v>1.6530509416167471E-2</v>
      </c>
      <c r="N115" s="33">
        <f>IFERROR(Table2[[#This Row],[Value(1000$) 2023]]/Table2[[#This Row],[Volume(1000) 2023]],0)</f>
        <v>0</v>
      </c>
      <c r="O115" s="33">
        <f>IFERROR(Table2[[#This Row],[Value(1000$) 2024]]/Table2[[#This Row],[Volume(1000) 2024]],0)</f>
        <v>0</v>
      </c>
      <c r="P115" s="33">
        <f>SUM(Table2[[#This Row],[Value(1000$) 2022]:[Value(1000$) 2024]])</f>
        <v>0.76770000000000005</v>
      </c>
      <c r="Q115" s="33">
        <f>SUM(Table2[[#This Row],[Volume(1000) 2022]:[Volume(1000) 2024]])</f>
        <v>46.441400000000002</v>
      </c>
      <c r="R115" s="33">
        <f>AVERAGE(Table2[[#This Row],[Average Price(2022)]:[Average Price(2024)]])</f>
        <v>5.5101698053891569E-3</v>
      </c>
    </row>
    <row r="116" spans="1:18" x14ac:dyDescent="0.3">
      <c r="A116" t="s">
        <v>143</v>
      </c>
      <c r="B116" t="s">
        <v>735</v>
      </c>
      <c r="C116" t="s">
        <v>860</v>
      </c>
      <c r="D116" t="s">
        <v>9</v>
      </c>
      <c r="E116" t="s">
        <v>20</v>
      </c>
      <c r="F116" s="27" t="str">
        <f>IF('Working Sheet'!B170="ITEM",'Working Sheet'!E170,"")</f>
        <v>90</v>
      </c>
      <c r="G116" s="27">
        <f>IF('Working Sheet'!B170="ITEM",'Working Sheet'!F170,"")</f>
        <v>0.86809999999999998</v>
      </c>
      <c r="H116" s="27">
        <f>IF('Working Sheet'!B170="ITEM",'Working Sheet'!G170,"")</f>
        <v>0</v>
      </c>
      <c r="I116" s="27">
        <f>IF('Working Sheet'!B170="ITEM",'Working Sheet'!H170,"")</f>
        <v>0</v>
      </c>
      <c r="J116">
        <f>IF('Working Sheet'!B170="ITEM",'Working Sheet'!I170,"")</f>
        <v>43.337600000000002</v>
      </c>
      <c r="K116">
        <f>IF('Working Sheet'!B170="ITEM",'Working Sheet'!J170,"")</f>
        <v>0</v>
      </c>
      <c r="L116">
        <f>IF('Working Sheet'!B170="ITEM",'Working Sheet'!K170,"")</f>
        <v>0</v>
      </c>
      <c r="M116" s="33">
        <f>IFERROR(Table2[[#This Row],[Value(1000$) 2022]]/Table2[[#This Row],[Volume(1000) 2022]],0)</f>
        <v>2.0031104629697996E-2</v>
      </c>
      <c r="N116" s="33">
        <f>IFERROR(Table2[[#This Row],[Value(1000$) 2023]]/Table2[[#This Row],[Volume(1000) 2023]],0)</f>
        <v>0</v>
      </c>
      <c r="O116" s="33">
        <f>IFERROR(Table2[[#This Row],[Value(1000$) 2024]]/Table2[[#This Row],[Volume(1000) 2024]],0)</f>
        <v>0</v>
      </c>
      <c r="P116" s="33">
        <f>SUM(Table2[[#This Row],[Value(1000$) 2022]:[Value(1000$) 2024]])</f>
        <v>0.86809999999999998</v>
      </c>
      <c r="Q116" s="33">
        <f>SUM(Table2[[#This Row],[Volume(1000) 2022]:[Volume(1000) 2024]])</f>
        <v>43.337600000000002</v>
      </c>
      <c r="R116" s="33">
        <f>AVERAGE(Table2[[#This Row],[Average Price(2022)]:[Average Price(2024)]])</f>
        <v>6.6770348765659987E-3</v>
      </c>
    </row>
    <row r="117" spans="1:18" x14ac:dyDescent="0.3">
      <c r="A117" t="s">
        <v>144</v>
      </c>
      <c r="B117" t="s">
        <v>735</v>
      </c>
      <c r="C117" t="s">
        <v>861</v>
      </c>
      <c r="D117" t="s">
        <v>9</v>
      </c>
      <c r="E117" t="s">
        <v>20</v>
      </c>
      <c r="F117" s="27" t="str">
        <f>IF('Working Sheet'!B172="ITEM",'Working Sheet'!E172,"")</f>
        <v>15</v>
      </c>
      <c r="G117" s="27">
        <f>IF('Working Sheet'!B172="ITEM",'Working Sheet'!F172,"")</f>
        <v>9.5548999999999999</v>
      </c>
      <c r="H117" s="27">
        <f>IF('Working Sheet'!B172="ITEM",'Working Sheet'!G172,"")</f>
        <v>16.797000000000001</v>
      </c>
      <c r="I117" s="27">
        <f>IF('Working Sheet'!B172="ITEM",'Working Sheet'!H172,"")</f>
        <v>14.8012</v>
      </c>
      <c r="J117">
        <f>IF('Working Sheet'!B172="ITEM",'Working Sheet'!I172,"")</f>
        <v>338.9522</v>
      </c>
      <c r="K117">
        <f>IF('Working Sheet'!B172="ITEM",'Working Sheet'!J172,"")</f>
        <v>643.8528</v>
      </c>
      <c r="L117">
        <f>IF('Working Sheet'!B172="ITEM",'Working Sheet'!K172,"")</f>
        <v>454.05590000000001</v>
      </c>
      <c r="M117" s="33">
        <f>IFERROR(Table2[[#This Row],[Value(1000$) 2022]]/Table2[[#This Row],[Volume(1000) 2022]],0)</f>
        <v>2.8189520528263276E-2</v>
      </c>
      <c r="N117" s="33">
        <f>IFERROR(Table2[[#This Row],[Value(1000$) 2023]]/Table2[[#This Row],[Volume(1000) 2023]],0)</f>
        <v>2.6088261167770025E-2</v>
      </c>
      <c r="O117" s="33">
        <f>IFERROR(Table2[[#This Row],[Value(1000$) 2024]]/Table2[[#This Row],[Volume(1000) 2024]],0)</f>
        <v>3.259774842701086E-2</v>
      </c>
      <c r="P117" s="33">
        <f>SUM(Table2[[#This Row],[Value(1000$) 2022]:[Value(1000$) 2024]])</f>
        <v>41.153100000000002</v>
      </c>
      <c r="Q117" s="33">
        <f>SUM(Table2[[#This Row],[Volume(1000) 2022]:[Volume(1000) 2024]])</f>
        <v>1436.8609000000001</v>
      </c>
      <c r="R117" s="33">
        <f>AVERAGE(Table2[[#This Row],[Average Price(2022)]:[Average Price(2024)]])</f>
        <v>2.8958510041014723E-2</v>
      </c>
    </row>
    <row r="118" spans="1:18" x14ac:dyDescent="0.3">
      <c r="A118" t="s">
        <v>145</v>
      </c>
      <c r="B118" t="s">
        <v>735</v>
      </c>
      <c r="C118" t="s">
        <v>862</v>
      </c>
      <c r="D118" t="s">
        <v>9</v>
      </c>
      <c r="E118" t="s">
        <v>20</v>
      </c>
      <c r="F118" s="27" t="str">
        <f>IF('Working Sheet'!B174="ITEM",'Working Sheet'!E174,"")</f>
        <v>120</v>
      </c>
      <c r="G118" s="27">
        <f>IF('Working Sheet'!B174="ITEM",'Working Sheet'!F174,"")</f>
        <v>21.0763</v>
      </c>
      <c r="H118" s="27">
        <f>IF('Working Sheet'!B174="ITEM",'Working Sheet'!G174,"")</f>
        <v>7.9172000000000002</v>
      </c>
      <c r="I118" s="27">
        <f>IF('Working Sheet'!B174="ITEM",'Working Sheet'!H174,"")</f>
        <v>0.35720000000000002</v>
      </c>
      <c r="J118">
        <f>IF('Working Sheet'!B174="ITEM",'Working Sheet'!I174,"")</f>
        <v>1178.5386000000001</v>
      </c>
      <c r="K118">
        <f>IF('Working Sheet'!B174="ITEM",'Working Sheet'!J174,"")</f>
        <v>421.82799999999997</v>
      </c>
      <c r="L118">
        <f>IF('Working Sheet'!B174="ITEM",'Working Sheet'!K174,"")</f>
        <v>19.481100000000001</v>
      </c>
      <c r="M118" s="33">
        <f>IFERROR(Table2[[#This Row],[Value(1000$) 2022]]/Table2[[#This Row],[Volume(1000) 2022]],0)</f>
        <v>1.7883419346638285E-2</v>
      </c>
      <c r="N118" s="33">
        <f>IFERROR(Table2[[#This Row],[Value(1000$) 2023]]/Table2[[#This Row],[Volume(1000) 2023]],0)</f>
        <v>1.8768787278227145E-2</v>
      </c>
      <c r="O118" s="33">
        <f>IFERROR(Table2[[#This Row],[Value(1000$) 2024]]/Table2[[#This Row],[Volume(1000) 2024]],0)</f>
        <v>1.8335720262202853E-2</v>
      </c>
      <c r="P118" s="33">
        <f>SUM(Table2[[#This Row],[Value(1000$) 2022]:[Value(1000$) 2024]])</f>
        <v>29.3507</v>
      </c>
      <c r="Q118" s="33">
        <f>SUM(Table2[[#This Row],[Volume(1000) 2022]:[Volume(1000) 2024]])</f>
        <v>1619.8477</v>
      </c>
      <c r="R118" s="33">
        <f>AVERAGE(Table2[[#This Row],[Average Price(2022)]:[Average Price(2024)]])</f>
        <v>1.8329308962356097E-2</v>
      </c>
    </row>
    <row r="119" spans="1:18" x14ac:dyDescent="0.3">
      <c r="A119" t="s">
        <v>146</v>
      </c>
      <c r="B119" t="s">
        <v>735</v>
      </c>
      <c r="C119" t="s">
        <v>862</v>
      </c>
      <c r="D119" t="s">
        <v>9</v>
      </c>
      <c r="E119" t="s">
        <v>30</v>
      </c>
      <c r="F119" s="27" t="str">
        <f>IF('Working Sheet'!B175="ITEM",'Working Sheet'!E175,"")</f>
        <v>120</v>
      </c>
      <c r="G119" s="27">
        <f>IF('Working Sheet'!B175="ITEM",'Working Sheet'!F175,"")</f>
        <v>59.8855</v>
      </c>
      <c r="H119" s="27">
        <f>IF('Working Sheet'!B175="ITEM",'Working Sheet'!G175,"")</f>
        <v>18.673500000000001</v>
      </c>
      <c r="I119" s="27">
        <f>IF('Working Sheet'!B175="ITEM",'Working Sheet'!H175,"")</f>
        <v>4.4382000000000001</v>
      </c>
      <c r="J119">
        <f>IF('Working Sheet'!B175="ITEM",'Working Sheet'!I175,"")</f>
        <v>3588.4739</v>
      </c>
      <c r="K119">
        <f>IF('Working Sheet'!B175="ITEM",'Working Sheet'!J175,"")</f>
        <v>1054.2443000000001</v>
      </c>
      <c r="L119">
        <f>IF('Working Sheet'!B175="ITEM",'Working Sheet'!K175,"")</f>
        <v>241.28020000000001</v>
      </c>
      <c r="M119" s="33">
        <f>IFERROR(Table2[[#This Row],[Value(1000$) 2022]]/Table2[[#This Row],[Volume(1000) 2022]],0)</f>
        <v>1.6688291922647119E-2</v>
      </c>
      <c r="N119" s="33">
        <f>IFERROR(Table2[[#This Row],[Value(1000$) 2023]]/Table2[[#This Row],[Volume(1000) 2023]],0)</f>
        <v>1.7712687656931129E-2</v>
      </c>
      <c r="O119" s="33">
        <f>IFERROR(Table2[[#This Row],[Value(1000$) 2024]]/Table2[[#This Row],[Volume(1000) 2024]],0)</f>
        <v>1.8394381304392155E-2</v>
      </c>
      <c r="P119" s="33">
        <f>SUM(Table2[[#This Row],[Value(1000$) 2022]:[Value(1000$) 2024]])</f>
        <v>82.997199999999992</v>
      </c>
      <c r="Q119" s="33">
        <f>SUM(Table2[[#This Row],[Volume(1000) 2022]:[Volume(1000) 2024]])</f>
        <v>4883.9984000000004</v>
      </c>
      <c r="R119" s="33">
        <f>AVERAGE(Table2[[#This Row],[Average Price(2022)]:[Average Price(2024)]])</f>
        <v>1.7598453627990132E-2</v>
      </c>
    </row>
    <row r="120" spans="1:18" x14ac:dyDescent="0.3">
      <c r="A120" t="s">
        <v>147</v>
      </c>
      <c r="B120" t="s">
        <v>735</v>
      </c>
      <c r="C120" t="s">
        <v>863</v>
      </c>
      <c r="D120" t="s">
        <v>9</v>
      </c>
      <c r="E120" t="s">
        <v>20</v>
      </c>
      <c r="F120" s="27" t="str">
        <f>IF('Working Sheet'!B177="ITEM",'Working Sheet'!E177,"")</f>
        <v>120</v>
      </c>
      <c r="G120" s="27">
        <f>IF('Working Sheet'!B177="ITEM",'Working Sheet'!F177,"")</f>
        <v>37.596899999999998</v>
      </c>
      <c r="H120" s="27">
        <f>IF('Working Sheet'!B177="ITEM",'Working Sheet'!G177,"")</f>
        <v>28.031099999999999</v>
      </c>
      <c r="I120" s="27">
        <f>IF('Working Sheet'!B177="ITEM",'Working Sheet'!H177,"")</f>
        <v>1.2394000000000001</v>
      </c>
      <c r="J120">
        <f>IF('Working Sheet'!B177="ITEM",'Working Sheet'!I177,"")</f>
        <v>2231.0284000000001</v>
      </c>
      <c r="K120">
        <f>IF('Working Sheet'!B177="ITEM",'Working Sheet'!J177,"")</f>
        <v>1606.1090999999999</v>
      </c>
      <c r="L120">
        <f>IF('Working Sheet'!B177="ITEM",'Working Sheet'!K177,"")</f>
        <v>64.665899999999993</v>
      </c>
      <c r="M120" s="33">
        <f>IFERROR(Table2[[#This Row],[Value(1000$) 2022]]/Table2[[#This Row],[Volume(1000) 2022]],0)</f>
        <v>1.6851824925222823E-2</v>
      </c>
      <c r="N120" s="33">
        <f>IFERROR(Table2[[#This Row],[Value(1000$) 2023]]/Table2[[#This Row],[Volume(1000) 2023]],0)</f>
        <v>1.7452799439340704E-2</v>
      </c>
      <c r="O120" s="33">
        <f>IFERROR(Table2[[#This Row],[Value(1000$) 2024]]/Table2[[#This Row],[Volume(1000) 2024]],0)</f>
        <v>1.9166206609665993E-2</v>
      </c>
      <c r="P120" s="33">
        <f>SUM(Table2[[#This Row],[Value(1000$) 2022]:[Value(1000$) 2024]])</f>
        <v>66.867400000000004</v>
      </c>
      <c r="Q120" s="33">
        <f>SUM(Table2[[#This Row],[Volume(1000) 2022]:[Volume(1000) 2024]])</f>
        <v>3901.8033999999998</v>
      </c>
      <c r="R120" s="33">
        <f>AVERAGE(Table2[[#This Row],[Average Price(2022)]:[Average Price(2024)]])</f>
        <v>1.782361032474317E-2</v>
      </c>
    </row>
    <row r="121" spans="1:18" x14ac:dyDescent="0.3">
      <c r="A121" t="s">
        <v>148</v>
      </c>
      <c r="B121" t="s">
        <v>735</v>
      </c>
      <c r="C121" t="s">
        <v>864</v>
      </c>
      <c r="D121" t="s">
        <v>9</v>
      </c>
      <c r="E121" t="s">
        <v>20</v>
      </c>
      <c r="F121" s="27" t="str">
        <f>IF('Working Sheet'!B179="ITEM",'Working Sheet'!E179,"")</f>
        <v>72</v>
      </c>
      <c r="G121" s="27">
        <f>IF('Working Sheet'!B179="ITEM",'Working Sheet'!F179,"")</f>
        <v>4.1798000000000002</v>
      </c>
      <c r="H121" s="27">
        <f>IF('Working Sheet'!B179="ITEM",'Working Sheet'!G179,"")</f>
        <v>0</v>
      </c>
      <c r="I121" s="27">
        <f>IF('Working Sheet'!B179="ITEM",'Working Sheet'!H179,"")</f>
        <v>0</v>
      </c>
      <c r="J121">
        <f>IF('Working Sheet'!B179="ITEM",'Working Sheet'!I179,"")</f>
        <v>212.80930000000001</v>
      </c>
      <c r="K121">
        <f>IF('Working Sheet'!B179="ITEM",'Working Sheet'!J179,"")</f>
        <v>0</v>
      </c>
      <c r="L121">
        <f>IF('Working Sheet'!B179="ITEM",'Working Sheet'!K179,"")</f>
        <v>0</v>
      </c>
      <c r="M121" s="33">
        <f>IFERROR(Table2[[#This Row],[Value(1000$) 2022]]/Table2[[#This Row],[Volume(1000) 2022]],0)</f>
        <v>1.964105891988743E-2</v>
      </c>
      <c r="N121" s="33">
        <f>IFERROR(Table2[[#This Row],[Value(1000$) 2023]]/Table2[[#This Row],[Volume(1000) 2023]],0)</f>
        <v>0</v>
      </c>
      <c r="O121" s="33">
        <f>IFERROR(Table2[[#This Row],[Value(1000$) 2024]]/Table2[[#This Row],[Volume(1000) 2024]],0)</f>
        <v>0</v>
      </c>
      <c r="P121" s="33">
        <f>SUM(Table2[[#This Row],[Value(1000$) 2022]:[Value(1000$) 2024]])</f>
        <v>4.1798000000000002</v>
      </c>
      <c r="Q121" s="33">
        <f>SUM(Table2[[#This Row],[Volume(1000) 2022]:[Volume(1000) 2024]])</f>
        <v>212.80930000000001</v>
      </c>
      <c r="R121" s="33">
        <f>AVERAGE(Table2[[#This Row],[Average Price(2022)]:[Average Price(2024)]])</f>
        <v>6.5470196399624765E-3</v>
      </c>
    </row>
    <row r="122" spans="1:18" x14ac:dyDescent="0.3">
      <c r="A122" t="s">
        <v>149</v>
      </c>
      <c r="B122" t="s">
        <v>735</v>
      </c>
      <c r="C122" t="s">
        <v>864</v>
      </c>
      <c r="D122" t="s">
        <v>9</v>
      </c>
      <c r="E122" t="s">
        <v>20</v>
      </c>
      <c r="F122" s="27" t="str">
        <f>IF('Working Sheet'!B180="ITEM",'Working Sheet'!E180,"")</f>
        <v>72</v>
      </c>
      <c r="G122" s="27">
        <f>IF('Working Sheet'!B180="ITEM",'Working Sheet'!F180,"")</f>
        <v>16.9573</v>
      </c>
      <c r="H122" s="27">
        <f>IF('Working Sheet'!B180="ITEM",'Working Sheet'!G180,"")</f>
        <v>8.0383999999999993</v>
      </c>
      <c r="I122" s="27">
        <f>IF('Working Sheet'!B180="ITEM",'Working Sheet'!H180,"")</f>
        <v>4.7045000000000003</v>
      </c>
      <c r="J122">
        <f>IF('Working Sheet'!B180="ITEM",'Working Sheet'!I180,"")</f>
        <v>973.13670000000002</v>
      </c>
      <c r="K122">
        <f>IF('Working Sheet'!B180="ITEM",'Working Sheet'!J180,"")</f>
        <v>460.75880000000001</v>
      </c>
      <c r="L122">
        <f>IF('Working Sheet'!B180="ITEM",'Working Sheet'!K180,"")</f>
        <v>246.6643</v>
      </c>
      <c r="M122" s="33">
        <f>IFERROR(Table2[[#This Row],[Value(1000$) 2022]]/Table2[[#This Row],[Volume(1000) 2022]],0)</f>
        <v>1.7425403851278037E-2</v>
      </c>
      <c r="N122" s="33">
        <f>IFERROR(Table2[[#This Row],[Value(1000$) 2023]]/Table2[[#This Row],[Volume(1000) 2023]],0)</f>
        <v>1.7446004286841617E-2</v>
      </c>
      <c r="O122" s="33">
        <f>IFERROR(Table2[[#This Row],[Value(1000$) 2024]]/Table2[[#This Row],[Volume(1000) 2024]],0)</f>
        <v>1.9072480290013596E-2</v>
      </c>
      <c r="P122" s="33">
        <f>SUM(Table2[[#This Row],[Value(1000$) 2022]:[Value(1000$) 2024]])</f>
        <v>29.700199999999999</v>
      </c>
      <c r="Q122" s="33">
        <f>SUM(Table2[[#This Row],[Volume(1000) 2022]:[Volume(1000) 2024]])</f>
        <v>1680.5598</v>
      </c>
      <c r="R122" s="33">
        <f>AVERAGE(Table2[[#This Row],[Average Price(2022)]:[Average Price(2024)]])</f>
        <v>1.7981296142711083E-2</v>
      </c>
    </row>
    <row r="123" spans="1:18" x14ac:dyDescent="0.3">
      <c r="A123" t="s">
        <v>150</v>
      </c>
      <c r="B123" t="s">
        <v>736</v>
      </c>
      <c r="C123" t="s">
        <v>865</v>
      </c>
      <c r="D123" t="s">
        <v>9</v>
      </c>
      <c r="E123" t="s">
        <v>20</v>
      </c>
      <c r="F123" s="27" t="str">
        <f>IF('Working Sheet'!B183="ITEM",'Working Sheet'!E183,"")</f>
        <v>72</v>
      </c>
      <c r="G123" s="27">
        <f>IF('Working Sheet'!B183="ITEM",'Working Sheet'!F183,"")</f>
        <v>0</v>
      </c>
      <c r="H123" s="27">
        <f>IF('Working Sheet'!B183="ITEM",'Working Sheet'!G183,"")</f>
        <v>0</v>
      </c>
      <c r="I123" s="27">
        <f>IF('Working Sheet'!B183="ITEM",'Working Sheet'!H183,"")</f>
        <v>0</v>
      </c>
      <c r="J123">
        <f>IF('Working Sheet'!B183="ITEM",'Working Sheet'!I183,"")</f>
        <v>0</v>
      </c>
      <c r="K123">
        <f>IF('Working Sheet'!B183="ITEM",'Working Sheet'!J183,"")</f>
        <v>0</v>
      </c>
      <c r="L123">
        <f>IF('Working Sheet'!B183="ITEM",'Working Sheet'!K183,"")</f>
        <v>0</v>
      </c>
      <c r="M123" s="33">
        <f>IFERROR(Table2[[#This Row],[Value(1000$) 2022]]/Table2[[#This Row],[Volume(1000) 2022]],0)</f>
        <v>0</v>
      </c>
      <c r="N123" s="33">
        <f>IFERROR(Table2[[#This Row],[Value(1000$) 2023]]/Table2[[#This Row],[Volume(1000) 2023]],0)</f>
        <v>0</v>
      </c>
      <c r="O123" s="33">
        <f>IFERROR(Table2[[#This Row],[Value(1000$) 2024]]/Table2[[#This Row],[Volume(1000) 2024]],0)</f>
        <v>0</v>
      </c>
      <c r="P123" s="33">
        <f>SUM(Table2[[#This Row],[Value(1000$) 2022]:[Value(1000$) 2024]])</f>
        <v>0</v>
      </c>
      <c r="Q123" s="33">
        <f>SUM(Table2[[#This Row],[Volume(1000) 2022]:[Volume(1000) 2024]])</f>
        <v>0</v>
      </c>
      <c r="R123" s="33">
        <f>AVERAGE(Table2[[#This Row],[Average Price(2022)]:[Average Price(2024)]])</f>
        <v>0</v>
      </c>
    </row>
    <row r="124" spans="1:18" x14ac:dyDescent="0.3">
      <c r="A124" t="s">
        <v>152</v>
      </c>
      <c r="B124" t="s">
        <v>737</v>
      </c>
      <c r="C124" t="s">
        <v>151</v>
      </c>
      <c r="D124" t="s">
        <v>9</v>
      </c>
      <c r="E124" t="s">
        <v>30</v>
      </c>
      <c r="F124" s="27" t="str">
        <f>IF('Working Sheet'!B186="ITEM",'Working Sheet'!E186,"")</f>
        <v>120</v>
      </c>
      <c r="G124" s="27">
        <f>IF('Working Sheet'!B186="ITEM",'Working Sheet'!F186,"")</f>
        <v>8.9794</v>
      </c>
      <c r="H124" s="27">
        <f>IF('Working Sheet'!B186="ITEM",'Working Sheet'!G186,"")</f>
        <v>0</v>
      </c>
      <c r="I124" s="27">
        <f>IF('Working Sheet'!B186="ITEM",'Working Sheet'!H186,"")</f>
        <v>0</v>
      </c>
      <c r="J124">
        <f>IF('Working Sheet'!B186="ITEM",'Working Sheet'!I186,"")</f>
        <v>618.46879999999999</v>
      </c>
      <c r="K124">
        <f>IF('Working Sheet'!B186="ITEM",'Working Sheet'!J186,"")</f>
        <v>0</v>
      </c>
      <c r="L124">
        <f>IF('Working Sheet'!B186="ITEM",'Working Sheet'!K186,"")</f>
        <v>0</v>
      </c>
      <c r="M124" s="33">
        <f>IFERROR(Table2[[#This Row],[Value(1000$) 2022]]/Table2[[#This Row],[Volume(1000) 2022]],0)</f>
        <v>1.4518759879237239E-2</v>
      </c>
      <c r="N124" s="33">
        <f>IFERROR(Table2[[#This Row],[Value(1000$) 2023]]/Table2[[#This Row],[Volume(1000) 2023]],0)</f>
        <v>0</v>
      </c>
      <c r="O124" s="33">
        <f>IFERROR(Table2[[#This Row],[Value(1000$) 2024]]/Table2[[#This Row],[Volume(1000) 2024]],0)</f>
        <v>0</v>
      </c>
      <c r="P124" s="33">
        <f>SUM(Table2[[#This Row],[Value(1000$) 2022]:[Value(1000$) 2024]])</f>
        <v>8.9794</v>
      </c>
      <c r="Q124" s="33">
        <f>SUM(Table2[[#This Row],[Volume(1000) 2022]:[Volume(1000) 2024]])</f>
        <v>618.46879999999999</v>
      </c>
      <c r="R124" s="33">
        <f>AVERAGE(Table2[[#This Row],[Average Price(2022)]:[Average Price(2024)]])</f>
        <v>4.8395866264124131E-3</v>
      </c>
    </row>
    <row r="125" spans="1:18" x14ac:dyDescent="0.3">
      <c r="A125" t="s">
        <v>153</v>
      </c>
      <c r="B125" t="s">
        <v>737</v>
      </c>
      <c r="C125" t="s">
        <v>151</v>
      </c>
      <c r="D125" t="s">
        <v>9</v>
      </c>
      <c r="E125" t="s">
        <v>30</v>
      </c>
      <c r="F125" s="27" t="str">
        <f>IF('Working Sheet'!B187="ITEM",'Working Sheet'!E187,"")</f>
        <v>80</v>
      </c>
      <c r="G125" s="27">
        <f>IF('Working Sheet'!B187="ITEM",'Working Sheet'!F187,"")</f>
        <v>0</v>
      </c>
      <c r="H125" s="27">
        <f>IF('Working Sheet'!B187="ITEM",'Working Sheet'!G187,"")</f>
        <v>0</v>
      </c>
      <c r="I125" s="27">
        <f>IF('Working Sheet'!B187="ITEM",'Working Sheet'!H187,"")</f>
        <v>0</v>
      </c>
      <c r="J125">
        <f>IF('Working Sheet'!B187="ITEM",'Working Sheet'!I187,"")</f>
        <v>0</v>
      </c>
      <c r="K125">
        <f>IF('Working Sheet'!B187="ITEM",'Working Sheet'!J187,"")</f>
        <v>0</v>
      </c>
      <c r="L125">
        <f>IF('Working Sheet'!B187="ITEM",'Working Sheet'!K187,"")</f>
        <v>0</v>
      </c>
      <c r="M125" s="33">
        <f>IFERROR(Table2[[#This Row],[Value(1000$) 2022]]/Table2[[#This Row],[Volume(1000) 2022]],0)</f>
        <v>0</v>
      </c>
      <c r="N125" s="33">
        <f>IFERROR(Table2[[#This Row],[Value(1000$) 2023]]/Table2[[#This Row],[Volume(1000) 2023]],0)</f>
        <v>0</v>
      </c>
      <c r="O125" s="33">
        <f>IFERROR(Table2[[#This Row],[Value(1000$) 2024]]/Table2[[#This Row],[Volume(1000) 2024]],0)</f>
        <v>0</v>
      </c>
      <c r="P125" s="33">
        <f>SUM(Table2[[#This Row],[Value(1000$) 2022]:[Value(1000$) 2024]])</f>
        <v>0</v>
      </c>
      <c r="Q125" s="33">
        <f>SUM(Table2[[#This Row],[Volume(1000) 2022]:[Volume(1000) 2024]])</f>
        <v>0</v>
      </c>
      <c r="R125" s="33">
        <f>AVERAGE(Table2[[#This Row],[Average Price(2022)]:[Average Price(2024)]])</f>
        <v>0</v>
      </c>
    </row>
    <row r="126" spans="1:18" x14ac:dyDescent="0.3">
      <c r="A126" t="s">
        <v>154</v>
      </c>
      <c r="B126" t="s">
        <v>738</v>
      </c>
      <c r="C126" t="s">
        <v>866</v>
      </c>
      <c r="D126" t="s">
        <v>9</v>
      </c>
      <c r="E126" t="s">
        <v>20</v>
      </c>
      <c r="F126" s="27" t="str">
        <f>IF('Working Sheet'!B190="ITEM",'Working Sheet'!E190,"")</f>
        <v>120</v>
      </c>
      <c r="G126" s="27">
        <f>IF('Working Sheet'!B190="ITEM",'Working Sheet'!F190,"")</f>
        <v>0</v>
      </c>
      <c r="H126" s="27">
        <f>IF('Working Sheet'!B190="ITEM",'Working Sheet'!G190,"")</f>
        <v>9.4999999999999998E-3</v>
      </c>
      <c r="I126" s="27">
        <f>IF('Working Sheet'!B190="ITEM",'Working Sheet'!H190,"")</f>
        <v>0</v>
      </c>
      <c r="J126">
        <f>IF('Working Sheet'!B190="ITEM",'Working Sheet'!I190,"")</f>
        <v>0</v>
      </c>
      <c r="K126">
        <f>IF('Working Sheet'!B190="ITEM",'Working Sheet'!J190,"")</f>
        <v>0.51649999999999996</v>
      </c>
      <c r="L126">
        <f>IF('Working Sheet'!B190="ITEM",'Working Sheet'!K190,"")</f>
        <v>0</v>
      </c>
      <c r="M126" s="33">
        <f>IFERROR(Table2[[#This Row],[Value(1000$) 2022]]/Table2[[#This Row],[Volume(1000) 2022]],0)</f>
        <v>0</v>
      </c>
      <c r="N126" s="33">
        <f>IFERROR(Table2[[#This Row],[Value(1000$) 2023]]/Table2[[#This Row],[Volume(1000) 2023]],0)</f>
        <v>1.8393030009680542E-2</v>
      </c>
      <c r="O126" s="33">
        <f>IFERROR(Table2[[#This Row],[Value(1000$) 2024]]/Table2[[#This Row],[Volume(1000) 2024]],0)</f>
        <v>0</v>
      </c>
      <c r="P126" s="33">
        <f>SUM(Table2[[#This Row],[Value(1000$) 2022]:[Value(1000$) 2024]])</f>
        <v>9.4999999999999998E-3</v>
      </c>
      <c r="Q126" s="33">
        <f>SUM(Table2[[#This Row],[Volume(1000) 2022]:[Volume(1000) 2024]])</f>
        <v>0.51649999999999996</v>
      </c>
      <c r="R126" s="33">
        <f>AVERAGE(Table2[[#This Row],[Average Price(2022)]:[Average Price(2024)]])</f>
        <v>6.1310100032268477E-3</v>
      </c>
    </row>
    <row r="127" spans="1:18" x14ac:dyDescent="0.3">
      <c r="A127" t="s">
        <v>155</v>
      </c>
      <c r="B127" t="s">
        <v>738</v>
      </c>
      <c r="C127" t="s">
        <v>867</v>
      </c>
      <c r="D127" t="s">
        <v>9</v>
      </c>
      <c r="E127" t="s">
        <v>64</v>
      </c>
      <c r="F127" s="27" t="str">
        <f>IF('Working Sheet'!B192="ITEM",'Working Sheet'!E192,"")</f>
        <v>110</v>
      </c>
      <c r="G127" s="27">
        <f>IF('Working Sheet'!B192="ITEM",'Working Sheet'!F192,"")</f>
        <v>0.34189999999999998</v>
      </c>
      <c r="H127" s="27">
        <f>IF('Working Sheet'!B192="ITEM",'Working Sheet'!G192,"")</f>
        <v>0</v>
      </c>
      <c r="I127" s="27">
        <f>IF('Working Sheet'!B192="ITEM",'Working Sheet'!H192,"")</f>
        <v>0</v>
      </c>
      <c r="J127">
        <f>IF('Working Sheet'!B192="ITEM",'Working Sheet'!I192,"")</f>
        <v>17.095199999999998</v>
      </c>
      <c r="K127">
        <f>IF('Working Sheet'!B192="ITEM",'Working Sheet'!J192,"")</f>
        <v>0</v>
      </c>
      <c r="L127">
        <f>IF('Working Sheet'!B192="ITEM",'Working Sheet'!K192,"")</f>
        <v>0</v>
      </c>
      <c r="M127" s="33">
        <f>IFERROR(Table2[[#This Row],[Value(1000$) 2022]]/Table2[[#This Row],[Volume(1000) 2022]],0)</f>
        <v>1.9999766016191679E-2</v>
      </c>
      <c r="N127" s="33">
        <f>IFERROR(Table2[[#This Row],[Value(1000$) 2023]]/Table2[[#This Row],[Volume(1000) 2023]],0)</f>
        <v>0</v>
      </c>
      <c r="O127" s="33">
        <f>IFERROR(Table2[[#This Row],[Value(1000$) 2024]]/Table2[[#This Row],[Volume(1000) 2024]],0)</f>
        <v>0</v>
      </c>
      <c r="P127" s="33">
        <f>SUM(Table2[[#This Row],[Value(1000$) 2022]:[Value(1000$) 2024]])</f>
        <v>0.34189999999999998</v>
      </c>
      <c r="Q127" s="33">
        <f>SUM(Table2[[#This Row],[Volume(1000) 2022]:[Volume(1000) 2024]])</f>
        <v>17.095199999999998</v>
      </c>
      <c r="R127" s="33">
        <f>AVERAGE(Table2[[#This Row],[Average Price(2022)]:[Average Price(2024)]])</f>
        <v>6.6665886720638926E-3</v>
      </c>
    </row>
    <row r="128" spans="1:18" x14ac:dyDescent="0.3">
      <c r="A128" t="s">
        <v>157</v>
      </c>
      <c r="B128" t="s">
        <v>738</v>
      </c>
      <c r="C128" t="s">
        <v>867</v>
      </c>
      <c r="D128" t="s">
        <v>9</v>
      </c>
      <c r="E128" t="s">
        <v>30</v>
      </c>
      <c r="F128" s="27" t="str">
        <f>IF('Working Sheet'!B193="ITEM",'Working Sheet'!E193,"")</f>
        <v>120</v>
      </c>
      <c r="G128" s="27">
        <f>IF('Working Sheet'!B193="ITEM",'Working Sheet'!F193,"")</f>
        <v>0</v>
      </c>
      <c r="H128" s="27">
        <f>IF('Working Sheet'!B193="ITEM",'Working Sheet'!G193,"")</f>
        <v>36.513300000000001</v>
      </c>
      <c r="I128" s="27">
        <f>IF('Working Sheet'!B193="ITEM",'Working Sheet'!H193,"")</f>
        <v>9.9184000000000001</v>
      </c>
      <c r="J128">
        <f>IF('Working Sheet'!B193="ITEM",'Working Sheet'!I193,"")</f>
        <v>0</v>
      </c>
      <c r="K128">
        <f>IF('Working Sheet'!B193="ITEM",'Working Sheet'!J193,"")</f>
        <v>2225.7903999999999</v>
      </c>
      <c r="L128">
        <f>IF('Working Sheet'!B193="ITEM",'Working Sheet'!K193,"")</f>
        <v>665.84569999999997</v>
      </c>
      <c r="M128" s="33">
        <f>IFERROR(Table2[[#This Row],[Value(1000$) 2022]]/Table2[[#This Row],[Volume(1000) 2022]],0)</f>
        <v>0</v>
      </c>
      <c r="N128" s="33">
        <f>IFERROR(Table2[[#This Row],[Value(1000$) 2023]]/Table2[[#This Row],[Volume(1000) 2023]],0)</f>
        <v>1.640464439059491E-2</v>
      </c>
      <c r="O128" s="33">
        <f>IFERROR(Table2[[#This Row],[Value(1000$) 2024]]/Table2[[#This Row],[Volume(1000) 2024]],0)</f>
        <v>1.4895943609758237E-2</v>
      </c>
      <c r="P128" s="33">
        <f>SUM(Table2[[#This Row],[Value(1000$) 2022]:[Value(1000$) 2024]])</f>
        <v>46.431699999999999</v>
      </c>
      <c r="Q128" s="33">
        <f>SUM(Table2[[#This Row],[Volume(1000) 2022]:[Volume(1000) 2024]])</f>
        <v>2891.6360999999997</v>
      </c>
      <c r="R128" s="33">
        <f>AVERAGE(Table2[[#This Row],[Average Price(2022)]:[Average Price(2024)]])</f>
        <v>1.0433529333451048E-2</v>
      </c>
    </row>
    <row r="129" spans="1:18" x14ac:dyDescent="0.3">
      <c r="A129" t="s">
        <v>158</v>
      </c>
      <c r="B129" t="s">
        <v>738</v>
      </c>
      <c r="C129" t="s">
        <v>867</v>
      </c>
      <c r="D129" t="s">
        <v>9</v>
      </c>
      <c r="E129" t="s">
        <v>30</v>
      </c>
      <c r="F129" s="27" t="str">
        <f>IF('Working Sheet'!B194="ITEM",'Working Sheet'!E194,"")</f>
        <v>120</v>
      </c>
      <c r="G129" s="27">
        <f>IF('Working Sheet'!B194="ITEM",'Working Sheet'!F194,"")</f>
        <v>0</v>
      </c>
      <c r="H129" s="27">
        <f>IF('Working Sheet'!B194="ITEM",'Working Sheet'!G194,"")</f>
        <v>28.314</v>
      </c>
      <c r="I129" s="27">
        <f>IF('Working Sheet'!B194="ITEM",'Working Sheet'!H194,"")</f>
        <v>9.1574000000000009</v>
      </c>
      <c r="J129">
        <f>IF('Working Sheet'!B194="ITEM",'Working Sheet'!I194,"")</f>
        <v>0</v>
      </c>
      <c r="K129">
        <f>IF('Working Sheet'!B194="ITEM",'Working Sheet'!J194,"")</f>
        <v>1712.6693</v>
      </c>
      <c r="L129">
        <f>IF('Working Sheet'!B194="ITEM",'Working Sheet'!K194,"")</f>
        <v>592.38390000000004</v>
      </c>
      <c r="M129" s="33">
        <f>IFERROR(Table2[[#This Row],[Value(1000$) 2022]]/Table2[[#This Row],[Volume(1000) 2022]],0)</f>
        <v>0</v>
      </c>
      <c r="N129" s="33">
        <f>IFERROR(Table2[[#This Row],[Value(1000$) 2023]]/Table2[[#This Row],[Volume(1000) 2023]],0)</f>
        <v>1.6532088243772454E-2</v>
      </c>
      <c r="O129" s="33">
        <f>IFERROR(Table2[[#This Row],[Value(1000$) 2024]]/Table2[[#This Row],[Volume(1000) 2024]],0)</f>
        <v>1.5458556520526639E-2</v>
      </c>
      <c r="P129" s="33">
        <f>SUM(Table2[[#This Row],[Value(1000$) 2022]:[Value(1000$) 2024]])</f>
        <v>37.471400000000003</v>
      </c>
      <c r="Q129" s="33">
        <f>SUM(Table2[[#This Row],[Volume(1000) 2022]:[Volume(1000) 2024]])</f>
        <v>2305.0532000000003</v>
      </c>
      <c r="R129" s="33">
        <f>AVERAGE(Table2[[#This Row],[Average Price(2022)]:[Average Price(2024)]])</f>
        <v>1.0663548254766364E-2</v>
      </c>
    </row>
    <row r="130" spans="1:18" x14ac:dyDescent="0.3">
      <c r="A130" t="s">
        <v>159</v>
      </c>
      <c r="B130" t="s">
        <v>738</v>
      </c>
      <c r="C130" t="s">
        <v>867</v>
      </c>
      <c r="D130" t="s">
        <v>9</v>
      </c>
      <c r="E130" t="s">
        <v>30</v>
      </c>
      <c r="F130" s="27" t="str">
        <f>IF('Working Sheet'!B195="ITEM",'Working Sheet'!E195,"")</f>
        <v>120</v>
      </c>
      <c r="G130" s="27">
        <f>IF('Working Sheet'!B195="ITEM",'Working Sheet'!F195,"")</f>
        <v>0</v>
      </c>
      <c r="H130" s="27">
        <f>IF('Working Sheet'!B195="ITEM",'Working Sheet'!G195,"")</f>
        <v>24.999500000000001</v>
      </c>
      <c r="I130" s="27">
        <f>IF('Working Sheet'!B195="ITEM",'Working Sheet'!H195,"")</f>
        <v>5.0659999999999998</v>
      </c>
      <c r="J130">
        <f>IF('Working Sheet'!B195="ITEM",'Working Sheet'!I195,"")</f>
        <v>0</v>
      </c>
      <c r="K130">
        <f>IF('Working Sheet'!B195="ITEM",'Working Sheet'!J195,"")</f>
        <v>1534.4268</v>
      </c>
      <c r="L130">
        <f>IF('Working Sheet'!B195="ITEM",'Working Sheet'!K195,"")</f>
        <v>349.95659999999998</v>
      </c>
      <c r="M130" s="33">
        <f>IFERROR(Table2[[#This Row],[Value(1000$) 2022]]/Table2[[#This Row],[Volume(1000) 2022]],0)</f>
        <v>0</v>
      </c>
      <c r="N130" s="33">
        <f>IFERROR(Table2[[#This Row],[Value(1000$) 2023]]/Table2[[#This Row],[Volume(1000) 2023]],0)</f>
        <v>1.6292403130602255E-2</v>
      </c>
      <c r="O130" s="33">
        <f>IFERROR(Table2[[#This Row],[Value(1000$) 2024]]/Table2[[#This Row],[Volume(1000) 2024]],0)</f>
        <v>1.4476080748298504E-2</v>
      </c>
      <c r="P130" s="33">
        <f>SUM(Table2[[#This Row],[Value(1000$) 2022]:[Value(1000$) 2024]])</f>
        <v>30.0655</v>
      </c>
      <c r="Q130" s="33">
        <f>SUM(Table2[[#This Row],[Volume(1000) 2022]:[Volume(1000) 2024]])</f>
        <v>1884.3833999999999</v>
      </c>
      <c r="R130" s="33">
        <f>AVERAGE(Table2[[#This Row],[Average Price(2022)]:[Average Price(2024)]])</f>
        <v>1.025616129296692E-2</v>
      </c>
    </row>
    <row r="131" spans="1:18" x14ac:dyDescent="0.3">
      <c r="A131" t="s">
        <v>160</v>
      </c>
      <c r="B131" t="s">
        <v>738</v>
      </c>
      <c r="C131" t="s">
        <v>867</v>
      </c>
      <c r="D131" t="s">
        <v>9</v>
      </c>
      <c r="E131" t="s">
        <v>20</v>
      </c>
      <c r="F131" s="27" t="str">
        <f>IF('Working Sheet'!B196="ITEM",'Working Sheet'!E196,"")</f>
        <v>120</v>
      </c>
      <c r="G131" s="27">
        <f>IF('Working Sheet'!B196="ITEM",'Working Sheet'!F196,"")</f>
        <v>25.1</v>
      </c>
      <c r="H131" s="27">
        <f>IF('Working Sheet'!B196="ITEM",'Working Sheet'!G196,"")</f>
        <v>61.22</v>
      </c>
      <c r="I131" s="27">
        <f>IF('Working Sheet'!B196="ITEM",'Working Sheet'!H196,"")</f>
        <v>8.9021000000000008</v>
      </c>
      <c r="J131">
        <f>IF('Working Sheet'!B196="ITEM",'Working Sheet'!I196,"")</f>
        <v>1136.2986000000001</v>
      </c>
      <c r="K131">
        <f>IF('Working Sheet'!B196="ITEM",'Working Sheet'!J196,"")</f>
        <v>3402.5661</v>
      </c>
      <c r="L131">
        <f>IF('Working Sheet'!B196="ITEM",'Working Sheet'!K196,"")</f>
        <v>613.3809</v>
      </c>
      <c r="M131" s="33">
        <f>IFERROR(Table2[[#This Row],[Value(1000$) 2022]]/Table2[[#This Row],[Volume(1000) 2022]],0)</f>
        <v>2.2089264212769424E-2</v>
      </c>
      <c r="N131" s="33">
        <f>IFERROR(Table2[[#This Row],[Value(1000$) 2023]]/Table2[[#This Row],[Volume(1000) 2023]],0)</f>
        <v>1.7992302926899788E-2</v>
      </c>
      <c r="O131" s="33">
        <f>IFERROR(Table2[[#This Row],[Value(1000$) 2024]]/Table2[[#This Row],[Volume(1000) 2024]],0)</f>
        <v>1.4513167918988023E-2</v>
      </c>
      <c r="P131" s="33">
        <f>SUM(Table2[[#This Row],[Value(1000$) 2022]:[Value(1000$) 2024]])</f>
        <v>95.222099999999998</v>
      </c>
      <c r="Q131" s="33">
        <f>SUM(Table2[[#This Row],[Volume(1000) 2022]:[Volume(1000) 2024]])</f>
        <v>5152.2456000000002</v>
      </c>
      <c r="R131" s="33">
        <f>AVERAGE(Table2[[#This Row],[Average Price(2022)]:[Average Price(2024)]])</f>
        <v>1.8198245019552414E-2</v>
      </c>
    </row>
    <row r="132" spans="1:18" x14ac:dyDescent="0.3">
      <c r="A132" t="s">
        <v>161</v>
      </c>
      <c r="B132" t="s">
        <v>738</v>
      </c>
      <c r="C132" t="s">
        <v>867</v>
      </c>
      <c r="D132" t="s">
        <v>9</v>
      </c>
      <c r="E132" t="s">
        <v>30</v>
      </c>
      <c r="F132" s="27" t="str">
        <f>IF('Working Sheet'!B197="ITEM",'Working Sheet'!E197,"")</f>
        <v>120</v>
      </c>
      <c r="G132" s="27">
        <f>IF('Working Sheet'!B197="ITEM",'Working Sheet'!F197,"")</f>
        <v>0</v>
      </c>
      <c r="H132" s="27">
        <f>IF('Working Sheet'!B197="ITEM",'Working Sheet'!G197,"")</f>
        <v>18.822399999999998</v>
      </c>
      <c r="I132" s="27">
        <f>IF('Working Sheet'!B197="ITEM",'Working Sheet'!H197,"")</f>
        <v>7.1738</v>
      </c>
      <c r="J132">
        <f>IF('Working Sheet'!B197="ITEM",'Working Sheet'!I197,"")</f>
        <v>0</v>
      </c>
      <c r="K132">
        <f>IF('Working Sheet'!B197="ITEM",'Working Sheet'!J197,"")</f>
        <v>1176.8929000000001</v>
      </c>
      <c r="L132">
        <f>IF('Working Sheet'!B197="ITEM",'Working Sheet'!K197,"")</f>
        <v>487.85019999999997</v>
      </c>
      <c r="M132" s="33">
        <f>IFERROR(Table2[[#This Row],[Value(1000$) 2022]]/Table2[[#This Row],[Volume(1000) 2022]],0)</f>
        <v>0</v>
      </c>
      <c r="N132" s="33">
        <f>IFERROR(Table2[[#This Row],[Value(1000$) 2023]]/Table2[[#This Row],[Volume(1000) 2023]],0)</f>
        <v>1.5993298965436869E-2</v>
      </c>
      <c r="O132" s="33">
        <f>IFERROR(Table2[[#This Row],[Value(1000$) 2024]]/Table2[[#This Row],[Volume(1000) 2024]],0)</f>
        <v>1.4704923765532944E-2</v>
      </c>
      <c r="P132" s="33">
        <f>SUM(Table2[[#This Row],[Value(1000$) 2022]:[Value(1000$) 2024]])</f>
        <v>25.996199999999998</v>
      </c>
      <c r="Q132" s="33">
        <f>SUM(Table2[[#This Row],[Volume(1000) 2022]:[Volume(1000) 2024]])</f>
        <v>1664.7431000000001</v>
      </c>
      <c r="R132" s="33">
        <f>AVERAGE(Table2[[#This Row],[Average Price(2022)]:[Average Price(2024)]])</f>
        <v>1.023274091032327E-2</v>
      </c>
    </row>
    <row r="133" spans="1:18" x14ac:dyDescent="0.3">
      <c r="A133" t="s">
        <v>162</v>
      </c>
      <c r="B133" t="s">
        <v>738</v>
      </c>
      <c r="C133" t="s">
        <v>867</v>
      </c>
      <c r="D133" t="s">
        <v>9</v>
      </c>
      <c r="E133" t="s">
        <v>20</v>
      </c>
      <c r="F133" s="27" t="str">
        <f>IF('Working Sheet'!B198="ITEM",'Working Sheet'!E198,"")</f>
        <v>15</v>
      </c>
      <c r="G133" s="27">
        <f>IF('Working Sheet'!B198="ITEM",'Working Sheet'!F198,"")</f>
        <v>1.24</v>
      </c>
      <c r="H133" s="27">
        <f>IF('Working Sheet'!B198="ITEM",'Working Sheet'!G198,"")</f>
        <v>2.9891000000000001</v>
      </c>
      <c r="I133" s="27">
        <f>IF('Working Sheet'!B198="ITEM",'Working Sheet'!H198,"")</f>
        <v>0.81240000000000001</v>
      </c>
      <c r="J133">
        <f>IF('Working Sheet'!B198="ITEM",'Working Sheet'!I198,"")</f>
        <v>69.486800000000002</v>
      </c>
      <c r="K133">
        <f>IF('Working Sheet'!B198="ITEM",'Working Sheet'!J198,"")</f>
        <v>154.24979999999999</v>
      </c>
      <c r="L133">
        <f>IF('Working Sheet'!B198="ITEM",'Working Sheet'!K198,"")</f>
        <v>41.637500000000003</v>
      </c>
      <c r="M133" s="33">
        <f>IFERROR(Table2[[#This Row],[Value(1000$) 2022]]/Table2[[#This Row],[Volume(1000) 2022]],0)</f>
        <v>1.7845115906906059E-2</v>
      </c>
      <c r="N133" s="33">
        <f>IFERROR(Table2[[#This Row],[Value(1000$) 2023]]/Table2[[#This Row],[Volume(1000) 2023]],0)</f>
        <v>1.9378307135568412E-2</v>
      </c>
      <c r="O133" s="33">
        <f>IFERROR(Table2[[#This Row],[Value(1000$) 2024]]/Table2[[#This Row],[Volume(1000) 2024]],0)</f>
        <v>1.9511257880516362E-2</v>
      </c>
      <c r="P133" s="33">
        <f>SUM(Table2[[#This Row],[Value(1000$) 2022]:[Value(1000$) 2024]])</f>
        <v>5.0415000000000001</v>
      </c>
      <c r="Q133" s="33">
        <f>SUM(Table2[[#This Row],[Volume(1000) 2022]:[Volume(1000) 2024]])</f>
        <v>265.3741</v>
      </c>
      <c r="R133" s="33">
        <f>AVERAGE(Table2[[#This Row],[Average Price(2022)]:[Average Price(2024)]])</f>
        <v>1.8911560307663611E-2</v>
      </c>
    </row>
    <row r="134" spans="1:18" x14ac:dyDescent="0.3">
      <c r="A134" t="s">
        <v>163</v>
      </c>
      <c r="B134" t="s">
        <v>738</v>
      </c>
      <c r="C134" t="s">
        <v>867</v>
      </c>
      <c r="D134" t="s">
        <v>9</v>
      </c>
      <c r="E134" t="s">
        <v>20</v>
      </c>
      <c r="F134" s="27" t="str">
        <f>IF('Working Sheet'!B199="ITEM",'Working Sheet'!E199,"")</f>
        <v>70</v>
      </c>
      <c r="G134" s="27">
        <f>IF('Working Sheet'!B199="ITEM",'Working Sheet'!F199,"")</f>
        <v>1.1599999999999999</v>
      </c>
      <c r="H134" s="27">
        <f>IF('Working Sheet'!B199="ITEM",'Working Sheet'!G199,"")</f>
        <v>1.8923000000000001</v>
      </c>
      <c r="I134" s="27">
        <f>IF('Working Sheet'!B199="ITEM",'Working Sheet'!H199,"")</f>
        <v>0</v>
      </c>
      <c r="J134">
        <f>IF('Working Sheet'!B199="ITEM",'Working Sheet'!I199,"")</f>
        <v>44.862200000000001</v>
      </c>
      <c r="K134">
        <f>IF('Working Sheet'!B199="ITEM",'Working Sheet'!J199,"")</f>
        <v>87.694800000000001</v>
      </c>
      <c r="L134">
        <f>IF('Working Sheet'!B199="ITEM",'Working Sheet'!K199,"")</f>
        <v>0</v>
      </c>
      <c r="M134" s="33">
        <f>IFERROR(Table2[[#This Row],[Value(1000$) 2022]]/Table2[[#This Row],[Volume(1000) 2022]],0)</f>
        <v>2.5856957527718209E-2</v>
      </c>
      <c r="N134" s="33">
        <f>IFERROR(Table2[[#This Row],[Value(1000$) 2023]]/Table2[[#This Row],[Volume(1000) 2023]],0)</f>
        <v>2.1578246372646954E-2</v>
      </c>
      <c r="O134" s="33">
        <f>IFERROR(Table2[[#This Row],[Value(1000$) 2024]]/Table2[[#This Row],[Volume(1000) 2024]],0)</f>
        <v>0</v>
      </c>
      <c r="P134" s="33">
        <f>SUM(Table2[[#This Row],[Value(1000$) 2022]:[Value(1000$) 2024]])</f>
        <v>3.0522999999999998</v>
      </c>
      <c r="Q134" s="33">
        <f>SUM(Table2[[#This Row],[Volume(1000) 2022]:[Volume(1000) 2024]])</f>
        <v>132.55700000000002</v>
      </c>
      <c r="R134" s="33">
        <f>AVERAGE(Table2[[#This Row],[Average Price(2022)]:[Average Price(2024)]])</f>
        <v>1.5811734633455057E-2</v>
      </c>
    </row>
    <row r="135" spans="1:18" x14ac:dyDescent="0.3">
      <c r="A135" t="s">
        <v>820</v>
      </c>
      <c r="B135" t="s">
        <v>738</v>
      </c>
      <c r="C135" t="s">
        <v>867</v>
      </c>
      <c r="D135" t="s">
        <v>9</v>
      </c>
      <c r="E135" t="s">
        <v>10</v>
      </c>
      <c r="F135" s="27" t="str">
        <f>IF('Working Sheet'!B200="ITEM",'Working Sheet'!E200,"")</f>
        <v>90</v>
      </c>
      <c r="G135" s="27">
        <f>IF('Working Sheet'!B200="ITEM",'Working Sheet'!F200,"")</f>
        <v>0</v>
      </c>
      <c r="H135" s="27">
        <f>IF('Working Sheet'!B200="ITEM",'Working Sheet'!G200,"")</f>
        <v>14.477</v>
      </c>
      <c r="I135" s="27">
        <f>IF('Working Sheet'!B200="ITEM",'Working Sheet'!H200,"")</f>
        <v>3.1046999999999998</v>
      </c>
      <c r="J135">
        <f>IF('Working Sheet'!B200="ITEM",'Working Sheet'!I200,"")</f>
        <v>0</v>
      </c>
      <c r="K135">
        <f>IF('Working Sheet'!B200="ITEM",'Working Sheet'!J200,"")</f>
        <v>762.29949999999997</v>
      </c>
      <c r="L135">
        <f>IF('Working Sheet'!B200="ITEM",'Working Sheet'!K200,"")</f>
        <v>149.91970000000001</v>
      </c>
      <c r="M135" s="33">
        <f>IFERROR(Table2[[#This Row],[Value(1000$) 2022]]/Table2[[#This Row],[Volume(1000) 2022]],0)</f>
        <v>0</v>
      </c>
      <c r="N135" s="33">
        <f>IFERROR(Table2[[#This Row],[Value(1000$) 2023]]/Table2[[#This Row],[Volume(1000) 2023]],0)</f>
        <v>1.8991223265921071E-2</v>
      </c>
      <c r="O135" s="33">
        <f>IFERROR(Table2[[#This Row],[Value(1000$) 2024]]/Table2[[#This Row],[Volume(1000) 2024]],0)</f>
        <v>2.0709086264180089E-2</v>
      </c>
      <c r="P135" s="33">
        <f>SUM(Table2[[#This Row],[Value(1000$) 2022]:[Value(1000$) 2024]])</f>
        <v>17.581700000000001</v>
      </c>
      <c r="Q135" s="33">
        <f>SUM(Table2[[#This Row],[Volume(1000) 2022]:[Volume(1000) 2024]])</f>
        <v>912.2192</v>
      </c>
      <c r="R135" s="33">
        <f>AVERAGE(Table2[[#This Row],[Average Price(2022)]:[Average Price(2024)]])</f>
        <v>1.323343651003372E-2</v>
      </c>
    </row>
    <row r="136" spans="1:18" x14ac:dyDescent="0.3">
      <c r="A136" t="s">
        <v>165</v>
      </c>
      <c r="B136" t="s">
        <v>738</v>
      </c>
      <c r="C136" t="s">
        <v>164</v>
      </c>
      <c r="D136" t="s">
        <v>9</v>
      </c>
      <c r="E136" t="s">
        <v>30</v>
      </c>
      <c r="F136" s="27" t="str">
        <f>IF('Working Sheet'!B202="ITEM",'Working Sheet'!E202,"")</f>
        <v>120</v>
      </c>
      <c r="G136" s="27">
        <f>IF('Working Sheet'!B202="ITEM",'Working Sheet'!F202,"")</f>
        <v>0.25940000000000002</v>
      </c>
      <c r="H136" s="27">
        <f>IF('Working Sheet'!B202="ITEM",'Working Sheet'!G202,"")</f>
        <v>47.287300000000002</v>
      </c>
      <c r="I136" s="27">
        <f>IF('Working Sheet'!B202="ITEM",'Working Sheet'!H202,"")</f>
        <v>13.3363</v>
      </c>
      <c r="J136">
        <f>IF('Working Sheet'!B202="ITEM",'Working Sheet'!I202,"")</f>
        <v>15.5664</v>
      </c>
      <c r="K136">
        <f>IF('Working Sheet'!B202="ITEM",'Working Sheet'!J202,"")</f>
        <v>2338.1842000000001</v>
      </c>
      <c r="L136">
        <f>IF('Working Sheet'!B202="ITEM",'Working Sheet'!K202,"")</f>
        <v>671.9117</v>
      </c>
      <c r="M136" s="33">
        <f>IFERROR(Table2[[#This Row],[Value(1000$) 2022]]/Table2[[#This Row],[Volume(1000) 2022]],0)</f>
        <v>1.6664097029499437E-2</v>
      </c>
      <c r="N136" s="33">
        <f>IFERROR(Table2[[#This Row],[Value(1000$) 2023]]/Table2[[#This Row],[Volume(1000) 2023]],0)</f>
        <v>2.0223941295985148E-2</v>
      </c>
      <c r="O136" s="33">
        <f>IFERROR(Table2[[#This Row],[Value(1000$) 2024]]/Table2[[#This Row],[Volume(1000) 2024]],0)</f>
        <v>1.9848292565823752E-2</v>
      </c>
      <c r="P136" s="33">
        <f>SUM(Table2[[#This Row],[Value(1000$) 2022]:[Value(1000$) 2024]])</f>
        <v>60.883000000000003</v>
      </c>
      <c r="Q136" s="33">
        <f>SUM(Table2[[#This Row],[Volume(1000) 2022]:[Volume(1000) 2024]])</f>
        <v>3025.6623000000004</v>
      </c>
      <c r="R136" s="33">
        <f>AVERAGE(Table2[[#This Row],[Average Price(2022)]:[Average Price(2024)]])</f>
        <v>1.8912110297102779E-2</v>
      </c>
    </row>
    <row r="137" spans="1:18" x14ac:dyDescent="0.3">
      <c r="A137" t="s">
        <v>166</v>
      </c>
      <c r="B137" t="s">
        <v>738</v>
      </c>
      <c r="C137" t="s">
        <v>164</v>
      </c>
      <c r="D137" t="s">
        <v>9</v>
      </c>
      <c r="E137" t="s">
        <v>30</v>
      </c>
      <c r="F137" s="27" t="str">
        <f>IF('Working Sheet'!B203="ITEM",'Working Sheet'!E203,"")</f>
        <v>15</v>
      </c>
      <c r="G137" s="27">
        <f>IF('Working Sheet'!B203="ITEM",'Working Sheet'!F203,"")</f>
        <v>0</v>
      </c>
      <c r="H137" s="27">
        <f>IF('Working Sheet'!B203="ITEM",'Working Sheet'!G203,"")</f>
        <v>5.6702000000000004</v>
      </c>
      <c r="I137" s="27">
        <f>IF('Working Sheet'!B203="ITEM",'Working Sheet'!H203,"")</f>
        <v>10.135199999999999</v>
      </c>
      <c r="J137">
        <f>IF('Working Sheet'!B203="ITEM",'Working Sheet'!I203,"")</f>
        <v>0</v>
      </c>
      <c r="K137">
        <f>IF('Working Sheet'!B203="ITEM",'Working Sheet'!J203,"")</f>
        <v>206.95869999999999</v>
      </c>
      <c r="L137">
        <f>IF('Working Sheet'!B203="ITEM",'Working Sheet'!K203,"")</f>
        <v>365.12360000000001</v>
      </c>
      <c r="M137" s="33">
        <f>IFERROR(Table2[[#This Row],[Value(1000$) 2022]]/Table2[[#This Row],[Volume(1000) 2022]],0)</f>
        <v>0</v>
      </c>
      <c r="N137" s="33">
        <f>IFERROR(Table2[[#This Row],[Value(1000$) 2023]]/Table2[[#This Row],[Volume(1000) 2023]],0)</f>
        <v>2.7397736843147936E-2</v>
      </c>
      <c r="O137" s="33">
        <f>IFERROR(Table2[[#This Row],[Value(1000$) 2024]]/Table2[[#This Row],[Volume(1000) 2024]],0)</f>
        <v>2.7758271445614578E-2</v>
      </c>
      <c r="P137" s="33">
        <f>SUM(Table2[[#This Row],[Value(1000$) 2022]:[Value(1000$) 2024]])</f>
        <v>15.805399999999999</v>
      </c>
      <c r="Q137" s="33">
        <f>SUM(Table2[[#This Row],[Volume(1000) 2022]:[Volume(1000) 2024]])</f>
        <v>572.08230000000003</v>
      </c>
      <c r="R137" s="33">
        <f>AVERAGE(Table2[[#This Row],[Average Price(2022)]:[Average Price(2024)]])</f>
        <v>1.838533609625417E-2</v>
      </c>
    </row>
    <row r="138" spans="1:18" x14ac:dyDescent="0.3">
      <c r="A138" t="s">
        <v>167</v>
      </c>
      <c r="B138" t="s">
        <v>739</v>
      </c>
      <c r="C138" t="s">
        <v>868</v>
      </c>
      <c r="D138" t="s">
        <v>9</v>
      </c>
      <c r="E138" t="s">
        <v>64</v>
      </c>
      <c r="F138" s="27" t="str">
        <f>IF('Working Sheet'!B206="ITEM",'Working Sheet'!E206,"")</f>
        <v>120</v>
      </c>
      <c r="G138" s="27">
        <f>IF('Working Sheet'!B206="ITEM",'Working Sheet'!F206,"")</f>
        <v>0</v>
      </c>
      <c r="H138" s="27">
        <f>IF('Working Sheet'!B206="ITEM",'Working Sheet'!G206,"")</f>
        <v>82.250100000000003</v>
      </c>
      <c r="I138" s="27">
        <f>IF('Working Sheet'!B206="ITEM",'Working Sheet'!H206,"")</f>
        <v>55.842500000000001</v>
      </c>
      <c r="J138">
        <f>IF('Working Sheet'!B206="ITEM",'Working Sheet'!I206,"")</f>
        <v>0</v>
      </c>
      <c r="K138">
        <f>IF('Working Sheet'!B206="ITEM",'Working Sheet'!J206,"")</f>
        <v>5284.8972000000003</v>
      </c>
      <c r="L138">
        <f>IF('Working Sheet'!B206="ITEM",'Working Sheet'!K206,"")</f>
        <v>3137.2123999999999</v>
      </c>
      <c r="M138" s="33">
        <f>IFERROR(Table2[[#This Row],[Value(1000$) 2022]]/Table2[[#This Row],[Volume(1000) 2022]],0)</f>
        <v>0</v>
      </c>
      <c r="N138" s="33">
        <f>IFERROR(Table2[[#This Row],[Value(1000$) 2023]]/Table2[[#This Row],[Volume(1000) 2023]],0)</f>
        <v>1.5563235553569518E-2</v>
      </c>
      <c r="O138" s="33">
        <f>IFERROR(Table2[[#This Row],[Value(1000$) 2024]]/Table2[[#This Row],[Volume(1000) 2024]],0)</f>
        <v>1.780003802101509E-2</v>
      </c>
      <c r="P138" s="33">
        <f>SUM(Table2[[#This Row],[Value(1000$) 2022]:[Value(1000$) 2024]])</f>
        <v>138.0926</v>
      </c>
      <c r="Q138" s="33">
        <f>SUM(Table2[[#This Row],[Volume(1000) 2022]:[Volume(1000) 2024]])</f>
        <v>8422.1095999999998</v>
      </c>
      <c r="R138" s="33">
        <f>AVERAGE(Table2[[#This Row],[Average Price(2022)]:[Average Price(2024)]])</f>
        <v>1.1121091191528203E-2</v>
      </c>
    </row>
    <row r="139" spans="1:18" x14ac:dyDescent="0.3">
      <c r="A139" t="s">
        <v>168</v>
      </c>
      <c r="B139" t="s">
        <v>739</v>
      </c>
      <c r="C139" t="s">
        <v>868</v>
      </c>
      <c r="D139" t="s">
        <v>9</v>
      </c>
      <c r="E139" t="s">
        <v>64</v>
      </c>
      <c r="F139" s="27" t="str">
        <f>IF('Working Sheet'!B207="ITEM",'Working Sheet'!E207,"")</f>
        <v>120</v>
      </c>
      <c r="G139" s="27">
        <f>IF('Working Sheet'!B207="ITEM",'Working Sheet'!F207,"")</f>
        <v>0</v>
      </c>
      <c r="H139" s="27">
        <f>IF('Working Sheet'!B207="ITEM",'Working Sheet'!G207,"")</f>
        <v>88.414900000000003</v>
      </c>
      <c r="I139" s="27">
        <f>IF('Working Sheet'!B207="ITEM",'Working Sheet'!H207,"")</f>
        <v>45.6905</v>
      </c>
      <c r="J139">
        <f>IF('Working Sheet'!B207="ITEM",'Working Sheet'!I207,"")</f>
        <v>0</v>
      </c>
      <c r="K139">
        <f>IF('Working Sheet'!B207="ITEM",'Working Sheet'!J207,"")</f>
        <v>5662.4585999999999</v>
      </c>
      <c r="L139">
        <f>IF('Working Sheet'!B207="ITEM",'Working Sheet'!K207,"")</f>
        <v>2576.6464000000001</v>
      </c>
      <c r="M139" s="33">
        <f>IFERROR(Table2[[#This Row],[Value(1000$) 2022]]/Table2[[#This Row],[Volume(1000) 2022]],0)</f>
        <v>0</v>
      </c>
      <c r="N139" s="33">
        <f>IFERROR(Table2[[#This Row],[Value(1000$) 2023]]/Table2[[#This Row],[Volume(1000) 2023]],0)</f>
        <v>1.5614224534904327E-2</v>
      </c>
      <c r="O139" s="33">
        <f>IFERROR(Table2[[#This Row],[Value(1000$) 2024]]/Table2[[#This Row],[Volume(1000) 2024]],0)</f>
        <v>1.7732545684188562E-2</v>
      </c>
      <c r="P139" s="33">
        <f>SUM(Table2[[#This Row],[Value(1000$) 2022]:[Value(1000$) 2024]])</f>
        <v>134.1054</v>
      </c>
      <c r="Q139" s="33">
        <f>SUM(Table2[[#This Row],[Volume(1000) 2022]:[Volume(1000) 2024]])</f>
        <v>8239.1049999999996</v>
      </c>
      <c r="R139" s="33">
        <f>AVERAGE(Table2[[#This Row],[Average Price(2022)]:[Average Price(2024)]])</f>
        <v>1.1115590073030963E-2</v>
      </c>
    </row>
    <row r="140" spans="1:18" x14ac:dyDescent="0.3">
      <c r="A140" t="s">
        <v>169</v>
      </c>
      <c r="B140" t="s">
        <v>740</v>
      </c>
      <c r="C140" t="s">
        <v>869</v>
      </c>
      <c r="D140" t="s">
        <v>9</v>
      </c>
      <c r="E140" t="s">
        <v>20</v>
      </c>
      <c r="F140" s="27" t="str">
        <f>IF('Working Sheet'!B210="ITEM",'Working Sheet'!E210,"")</f>
        <v>72</v>
      </c>
      <c r="G140" s="27">
        <f>IF('Working Sheet'!B210="ITEM",'Working Sheet'!F210,"")</f>
        <v>0.24010000000000001</v>
      </c>
      <c r="H140" s="27">
        <f>IF('Working Sheet'!B210="ITEM",'Working Sheet'!G210,"")</f>
        <v>0</v>
      </c>
      <c r="I140" s="27">
        <f>IF('Working Sheet'!B210="ITEM",'Working Sheet'!H210,"")</f>
        <v>0</v>
      </c>
      <c r="J140">
        <f>IF('Working Sheet'!B210="ITEM",'Working Sheet'!I210,"")</f>
        <v>10.8056</v>
      </c>
      <c r="K140">
        <f>IF('Working Sheet'!B210="ITEM",'Working Sheet'!J210,"")</f>
        <v>0</v>
      </c>
      <c r="L140">
        <f>IF('Working Sheet'!B210="ITEM",'Working Sheet'!K210,"")</f>
        <v>0</v>
      </c>
      <c r="M140" s="33">
        <f>IFERROR(Table2[[#This Row],[Value(1000$) 2022]]/Table2[[#This Row],[Volume(1000) 2022]],0)</f>
        <v>2.2219960020729991E-2</v>
      </c>
      <c r="N140" s="33">
        <f>IFERROR(Table2[[#This Row],[Value(1000$) 2023]]/Table2[[#This Row],[Volume(1000) 2023]],0)</f>
        <v>0</v>
      </c>
      <c r="O140" s="33">
        <f>IFERROR(Table2[[#This Row],[Value(1000$) 2024]]/Table2[[#This Row],[Volume(1000) 2024]],0)</f>
        <v>0</v>
      </c>
      <c r="P140" s="33">
        <f>SUM(Table2[[#This Row],[Value(1000$) 2022]:[Value(1000$) 2024]])</f>
        <v>0.24010000000000001</v>
      </c>
      <c r="Q140" s="33">
        <f>SUM(Table2[[#This Row],[Volume(1000) 2022]:[Volume(1000) 2024]])</f>
        <v>10.8056</v>
      </c>
      <c r="R140" s="33">
        <f>AVERAGE(Table2[[#This Row],[Average Price(2022)]:[Average Price(2024)]])</f>
        <v>7.4066533402433301E-3</v>
      </c>
    </row>
    <row r="141" spans="1:18" x14ac:dyDescent="0.3">
      <c r="A141" t="s">
        <v>171</v>
      </c>
      <c r="B141" t="s">
        <v>741</v>
      </c>
      <c r="C141" t="s">
        <v>170</v>
      </c>
      <c r="D141" t="s">
        <v>9</v>
      </c>
      <c r="E141" t="s">
        <v>30</v>
      </c>
      <c r="F141" s="27" t="str">
        <f>IF('Working Sheet'!B213="ITEM",'Working Sheet'!E213,"")</f>
        <v>20</v>
      </c>
      <c r="G141" s="27">
        <f>IF('Working Sheet'!B213="ITEM",'Working Sheet'!F213,"")</f>
        <v>8.8999999999999999E-3</v>
      </c>
      <c r="H141" s="27">
        <f>IF('Working Sheet'!B213="ITEM",'Working Sheet'!G213,"")</f>
        <v>1.9E-3</v>
      </c>
      <c r="I141" s="27">
        <f>IF('Working Sheet'!B213="ITEM",'Working Sheet'!H213,"")</f>
        <v>0</v>
      </c>
      <c r="J141">
        <f>IF('Working Sheet'!B213="ITEM",'Working Sheet'!I213,"")</f>
        <v>0.1</v>
      </c>
      <c r="K141">
        <f>IF('Working Sheet'!B213="ITEM",'Working Sheet'!J213,"")</f>
        <v>0.02</v>
      </c>
      <c r="L141">
        <f>IF('Working Sheet'!B213="ITEM",'Working Sheet'!K213,"")</f>
        <v>0</v>
      </c>
      <c r="M141" s="33">
        <f>IFERROR(Table2[[#This Row],[Value(1000$) 2022]]/Table2[[#This Row],[Volume(1000) 2022]],0)</f>
        <v>8.8999999999999996E-2</v>
      </c>
      <c r="N141" s="33">
        <f>IFERROR(Table2[[#This Row],[Value(1000$) 2023]]/Table2[[#This Row],[Volume(1000) 2023]],0)</f>
        <v>9.5000000000000001E-2</v>
      </c>
      <c r="O141" s="33">
        <f>IFERROR(Table2[[#This Row],[Value(1000$) 2024]]/Table2[[#This Row],[Volume(1000) 2024]],0)</f>
        <v>0</v>
      </c>
      <c r="P141" s="33">
        <f>SUM(Table2[[#This Row],[Value(1000$) 2022]:[Value(1000$) 2024]])</f>
        <v>1.0800000000000001E-2</v>
      </c>
      <c r="Q141" s="33">
        <f>SUM(Table2[[#This Row],[Volume(1000) 2022]:[Volume(1000) 2024]])</f>
        <v>0.12000000000000001</v>
      </c>
      <c r="R141" s="33">
        <f>AVERAGE(Table2[[#This Row],[Average Price(2022)]:[Average Price(2024)]])</f>
        <v>6.133333333333333E-2</v>
      </c>
    </row>
    <row r="142" spans="1:18" x14ac:dyDescent="0.3">
      <c r="A142" t="s">
        <v>172</v>
      </c>
      <c r="B142" t="s">
        <v>741</v>
      </c>
      <c r="C142" t="s">
        <v>170</v>
      </c>
      <c r="D142" t="s">
        <v>9</v>
      </c>
      <c r="E142" t="s">
        <v>30</v>
      </c>
      <c r="F142" s="27" t="str">
        <f>IF('Working Sheet'!B214="ITEM",'Working Sheet'!E214,"")</f>
        <v>20</v>
      </c>
      <c r="G142" s="27">
        <f>IF('Working Sheet'!B214="ITEM",'Working Sheet'!F214,"")</f>
        <v>3.6436000000000002</v>
      </c>
      <c r="H142" s="27">
        <f>IF('Working Sheet'!B214="ITEM",'Working Sheet'!G214,"")</f>
        <v>0.20610000000000001</v>
      </c>
      <c r="I142" s="27">
        <f>IF('Working Sheet'!B214="ITEM",'Working Sheet'!H214,"")</f>
        <v>0.1404</v>
      </c>
      <c r="J142">
        <f>IF('Working Sheet'!B214="ITEM",'Working Sheet'!I214,"")</f>
        <v>40.526699999999998</v>
      </c>
      <c r="K142">
        <f>IF('Working Sheet'!B214="ITEM",'Working Sheet'!J214,"")</f>
        <v>2.1286999999999998</v>
      </c>
      <c r="L142">
        <f>IF('Working Sheet'!B214="ITEM",'Working Sheet'!K214,"")</f>
        <v>1.4401999999999999</v>
      </c>
      <c r="M142" s="33">
        <f>IFERROR(Table2[[#This Row],[Value(1000$) 2022]]/Table2[[#This Row],[Volume(1000) 2022]],0)</f>
        <v>8.9906160629905724E-2</v>
      </c>
      <c r="N142" s="33">
        <f>IFERROR(Table2[[#This Row],[Value(1000$) 2023]]/Table2[[#This Row],[Volume(1000) 2023]],0)</f>
        <v>9.6819655188612783E-2</v>
      </c>
      <c r="O142" s="33">
        <f>IFERROR(Table2[[#This Row],[Value(1000$) 2024]]/Table2[[#This Row],[Volume(1000) 2024]],0)</f>
        <v>9.7486460213859191E-2</v>
      </c>
      <c r="P142" s="33">
        <f>SUM(Table2[[#This Row],[Value(1000$) 2022]:[Value(1000$) 2024]])</f>
        <v>3.9901000000000004</v>
      </c>
      <c r="Q142" s="33">
        <f>SUM(Table2[[#This Row],[Volume(1000) 2022]:[Volume(1000) 2024]])</f>
        <v>44.095599999999997</v>
      </c>
      <c r="R142" s="33">
        <f>AVERAGE(Table2[[#This Row],[Average Price(2022)]:[Average Price(2024)]])</f>
        <v>9.4737425344125895E-2</v>
      </c>
    </row>
    <row r="143" spans="1:18" x14ac:dyDescent="0.3">
      <c r="A143" t="s">
        <v>173</v>
      </c>
      <c r="B143" t="s">
        <v>741</v>
      </c>
      <c r="C143" t="s">
        <v>170</v>
      </c>
      <c r="D143" t="s">
        <v>9</v>
      </c>
      <c r="E143" t="s">
        <v>30</v>
      </c>
      <c r="F143" s="27" t="str">
        <f>IF('Working Sheet'!B215="ITEM",'Working Sheet'!E215,"")</f>
        <v>64</v>
      </c>
      <c r="G143" s="27">
        <f>IF('Working Sheet'!B215="ITEM",'Working Sheet'!F215,"")</f>
        <v>4.9200000000000001E-2</v>
      </c>
      <c r="H143" s="27">
        <f>IF('Working Sheet'!B215="ITEM",'Working Sheet'!G215,"")</f>
        <v>1.14E-2</v>
      </c>
      <c r="I143" s="27">
        <f>IF('Working Sheet'!B215="ITEM",'Working Sheet'!H215,"")</f>
        <v>0</v>
      </c>
      <c r="J143">
        <f>IF('Working Sheet'!B215="ITEM",'Working Sheet'!I215,"")</f>
        <v>3.4851000000000001</v>
      </c>
      <c r="K143">
        <f>IF('Working Sheet'!B215="ITEM",'Working Sheet'!J215,"")</f>
        <v>0.25600000000000001</v>
      </c>
      <c r="L143">
        <f>IF('Working Sheet'!B215="ITEM",'Working Sheet'!K215,"")</f>
        <v>0</v>
      </c>
      <c r="M143" s="33">
        <f>IFERROR(Table2[[#This Row],[Value(1000$) 2022]]/Table2[[#This Row],[Volume(1000) 2022]],0)</f>
        <v>1.4117241972970646E-2</v>
      </c>
      <c r="N143" s="33">
        <f>IFERROR(Table2[[#This Row],[Value(1000$) 2023]]/Table2[[#This Row],[Volume(1000) 2023]],0)</f>
        <v>4.4531250000000001E-2</v>
      </c>
      <c r="O143" s="33">
        <f>IFERROR(Table2[[#This Row],[Value(1000$) 2024]]/Table2[[#This Row],[Volume(1000) 2024]],0)</f>
        <v>0</v>
      </c>
      <c r="P143" s="33">
        <f>SUM(Table2[[#This Row],[Value(1000$) 2022]:[Value(1000$) 2024]])</f>
        <v>6.0600000000000001E-2</v>
      </c>
      <c r="Q143" s="33">
        <f>SUM(Table2[[#This Row],[Volume(1000) 2022]:[Volume(1000) 2024]])</f>
        <v>3.7411000000000003</v>
      </c>
      <c r="R143" s="33">
        <f>AVERAGE(Table2[[#This Row],[Average Price(2022)]:[Average Price(2024)]])</f>
        <v>1.954949732432355E-2</v>
      </c>
    </row>
    <row r="144" spans="1:18" x14ac:dyDescent="0.3">
      <c r="A144" t="s">
        <v>174</v>
      </c>
      <c r="B144" t="s">
        <v>741</v>
      </c>
      <c r="C144" t="s">
        <v>170</v>
      </c>
      <c r="D144" t="s">
        <v>9</v>
      </c>
      <c r="E144" t="s">
        <v>30</v>
      </c>
      <c r="F144" s="27" t="str">
        <f>IF('Working Sheet'!B216="ITEM",'Working Sheet'!E216,"")</f>
        <v>64</v>
      </c>
      <c r="G144" s="27">
        <f>IF('Working Sheet'!B216="ITEM",'Working Sheet'!F216,"")</f>
        <v>4.9882</v>
      </c>
      <c r="H144" s="27">
        <f>IF('Working Sheet'!B216="ITEM",'Working Sheet'!G216,"")</f>
        <v>0.97860000000000003</v>
      </c>
      <c r="I144" s="27">
        <f>IF('Working Sheet'!B216="ITEM",'Working Sheet'!H216,"")</f>
        <v>0</v>
      </c>
      <c r="J144">
        <f>IF('Working Sheet'!B216="ITEM",'Working Sheet'!I216,"")</f>
        <v>116.9594</v>
      </c>
      <c r="K144">
        <f>IF('Working Sheet'!B216="ITEM",'Working Sheet'!J216,"")</f>
        <v>26.678799999999999</v>
      </c>
      <c r="L144">
        <f>IF('Working Sheet'!B216="ITEM",'Working Sheet'!K216,"")</f>
        <v>0</v>
      </c>
      <c r="M144" s="33">
        <f>IFERROR(Table2[[#This Row],[Value(1000$) 2022]]/Table2[[#This Row],[Volume(1000) 2022]],0)</f>
        <v>4.2648987597405597E-2</v>
      </c>
      <c r="N144" s="33">
        <f>IFERROR(Table2[[#This Row],[Value(1000$) 2023]]/Table2[[#This Row],[Volume(1000) 2023]],0)</f>
        <v>3.6680810231344743E-2</v>
      </c>
      <c r="O144" s="33">
        <f>IFERROR(Table2[[#This Row],[Value(1000$) 2024]]/Table2[[#This Row],[Volume(1000) 2024]],0)</f>
        <v>0</v>
      </c>
      <c r="P144" s="33">
        <f>SUM(Table2[[#This Row],[Value(1000$) 2022]:[Value(1000$) 2024]])</f>
        <v>5.9668000000000001</v>
      </c>
      <c r="Q144" s="33">
        <f>SUM(Table2[[#This Row],[Volume(1000) 2022]:[Volume(1000) 2024]])</f>
        <v>143.63820000000001</v>
      </c>
      <c r="R144" s="33">
        <f>AVERAGE(Table2[[#This Row],[Average Price(2022)]:[Average Price(2024)]])</f>
        <v>2.644326594291678E-2</v>
      </c>
    </row>
    <row r="145" spans="1:18" x14ac:dyDescent="0.3">
      <c r="A145" t="s">
        <v>175</v>
      </c>
      <c r="B145" t="s">
        <v>742</v>
      </c>
      <c r="C145" t="s">
        <v>870</v>
      </c>
      <c r="D145" t="s">
        <v>9</v>
      </c>
      <c r="E145" t="s">
        <v>30</v>
      </c>
      <c r="F145" s="27" t="str">
        <f>IF('Working Sheet'!B219="ITEM",'Working Sheet'!E219,"")</f>
        <v>50</v>
      </c>
      <c r="G145" s="27">
        <f>IF('Working Sheet'!B219="ITEM",'Working Sheet'!F219,"")</f>
        <v>0</v>
      </c>
      <c r="H145" s="27">
        <f>IF('Working Sheet'!B219="ITEM",'Working Sheet'!G219,"")</f>
        <v>0</v>
      </c>
      <c r="I145" s="27">
        <f>IF('Working Sheet'!B219="ITEM",'Working Sheet'!H219,"")</f>
        <v>0.16420000000000001</v>
      </c>
      <c r="J145">
        <f>IF('Working Sheet'!B219="ITEM",'Working Sheet'!I219,"")</f>
        <v>0</v>
      </c>
      <c r="K145">
        <f>IF('Working Sheet'!B219="ITEM",'Working Sheet'!J219,"")</f>
        <v>0</v>
      </c>
      <c r="L145">
        <f>IF('Working Sheet'!B219="ITEM",'Working Sheet'!K219,"")</f>
        <v>5.0327000000000002</v>
      </c>
      <c r="M145" s="33">
        <f>IFERROR(Table2[[#This Row],[Value(1000$) 2022]]/Table2[[#This Row],[Volume(1000) 2022]],0)</f>
        <v>0</v>
      </c>
      <c r="N145" s="33">
        <f>IFERROR(Table2[[#This Row],[Value(1000$) 2023]]/Table2[[#This Row],[Volume(1000) 2023]],0)</f>
        <v>0</v>
      </c>
      <c r="O145" s="33">
        <f>IFERROR(Table2[[#This Row],[Value(1000$) 2024]]/Table2[[#This Row],[Volume(1000) 2024]],0)</f>
        <v>3.2626621892820951E-2</v>
      </c>
      <c r="P145" s="33">
        <f>SUM(Table2[[#This Row],[Value(1000$) 2022]:[Value(1000$) 2024]])</f>
        <v>0.16420000000000001</v>
      </c>
      <c r="Q145" s="33">
        <f>SUM(Table2[[#This Row],[Volume(1000) 2022]:[Volume(1000) 2024]])</f>
        <v>5.0327000000000002</v>
      </c>
      <c r="R145" s="33">
        <f>AVERAGE(Table2[[#This Row],[Average Price(2022)]:[Average Price(2024)]])</f>
        <v>1.0875540630940317E-2</v>
      </c>
    </row>
    <row r="146" spans="1:18" x14ac:dyDescent="0.3">
      <c r="A146" t="s">
        <v>176</v>
      </c>
      <c r="B146" t="s">
        <v>742</v>
      </c>
      <c r="C146" t="s">
        <v>870</v>
      </c>
      <c r="D146" t="s">
        <v>9</v>
      </c>
      <c r="E146" t="s">
        <v>30</v>
      </c>
      <c r="F146" s="27" t="str">
        <f>IF('Working Sheet'!B220="ITEM",'Working Sheet'!E220,"")</f>
        <v>56</v>
      </c>
      <c r="G146" s="27">
        <f>IF('Working Sheet'!B220="ITEM",'Working Sheet'!F220,"")</f>
        <v>2.3513000000000002</v>
      </c>
      <c r="H146" s="27">
        <f>IF('Working Sheet'!B220="ITEM",'Working Sheet'!G220,"")</f>
        <v>13.7189</v>
      </c>
      <c r="I146" s="27">
        <f>IF('Working Sheet'!B220="ITEM",'Working Sheet'!H220,"")</f>
        <v>5.1338999999999997</v>
      </c>
      <c r="J146">
        <f>IF('Working Sheet'!B220="ITEM",'Working Sheet'!I220,"")</f>
        <v>93.938999999999993</v>
      </c>
      <c r="K146">
        <f>IF('Working Sheet'!B220="ITEM",'Working Sheet'!J220,"")</f>
        <v>476.75330000000002</v>
      </c>
      <c r="L146">
        <f>IF('Working Sheet'!B220="ITEM",'Working Sheet'!K220,"")</f>
        <v>161.36660000000001</v>
      </c>
      <c r="M146" s="33">
        <f>IFERROR(Table2[[#This Row],[Value(1000$) 2022]]/Table2[[#This Row],[Volume(1000) 2022]],0)</f>
        <v>2.5030072706756515E-2</v>
      </c>
      <c r="N146" s="33">
        <f>IFERROR(Table2[[#This Row],[Value(1000$) 2023]]/Table2[[#This Row],[Volume(1000) 2023]],0)</f>
        <v>2.8775679161528612E-2</v>
      </c>
      <c r="O146" s="33">
        <f>IFERROR(Table2[[#This Row],[Value(1000$) 2024]]/Table2[[#This Row],[Volume(1000) 2024]],0)</f>
        <v>3.1815133986834943E-2</v>
      </c>
      <c r="P146" s="33">
        <f>SUM(Table2[[#This Row],[Value(1000$) 2022]:[Value(1000$) 2024]])</f>
        <v>21.2041</v>
      </c>
      <c r="Q146" s="33">
        <f>SUM(Table2[[#This Row],[Volume(1000) 2022]:[Volume(1000) 2024]])</f>
        <v>732.05889999999999</v>
      </c>
      <c r="R146" s="33">
        <f>AVERAGE(Table2[[#This Row],[Average Price(2022)]:[Average Price(2024)]])</f>
        <v>2.8540295285040023E-2</v>
      </c>
    </row>
    <row r="147" spans="1:18" x14ac:dyDescent="0.3">
      <c r="A147" t="s">
        <v>177</v>
      </c>
      <c r="B147" t="s">
        <v>742</v>
      </c>
      <c r="C147" t="s">
        <v>870</v>
      </c>
      <c r="D147" t="s">
        <v>9</v>
      </c>
      <c r="E147" t="s">
        <v>30</v>
      </c>
      <c r="F147" s="27" t="str">
        <f>IF('Working Sheet'!B221="ITEM",'Working Sheet'!E221,"")</f>
        <v>60</v>
      </c>
      <c r="G147" s="27">
        <f>IF('Working Sheet'!B221="ITEM",'Working Sheet'!F221,"")</f>
        <v>7.0484</v>
      </c>
      <c r="H147" s="27">
        <f>IF('Working Sheet'!B221="ITEM",'Working Sheet'!G221,"")</f>
        <v>24.545400000000001</v>
      </c>
      <c r="I147" s="27">
        <f>IF('Working Sheet'!B221="ITEM",'Working Sheet'!H221,"")</f>
        <v>7.2644000000000002</v>
      </c>
      <c r="J147">
        <f>IF('Working Sheet'!B221="ITEM",'Working Sheet'!I221,"")</f>
        <v>315.70249999999999</v>
      </c>
      <c r="K147">
        <f>IF('Working Sheet'!B221="ITEM",'Working Sheet'!J221,"")</f>
        <v>945.68759999999997</v>
      </c>
      <c r="L147">
        <f>IF('Working Sheet'!B221="ITEM",'Working Sheet'!K221,"")</f>
        <v>273.77960000000002</v>
      </c>
      <c r="M147" s="33">
        <f>IFERROR(Table2[[#This Row],[Value(1000$) 2022]]/Table2[[#This Row],[Volume(1000) 2022]],0)</f>
        <v>2.2326082308502467E-2</v>
      </c>
      <c r="N147" s="33">
        <f>IFERROR(Table2[[#This Row],[Value(1000$) 2023]]/Table2[[#This Row],[Volume(1000) 2023]],0)</f>
        <v>2.5955082841310387E-2</v>
      </c>
      <c r="O147" s="33">
        <f>IFERROR(Table2[[#This Row],[Value(1000$) 2024]]/Table2[[#This Row],[Volume(1000) 2024]],0)</f>
        <v>2.6533751966910608E-2</v>
      </c>
      <c r="P147" s="33">
        <f>SUM(Table2[[#This Row],[Value(1000$) 2022]:[Value(1000$) 2024]])</f>
        <v>38.858200000000004</v>
      </c>
      <c r="Q147" s="33">
        <f>SUM(Table2[[#This Row],[Volume(1000) 2022]:[Volume(1000) 2024]])</f>
        <v>1535.1697000000001</v>
      </c>
      <c r="R147" s="33">
        <f>AVERAGE(Table2[[#This Row],[Average Price(2022)]:[Average Price(2024)]])</f>
        <v>2.4938305705574492E-2</v>
      </c>
    </row>
    <row r="148" spans="1:18" x14ac:dyDescent="0.3">
      <c r="A148" t="s">
        <v>178</v>
      </c>
      <c r="B148" t="s">
        <v>742</v>
      </c>
      <c r="C148" t="s">
        <v>870</v>
      </c>
      <c r="D148" t="s">
        <v>9</v>
      </c>
      <c r="E148" t="s">
        <v>30</v>
      </c>
      <c r="F148" s="27" t="str">
        <f>IF('Working Sheet'!B222="ITEM",'Working Sheet'!E222,"")</f>
        <v>60</v>
      </c>
      <c r="G148" s="27">
        <f>IF('Working Sheet'!B222="ITEM",'Working Sheet'!F222,"")</f>
        <v>6.2529000000000003</v>
      </c>
      <c r="H148" s="27">
        <f>IF('Working Sheet'!B222="ITEM",'Working Sheet'!G222,"")</f>
        <v>0</v>
      </c>
      <c r="I148" s="27">
        <f>IF('Working Sheet'!B222="ITEM",'Working Sheet'!H222,"")</f>
        <v>0</v>
      </c>
      <c r="J148">
        <f>IF('Working Sheet'!B222="ITEM",'Working Sheet'!I222,"")</f>
        <v>300.22300000000001</v>
      </c>
      <c r="K148">
        <f>IF('Working Sheet'!B222="ITEM",'Working Sheet'!J222,"")</f>
        <v>0</v>
      </c>
      <c r="L148">
        <f>IF('Working Sheet'!B222="ITEM",'Working Sheet'!K222,"")</f>
        <v>0</v>
      </c>
      <c r="M148" s="33">
        <f>IFERROR(Table2[[#This Row],[Value(1000$) 2022]]/Table2[[#This Row],[Volume(1000) 2022]],0)</f>
        <v>2.0827518211462812E-2</v>
      </c>
      <c r="N148" s="33">
        <f>IFERROR(Table2[[#This Row],[Value(1000$) 2023]]/Table2[[#This Row],[Volume(1000) 2023]],0)</f>
        <v>0</v>
      </c>
      <c r="O148" s="33">
        <f>IFERROR(Table2[[#This Row],[Value(1000$) 2024]]/Table2[[#This Row],[Volume(1000) 2024]],0)</f>
        <v>0</v>
      </c>
      <c r="P148" s="33">
        <f>SUM(Table2[[#This Row],[Value(1000$) 2022]:[Value(1000$) 2024]])</f>
        <v>6.2529000000000003</v>
      </c>
      <c r="Q148" s="33">
        <f>SUM(Table2[[#This Row],[Volume(1000) 2022]:[Volume(1000) 2024]])</f>
        <v>300.22300000000001</v>
      </c>
      <c r="R148" s="33">
        <f>AVERAGE(Table2[[#This Row],[Average Price(2022)]:[Average Price(2024)]])</f>
        <v>6.9425060704876038E-3</v>
      </c>
    </row>
    <row r="149" spans="1:18" x14ac:dyDescent="0.3">
      <c r="A149" t="s">
        <v>180</v>
      </c>
      <c r="B149" t="s">
        <v>743</v>
      </c>
      <c r="C149" t="s">
        <v>179</v>
      </c>
      <c r="D149" t="s">
        <v>9</v>
      </c>
      <c r="E149" t="s">
        <v>20</v>
      </c>
      <c r="F149" s="27" t="str">
        <f>IF('Working Sheet'!B225="ITEM",'Working Sheet'!E225,"")</f>
        <v>72</v>
      </c>
      <c r="G149" s="27">
        <f>IF('Working Sheet'!B225="ITEM",'Working Sheet'!F225,"")</f>
        <v>1.6668000000000001</v>
      </c>
      <c r="H149" s="27">
        <f>IF('Working Sheet'!B225="ITEM",'Working Sheet'!G225,"")</f>
        <v>3.7600000000000001E-2</v>
      </c>
      <c r="I149" s="27">
        <f>IF('Working Sheet'!B225="ITEM",'Working Sheet'!H225,"")</f>
        <v>0</v>
      </c>
      <c r="J149">
        <f>IF('Working Sheet'!B225="ITEM",'Working Sheet'!I225,"")</f>
        <v>75.837299999999999</v>
      </c>
      <c r="K149">
        <f>IF('Working Sheet'!B225="ITEM",'Working Sheet'!J225,"")</f>
        <v>1.6555</v>
      </c>
      <c r="L149">
        <f>IF('Working Sheet'!B225="ITEM",'Working Sheet'!K225,"")</f>
        <v>0</v>
      </c>
      <c r="M149" s="33">
        <f>IFERROR(Table2[[#This Row],[Value(1000$) 2022]]/Table2[[#This Row],[Volume(1000) 2022]],0)</f>
        <v>2.1978630568335107E-2</v>
      </c>
      <c r="N149" s="33">
        <f>IFERROR(Table2[[#This Row],[Value(1000$) 2023]]/Table2[[#This Row],[Volume(1000) 2023]],0)</f>
        <v>2.2712171549380853E-2</v>
      </c>
      <c r="O149" s="33">
        <f>IFERROR(Table2[[#This Row],[Value(1000$) 2024]]/Table2[[#This Row],[Volume(1000) 2024]],0)</f>
        <v>0</v>
      </c>
      <c r="P149" s="33">
        <f>SUM(Table2[[#This Row],[Value(1000$) 2022]:[Value(1000$) 2024]])</f>
        <v>1.7044000000000001</v>
      </c>
      <c r="Q149" s="33">
        <f>SUM(Table2[[#This Row],[Volume(1000) 2022]:[Volume(1000) 2024]])</f>
        <v>77.492800000000003</v>
      </c>
      <c r="R149" s="33">
        <f>AVERAGE(Table2[[#This Row],[Average Price(2022)]:[Average Price(2024)]])</f>
        <v>1.4896934039238655E-2</v>
      </c>
    </row>
    <row r="150" spans="1:18" x14ac:dyDescent="0.3">
      <c r="A150" t="s">
        <v>181</v>
      </c>
      <c r="B150" t="s">
        <v>743</v>
      </c>
      <c r="C150" t="s">
        <v>179</v>
      </c>
      <c r="D150" t="s">
        <v>9</v>
      </c>
      <c r="E150" t="s">
        <v>20</v>
      </c>
      <c r="F150" s="27" t="str">
        <f>IF('Working Sheet'!B226="ITEM",'Working Sheet'!E226,"")</f>
        <v>72</v>
      </c>
      <c r="G150" s="27">
        <f>IF('Working Sheet'!B226="ITEM",'Working Sheet'!F226,"")</f>
        <v>7.5975000000000001</v>
      </c>
      <c r="H150" s="27">
        <f>IF('Working Sheet'!B226="ITEM",'Working Sheet'!G226,"")</f>
        <v>0.1353</v>
      </c>
      <c r="I150" s="27">
        <f>IF('Working Sheet'!B226="ITEM",'Working Sheet'!H226,"")</f>
        <v>3.0000000000000001E-3</v>
      </c>
      <c r="J150">
        <f>IF('Working Sheet'!B226="ITEM",'Working Sheet'!I226,"")</f>
        <v>283.12259999999998</v>
      </c>
      <c r="K150">
        <f>IF('Working Sheet'!B226="ITEM",'Working Sheet'!J226,"")</f>
        <v>3.3016999999999999</v>
      </c>
      <c r="L150">
        <f>IF('Working Sheet'!B226="ITEM",'Working Sheet'!K226,"")</f>
        <v>7.1999999999999995E-2</v>
      </c>
      <c r="M150" s="33">
        <f>IFERROR(Table2[[#This Row],[Value(1000$) 2022]]/Table2[[#This Row],[Volume(1000) 2022]],0)</f>
        <v>2.6834664558745933E-2</v>
      </c>
      <c r="N150" s="33">
        <f>IFERROR(Table2[[#This Row],[Value(1000$) 2023]]/Table2[[#This Row],[Volume(1000) 2023]],0)</f>
        <v>4.0978889662900933E-2</v>
      </c>
      <c r="O150" s="33">
        <f>IFERROR(Table2[[#This Row],[Value(1000$) 2024]]/Table2[[#This Row],[Volume(1000) 2024]],0)</f>
        <v>4.1666666666666671E-2</v>
      </c>
      <c r="P150" s="33">
        <f>SUM(Table2[[#This Row],[Value(1000$) 2022]:[Value(1000$) 2024]])</f>
        <v>7.7358000000000002</v>
      </c>
      <c r="Q150" s="33">
        <f>SUM(Table2[[#This Row],[Volume(1000) 2022]:[Volume(1000) 2024]])</f>
        <v>286.49629999999996</v>
      </c>
      <c r="R150" s="33">
        <f>AVERAGE(Table2[[#This Row],[Average Price(2022)]:[Average Price(2024)]])</f>
        <v>3.6493406962771181E-2</v>
      </c>
    </row>
    <row r="151" spans="1:18" x14ac:dyDescent="0.3">
      <c r="A151" t="s">
        <v>183</v>
      </c>
      <c r="B151" t="s">
        <v>744</v>
      </c>
      <c r="C151" t="s">
        <v>182</v>
      </c>
      <c r="D151" t="s">
        <v>9</v>
      </c>
      <c r="E151" t="s">
        <v>30</v>
      </c>
      <c r="F151" s="27" t="str">
        <f>IF('Working Sheet'!B229="ITEM",'Working Sheet'!E229,"")</f>
        <v>72</v>
      </c>
      <c r="G151" s="27">
        <f>IF('Working Sheet'!B229="ITEM",'Working Sheet'!F229,"")</f>
        <v>2.5741999999999998</v>
      </c>
      <c r="H151" s="27">
        <f>IF('Working Sheet'!B229="ITEM",'Working Sheet'!G229,"")</f>
        <v>0.57930000000000004</v>
      </c>
      <c r="I151" s="27">
        <f>IF('Working Sheet'!B229="ITEM",'Working Sheet'!H229,"")</f>
        <v>9.0300000000000005E-2</v>
      </c>
      <c r="J151">
        <f>IF('Working Sheet'!B229="ITEM",'Working Sheet'!I229,"")</f>
        <v>138.52269999999999</v>
      </c>
      <c r="K151">
        <f>IF('Working Sheet'!B229="ITEM",'Working Sheet'!J229,"")</f>
        <v>28.2058</v>
      </c>
      <c r="L151">
        <f>IF('Working Sheet'!B229="ITEM",'Working Sheet'!K229,"")</f>
        <v>3.9451999999999998</v>
      </c>
      <c r="M151" s="33">
        <f>IFERROR(Table2[[#This Row],[Value(1000$) 2022]]/Table2[[#This Row],[Volume(1000) 2022]],0)</f>
        <v>1.8583235816223623E-2</v>
      </c>
      <c r="N151" s="33">
        <f>IFERROR(Table2[[#This Row],[Value(1000$) 2023]]/Table2[[#This Row],[Volume(1000) 2023]],0)</f>
        <v>2.053832899616391E-2</v>
      </c>
      <c r="O151" s="33">
        <f>IFERROR(Table2[[#This Row],[Value(1000$) 2024]]/Table2[[#This Row],[Volume(1000) 2024]],0)</f>
        <v>2.2888573456352024E-2</v>
      </c>
      <c r="P151" s="33">
        <f>SUM(Table2[[#This Row],[Value(1000$) 2022]:[Value(1000$) 2024]])</f>
        <v>3.2437999999999998</v>
      </c>
      <c r="Q151" s="33">
        <f>SUM(Table2[[#This Row],[Volume(1000) 2022]:[Volume(1000) 2024]])</f>
        <v>170.6737</v>
      </c>
      <c r="R151" s="33">
        <f>AVERAGE(Table2[[#This Row],[Average Price(2022)]:[Average Price(2024)]])</f>
        <v>2.0670046089579851E-2</v>
      </c>
    </row>
    <row r="152" spans="1:18" x14ac:dyDescent="0.3">
      <c r="A152" t="s">
        <v>184</v>
      </c>
      <c r="B152" t="s">
        <v>744</v>
      </c>
      <c r="C152" t="s">
        <v>182</v>
      </c>
      <c r="D152" t="s">
        <v>9</v>
      </c>
      <c r="E152" t="s">
        <v>10</v>
      </c>
      <c r="F152" s="27" t="str">
        <f>IF('Working Sheet'!B230="ITEM",'Working Sheet'!E230,"")</f>
        <v>72</v>
      </c>
      <c r="G152" s="27">
        <f>IF('Working Sheet'!B230="ITEM",'Working Sheet'!F230,"")</f>
        <v>0</v>
      </c>
      <c r="H152" s="27">
        <f>IF('Working Sheet'!B230="ITEM",'Working Sheet'!G230,"")</f>
        <v>3.2000000000000002E-3</v>
      </c>
      <c r="I152" s="27">
        <f>IF('Working Sheet'!B230="ITEM",'Working Sheet'!H230,"")</f>
        <v>0</v>
      </c>
      <c r="J152">
        <f>IF('Working Sheet'!B230="ITEM",'Working Sheet'!I230,"")</f>
        <v>0</v>
      </c>
      <c r="K152">
        <f>IF('Working Sheet'!B230="ITEM",'Working Sheet'!J230,"")</f>
        <v>0.14879999999999999</v>
      </c>
      <c r="L152">
        <f>IF('Working Sheet'!B230="ITEM",'Working Sheet'!K230,"")</f>
        <v>0</v>
      </c>
      <c r="M152" s="33">
        <f>IFERROR(Table2[[#This Row],[Value(1000$) 2022]]/Table2[[#This Row],[Volume(1000) 2022]],0)</f>
        <v>0</v>
      </c>
      <c r="N152" s="33">
        <f>IFERROR(Table2[[#This Row],[Value(1000$) 2023]]/Table2[[#This Row],[Volume(1000) 2023]],0)</f>
        <v>2.1505376344086023E-2</v>
      </c>
      <c r="O152" s="33">
        <f>IFERROR(Table2[[#This Row],[Value(1000$) 2024]]/Table2[[#This Row],[Volume(1000) 2024]],0)</f>
        <v>0</v>
      </c>
      <c r="P152" s="33">
        <f>SUM(Table2[[#This Row],[Value(1000$) 2022]:[Value(1000$) 2024]])</f>
        <v>3.2000000000000002E-3</v>
      </c>
      <c r="Q152" s="33">
        <f>SUM(Table2[[#This Row],[Volume(1000) 2022]:[Volume(1000) 2024]])</f>
        <v>0.14879999999999999</v>
      </c>
      <c r="R152" s="33">
        <f>AVERAGE(Table2[[#This Row],[Average Price(2022)]:[Average Price(2024)]])</f>
        <v>7.168458781362008E-3</v>
      </c>
    </row>
    <row r="153" spans="1:18" x14ac:dyDescent="0.3">
      <c r="A153" t="s">
        <v>186</v>
      </c>
      <c r="B153" t="s">
        <v>744</v>
      </c>
      <c r="C153" t="s">
        <v>185</v>
      </c>
      <c r="D153" t="s">
        <v>9</v>
      </c>
      <c r="E153" t="s">
        <v>20</v>
      </c>
      <c r="F153" s="27" t="str">
        <f>IF('Working Sheet'!B232="ITEM",'Working Sheet'!E232,"")</f>
        <v>120</v>
      </c>
      <c r="G153" s="27">
        <f>IF('Working Sheet'!B232="ITEM",'Working Sheet'!F232,"")</f>
        <v>29.782299999999999</v>
      </c>
      <c r="H153" s="27">
        <f>IF('Working Sheet'!B232="ITEM",'Working Sheet'!G232,"")</f>
        <v>8.0821000000000005</v>
      </c>
      <c r="I153" s="27">
        <f>IF('Working Sheet'!B232="ITEM",'Working Sheet'!H232,"")</f>
        <v>2.2058</v>
      </c>
      <c r="J153">
        <f>IF('Working Sheet'!B232="ITEM",'Working Sheet'!I232,"")</f>
        <v>1812.3146999999999</v>
      </c>
      <c r="K153">
        <f>IF('Working Sheet'!B232="ITEM",'Working Sheet'!J232,"")</f>
        <v>442.9864</v>
      </c>
      <c r="L153">
        <f>IF('Working Sheet'!B232="ITEM",'Working Sheet'!K232,"")</f>
        <v>129.73259999999999</v>
      </c>
      <c r="M153" s="33">
        <f>IFERROR(Table2[[#This Row],[Value(1000$) 2022]]/Table2[[#This Row],[Volume(1000) 2022]],0)</f>
        <v>1.6433293842399447E-2</v>
      </c>
      <c r="N153" s="33">
        <f>IFERROR(Table2[[#This Row],[Value(1000$) 2023]]/Table2[[#This Row],[Volume(1000) 2023]],0)</f>
        <v>1.824457816312194E-2</v>
      </c>
      <c r="O153" s="33">
        <f>IFERROR(Table2[[#This Row],[Value(1000$) 2024]]/Table2[[#This Row],[Volume(1000) 2024]],0)</f>
        <v>1.7002665482692862E-2</v>
      </c>
      <c r="P153" s="33">
        <f>SUM(Table2[[#This Row],[Value(1000$) 2022]:[Value(1000$) 2024]])</f>
        <v>40.0702</v>
      </c>
      <c r="Q153" s="33">
        <f>SUM(Table2[[#This Row],[Volume(1000) 2022]:[Volume(1000) 2024]])</f>
        <v>2385.0336999999995</v>
      </c>
      <c r="R153" s="33">
        <f>AVERAGE(Table2[[#This Row],[Average Price(2022)]:[Average Price(2024)]])</f>
        <v>1.7226845829404747E-2</v>
      </c>
    </row>
    <row r="154" spans="1:18" x14ac:dyDescent="0.3">
      <c r="A154" t="s">
        <v>187</v>
      </c>
      <c r="B154" t="s">
        <v>744</v>
      </c>
      <c r="C154" t="s">
        <v>185</v>
      </c>
      <c r="D154" t="s">
        <v>9</v>
      </c>
      <c r="E154" t="s">
        <v>10</v>
      </c>
      <c r="F154" s="27" t="str">
        <f>IF('Working Sheet'!B233="ITEM",'Working Sheet'!E233,"")</f>
        <v>64</v>
      </c>
      <c r="G154" s="27">
        <f>IF('Working Sheet'!B233="ITEM",'Working Sheet'!F233,"")</f>
        <v>0.4194</v>
      </c>
      <c r="H154" s="27">
        <f>IF('Working Sheet'!B233="ITEM",'Working Sheet'!G233,"")</f>
        <v>0.27539999999999998</v>
      </c>
      <c r="I154" s="27">
        <f>IF('Working Sheet'!B233="ITEM",'Working Sheet'!H233,"")</f>
        <v>7.5600000000000001E-2</v>
      </c>
      <c r="J154">
        <f>IF('Working Sheet'!B233="ITEM",'Working Sheet'!I233,"")</f>
        <v>22.036999999999999</v>
      </c>
      <c r="K154">
        <f>IF('Working Sheet'!B233="ITEM",'Working Sheet'!J233,"")</f>
        <v>13.908200000000001</v>
      </c>
      <c r="L154">
        <f>IF('Working Sheet'!B233="ITEM",'Working Sheet'!K233,"")</f>
        <v>3.7229000000000001</v>
      </c>
      <c r="M154" s="33">
        <f>IFERROR(Table2[[#This Row],[Value(1000$) 2022]]/Table2[[#This Row],[Volume(1000) 2022]],0)</f>
        <v>1.9031628624585923E-2</v>
      </c>
      <c r="N154" s="33">
        <f>IFERROR(Table2[[#This Row],[Value(1000$) 2023]]/Table2[[#This Row],[Volume(1000) 2023]],0)</f>
        <v>1.9801268316532689E-2</v>
      </c>
      <c r="O154" s="33">
        <f>IFERROR(Table2[[#This Row],[Value(1000$) 2024]]/Table2[[#This Row],[Volume(1000) 2024]],0)</f>
        <v>2.0306750114158317E-2</v>
      </c>
      <c r="P154" s="33">
        <f>SUM(Table2[[#This Row],[Value(1000$) 2022]:[Value(1000$) 2024]])</f>
        <v>0.77039999999999997</v>
      </c>
      <c r="Q154" s="33">
        <f>SUM(Table2[[#This Row],[Volume(1000) 2022]:[Volume(1000) 2024]])</f>
        <v>39.668100000000003</v>
      </c>
      <c r="R154" s="33">
        <f>AVERAGE(Table2[[#This Row],[Average Price(2022)]:[Average Price(2024)]])</f>
        <v>1.9713215685092308E-2</v>
      </c>
    </row>
    <row r="155" spans="1:18" x14ac:dyDescent="0.3">
      <c r="A155" t="s">
        <v>188</v>
      </c>
      <c r="B155" t="s">
        <v>744</v>
      </c>
      <c r="C155" t="s">
        <v>185</v>
      </c>
      <c r="D155" t="s">
        <v>9</v>
      </c>
      <c r="E155" t="s">
        <v>10</v>
      </c>
      <c r="F155" s="27" t="str">
        <f>IF('Working Sheet'!B234="ITEM",'Working Sheet'!E234,"")</f>
        <v>64</v>
      </c>
      <c r="G155" s="27">
        <f>IF('Working Sheet'!B234="ITEM",'Working Sheet'!F234,"")</f>
        <v>0</v>
      </c>
      <c r="H155" s="27">
        <f>IF('Working Sheet'!B234="ITEM",'Working Sheet'!G234,"")</f>
        <v>0</v>
      </c>
      <c r="I155" s="27">
        <f>IF('Working Sheet'!B234="ITEM",'Working Sheet'!H234,"")</f>
        <v>0</v>
      </c>
      <c r="J155">
        <f>IF('Working Sheet'!B234="ITEM",'Working Sheet'!I234,"")</f>
        <v>0</v>
      </c>
      <c r="K155">
        <f>IF('Working Sheet'!B234="ITEM",'Working Sheet'!J234,"")</f>
        <v>0</v>
      </c>
      <c r="L155">
        <f>IF('Working Sheet'!B234="ITEM",'Working Sheet'!K234,"")</f>
        <v>0</v>
      </c>
      <c r="M155" s="33">
        <f>IFERROR(Table2[[#This Row],[Value(1000$) 2022]]/Table2[[#This Row],[Volume(1000) 2022]],0)</f>
        <v>0</v>
      </c>
      <c r="N155" s="33">
        <f>IFERROR(Table2[[#This Row],[Value(1000$) 2023]]/Table2[[#This Row],[Volume(1000) 2023]],0)</f>
        <v>0</v>
      </c>
      <c r="O155" s="33">
        <f>IFERROR(Table2[[#This Row],[Value(1000$) 2024]]/Table2[[#This Row],[Volume(1000) 2024]],0)</f>
        <v>0</v>
      </c>
      <c r="P155" s="33">
        <f>SUM(Table2[[#This Row],[Value(1000$) 2022]:[Value(1000$) 2024]])</f>
        <v>0</v>
      </c>
      <c r="Q155" s="33">
        <f>SUM(Table2[[#This Row],[Volume(1000) 2022]:[Volume(1000) 2024]])</f>
        <v>0</v>
      </c>
      <c r="R155" s="33">
        <f>AVERAGE(Table2[[#This Row],[Average Price(2022)]:[Average Price(2024)]])</f>
        <v>0</v>
      </c>
    </row>
    <row r="156" spans="1:18" x14ac:dyDescent="0.3">
      <c r="A156" t="s">
        <v>190</v>
      </c>
      <c r="B156" t="s">
        <v>744</v>
      </c>
      <c r="C156" t="s">
        <v>189</v>
      </c>
      <c r="D156" t="s">
        <v>9</v>
      </c>
      <c r="E156" t="s">
        <v>20</v>
      </c>
      <c r="F156" s="27" t="str">
        <f>IF('Working Sheet'!B236="ITEM",'Working Sheet'!E236,"")</f>
        <v>100</v>
      </c>
      <c r="G156" s="27">
        <f>IF('Working Sheet'!B236="ITEM",'Working Sheet'!F236,"")</f>
        <v>0</v>
      </c>
      <c r="H156" s="27">
        <f>IF('Working Sheet'!B236="ITEM",'Working Sheet'!G236,"")</f>
        <v>0</v>
      </c>
      <c r="I156" s="27">
        <f>IF('Working Sheet'!B236="ITEM",'Working Sheet'!H236,"")</f>
        <v>0</v>
      </c>
      <c r="J156">
        <f>IF('Working Sheet'!B236="ITEM",'Working Sheet'!I236,"")</f>
        <v>0</v>
      </c>
      <c r="K156">
        <f>IF('Working Sheet'!B236="ITEM",'Working Sheet'!J236,"")</f>
        <v>0</v>
      </c>
      <c r="L156">
        <f>IF('Working Sheet'!B236="ITEM",'Working Sheet'!K236,"")</f>
        <v>0</v>
      </c>
      <c r="M156" s="33">
        <f>IFERROR(Table2[[#This Row],[Value(1000$) 2022]]/Table2[[#This Row],[Volume(1000) 2022]],0)</f>
        <v>0</v>
      </c>
      <c r="N156" s="33">
        <f>IFERROR(Table2[[#This Row],[Value(1000$) 2023]]/Table2[[#This Row],[Volume(1000) 2023]],0)</f>
        <v>0</v>
      </c>
      <c r="O156" s="33">
        <f>IFERROR(Table2[[#This Row],[Value(1000$) 2024]]/Table2[[#This Row],[Volume(1000) 2024]],0)</f>
        <v>0</v>
      </c>
      <c r="P156" s="33">
        <f>SUM(Table2[[#This Row],[Value(1000$) 2022]:[Value(1000$) 2024]])</f>
        <v>0</v>
      </c>
      <c r="Q156" s="33">
        <f>SUM(Table2[[#This Row],[Volume(1000) 2022]:[Volume(1000) 2024]])</f>
        <v>0</v>
      </c>
      <c r="R156" s="33">
        <f>AVERAGE(Table2[[#This Row],[Average Price(2022)]:[Average Price(2024)]])</f>
        <v>0</v>
      </c>
    </row>
    <row r="157" spans="1:18" x14ac:dyDescent="0.3">
      <c r="A157" t="s">
        <v>191</v>
      </c>
      <c r="B157" t="s">
        <v>744</v>
      </c>
      <c r="C157" t="s">
        <v>189</v>
      </c>
      <c r="D157" t="s">
        <v>9</v>
      </c>
      <c r="E157" t="s">
        <v>20</v>
      </c>
      <c r="F157" s="27" t="str">
        <f>IF('Working Sheet'!B237="ITEM",'Working Sheet'!E237,"")</f>
        <v>120</v>
      </c>
      <c r="G157" s="27">
        <f>IF('Working Sheet'!B237="ITEM",'Working Sheet'!F237,"")</f>
        <v>393.93759999999997</v>
      </c>
      <c r="H157" s="27">
        <f>IF('Working Sheet'!B237="ITEM",'Working Sheet'!G237,"")</f>
        <v>316.5532</v>
      </c>
      <c r="I157" s="27">
        <f>IF('Working Sheet'!B237="ITEM",'Working Sheet'!H237,"")</f>
        <v>120.4361</v>
      </c>
      <c r="J157">
        <f>IF('Working Sheet'!B237="ITEM",'Working Sheet'!I237,"")</f>
        <v>20334.628400000001</v>
      </c>
      <c r="K157">
        <f>IF('Working Sheet'!B237="ITEM",'Working Sheet'!J237,"")</f>
        <v>15456.115599999999</v>
      </c>
      <c r="L157">
        <f>IF('Working Sheet'!B237="ITEM",'Working Sheet'!K237,"")</f>
        <v>5660.8364000000001</v>
      </c>
      <c r="M157" s="33">
        <f>IFERROR(Table2[[#This Row],[Value(1000$) 2022]]/Table2[[#This Row],[Volume(1000) 2022]],0)</f>
        <v>1.9372746442713452E-2</v>
      </c>
      <c r="N157" s="33">
        <f>IFERROR(Table2[[#This Row],[Value(1000$) 2023]]/Table2[[#This Row],[Volume(1000) 2023]],0)</f>
        <v>2.0480773319267877E-2</v>
      </c>
      <c r="O157" s="33">
        <f>IFERROR(Table2[[#This Row],[Value(1000$) 2024]]/Table2[[#This Row],[Volume(1000) 2024]],0)</f>
        <v>2.1275318961699721E-2</v>
      </c>
      <c r="P157" s="33">
        <f>SUM(Table2[[#This Row],[Value(1000$) 2022]:[Value(1000$) 2024]])</f>
        <v>830.92690000000005</v>
      </c>
      <c r="Q157" s="33">
        <f>SUM(Table2[[#This Row],[Volume(1000) 2022]:[Volume(1000) 2024]])</f>
        <v>41451.580399999999</v>
      </c>
      <c r="R157" s="33">
        <f>AVERAGE(Table2[[#This Row],[Average Price(2022)]:[Average Price(2024)]])</f>
        <v>2.0376279574560351E-2</v>
      </c>
    </row>
    <row r="158" spans="1:18" x14ac:dyDescent="0.3">
      <c r="A158" t="s">
        <v>192</v>
      </c>
      <c r="B158" t="s">
        <v>744</v>
      </c>
      <c r="C158" t="s">
        <v>189</v>
      </c>
      <c r="D158" t="s">
        <v>9</v>
      </c>
      <c r="E158" t="s">
        <v>20</v>
      </c>
      <c r="F158" s="27" t="str">
        <f>IF('Working Sheet'!B238="ITEM",'Working Sheet'!E238,"")</f>
        <v>72</v>
      </c>
      <c r="G158" s="27">
        <f>IF('Working Sheet'!B238="ITEM",'Working Sheet'!F238,"")</f>
        <v>11.008699999999999</v>
      </c>
      <c r="H158" s="27">
        <f>IF('Working Sheet'!B238="ITEM",'Working Sheet'!G238,"")</f>
        <v>0</v>
      </c>
      <c r="I158" s="27">
        <f>IF('Working Sheet'!B238="ITEM",'Working Sheet'!H238,"")</f>
        <v>0</v>
      </c>
      <c r="J158">
        <f>IF('Working Sheet'!B238="ITEM",'Working Sheet'!I238,"")</f>
        <v>653.37990000000002</v>
      </c>
      <c r="K158">
        <f>IF('Working Sheet'!B238="ITEM",'Working Sheet'!J238,"")</f>
        <v>0</v>
      </c>
      <c r="L158">
        <f>IF('Working Sheet'!B238="ITEM",'Working Sheet'!K238,"")</f>
        <v>0</v>
      </c>
      <c r="M158" s="33">
        <f>IFERROR(Table2[[#This Row],[Value(1000$) 2022]]/Table2[[#This Row],[Volume(1000) 2022]],0)</f>
        <v>1.6848850110020217E-2</v>
      </c>
      <c r="N158" s="33">
        <f>IFERROR(Table2[[#This Row],[Value(1000$) 2023]]/Table2[[#This Row],[Volume(1000) 2023]],0)</f>
        <v>0</v>
      </c>
      <c r="O158" s="33">
        <f>IFERROR(Table2[[#This Row],[Value(1000$) 2024]]/Table2[[#This Row],[Volume(1000) 2024]],0)</f>
        <v>0</v>
      </c>
      <c r="P158" s="33">
        <f>SUM(Table2[[#This Row],[Value(1000$) 2022]:[Value(1000$) 2024]])</f>
        <v>11.008699999999999</v>
      </c>
      <c r="Q158" s="33">
        <f>SUM(Table2[[#This Row],[Volume(1000) 2022]:[Volume(1000) 2024]])</f>
        <v>653.37990000000002</v>
      </c>
      <c r="R158" s="33">
        <f>AVERAGE(Table2[[#This Row],[Average Price(2022)]:[Average Price(2024)]])</f>
        <v>5.6162833700067393E-3</v>
      </c>
    </row>
    <row r="159" spans="1:18" x14ac:dyDescent="0.3">
      <c r="A159" t="s">
        <v>193</v>
      </c>
      <c r="B159" t="s">
        <v>744</v>
      </c>
      <c r="C159" t="s">
        <v>189</v>
      </c>
      <c r="D159" t="s">
        <v>9</v>
      </c>
      <c r="E159" t="s">
        <v>20</v>
      </c>
      <c r="F159" s="27" t="str">
        <f>IF('Working Sheet'!B239="ITEM",'Working Sheet'!E239,"")</f>
        <v>72</v>
      </c>
      <c r="G159" s="27">
        <f>IF('Working Sheet'!B239="ITEM",'Working Sheet'!F239,"")</f>
        <v>6.3380999999999998</v>
      </c>
      <c r="H159" s="27">
        <f>IF('Working Sheet'!B239="ITEM",'Working Sheet'!G239,"")</f>
        <v>2.2010000000000001</v>
      </c>
      <c r="I159" s="27">
        <f>IF('Working Sheet'!B239="ITEM",'Working Sheet'!H239,"")</f>
        <v>4.9340999999999999</v>
      </c>
      <c r="J159">
        <f>IF('Working Sheet'!B239="ITEM",'Working Sheet'!I239,"")</f>
        <v>360.70839999999998</v>
      </c>
      <c r="K159">
        <f>IF('Working Sheet'!B239="ITEM",'Working Sheet'!J239,"")</f>
        <v>122.7465</v>
      </c>
      <c r="L159">
        <f>IF('Working Sheet'!B239="ITEM",'Working Sheet'!K239,"")</f>
        <v>260.16239999999999</v>
      </c>
      <c r="M159" s="33">
        <f>IFERROR(Table2[[#This Row],[Value(1000$) 2022]]/Table2[[#This Row],[Volume(1000) 2022]],0)</f>
        <v>1.7571257004272704E-2</v>
      </c>
      <c r="N159" s="33">
        <f>IFERROR(Table2[[#This Row],[Value(1000$) 2023]]/Table2[[#This Row],[Volume(1000) 2023]],0)</f>
        <v>1.7931264842582069E-2</v>
      </c>
      <c r="O159" s="33">
        <f>IFERROR(Table2[[#This Row],[Value(1000$) 2024]]/Table2[[#This Row],[Volume(1000) 2024]],0)</f>
        <v>1.8965461573232721E-2</v>
      </c>
      <c r="P159" s="33">
        <f>SUM(Table2[[#This Row],[Value(1000$) 2022]:[Value(1000$) 2024]])</f>
        <v>13.473199999999999</v>
      </c>
      <c r="Q159" s="33">
        <f>SUM(Table2[[#This Row],[Volume(1000) 2022]:[Volume(1000) 2024]])</f>
        <v>743.61729999999989</v>
      </c>
      <c r="R159" s="33">
        <f>AVERAGE(Table2[[#This Row],[Average Price(2022)]:[Average Price(2024)]])</f>
        <v>1.81559944733625E-2</v>
      </c>
    </row>
    <row r="160" spans="1:18" x14ac:dyDescent="0.3">
      <c r="A160" t="s">
        <v>194</v>
      </c>
      <c r="B160" t="s">
        <v>744</v>
      </c>
      <c r="C160" t="s">
        <v>189</v>
      </c>
      <c r="D160" t="s">
        <v>9</v>
      </c>
      <c r="E160" t="s">
        <v>20</v>
      </c>
      <c r="F160" s="27" t="str">
        <f>IF('Working Sheet'!B240="ITEM",'Working Sheet'!E240,"")</f>
        <v>72</v>
      </c>
      <c r="G160" s="27">
        <f>IF('Working Sheet'!B240="ITEM",'Working Sheet'!F240,"")</f>
        <v>17.2865</v>
      </c>
      <c r="H160" s="27">
        <f>IF('Working Sheet'!B240="ITEM",'Working Sheet'!G240,"")</f>
        <v>3.1953</v>
      </c>
      <c r="I160" s="27">
        <f>IF('Working Sheet'!B240="ITEM",'Working Sheet'!H240,"")</f>
        <v>0</v>
      </c>
      <c r="J160">
        <f>IF('Working Sheet'!B240="ITEM",'Working Sheet'!I240,"")</f>
        <v>1104.6166000000001</v>
      </c>
      <c r="K160">
        <f>IF('Working Sheet'!B240="ITEM",'Working Sheet'!J240,"")</f>
        <v>157.0744</v>
      </c>
      <c r="L160">
        <f>IF('Working Sheet'!B240="ITEM",'Working Sheet'!K240,"")</f>
        <v>0</v>
      </c>
      <c r="M160" s="33">
        <f>IFERROR(Table2[[#This Row],[Value(1000$) 2022]]/Table2[[#This Row],[Volume(1000) 2022]],0)</f>
        <v>1.5649321221498935E-2</v>
      </c>
      <c r="N160" s="33">
        <f>IFERROR(Table2[[#This Row],[Value(1000$) 2023]]/Table2[[#This Row],[Volume(1000) 2023]],0)</f>
        <v>2.0342589244332621E-2</v>
      </c>
      <c r="O160" s="33">
        <f>IFERROR(Table2[[#This Row],[Value(1000$) 2024]]/Table2[[#This Row],[Volume(1000) 2024]],0)</f>
        <v>0</v>
      </c>
      <c r="P160" s="33">
        <f>SUM(Table2[[#This Row],[Value(1000$) 2022]:[Value(1000$) 2024]])</f>
        <v>20.4818</v>
      </c>
      <c r="Q160" s="33">
        <f>SUM(Table2[[#This Row],[Volume(1000) 2022]:[Volume(1000) 2024]])</f>
        <v>1261.691</v>
      </c>
      <c r="R160" s="33">
        <f>AVERAGE(Table2[[#This Row],[Average Price(2022)]:[Average Price(2024)]])</f>
        <v>1.1997303488610519E-2</v>
      </c>
    </row>
    <row r="161" spans="1:18" x14ac:dyDescent="0.3">
      <c r="A161" t="s">
        <v>195</v>
      </c>
      <c r="B161" t="s">
        <v>744</v>
      </c>
      <c r="C161" t="s">
        <v>189</v>
      </c>
      <c r="D161" t="s">
        <v>9</v>
      </c>
      <c r="E161" t="s">
        <v>10</v>
      </c>
      <c r="F161" s="27" t="str">
        <f>IF('Working Sheet'!B241="ITEM",'Working Sheet'!E241,"")</f>
        <v>72</v>
      </c>
      <c r="G161" s="27">
        <f>IF('Working Sheet'!B241="ITEM",'Working Sheet'!F241,"")</f>
        <v>8.3360000000000003</v>
      </c>
      <c r="H161" s="27">
        <f>IF('Working Sheet'!B241="ITEM",'Working Sheet'!G241,"")</f>
        <v>4.1882999999999999</v>
      </c>
      <c r="I161" s="27">
        <f>IF('Working Sheet'!B241="ITEM",'Working Sheet'!H241,"")</f>
        <v>0.16869999999999999</v>
      </c>
      <c r="J161">
        <f>IF('Working Sheet'!B241="ITEM",'Working Sheet'!I241,"")</f>
        <v>355.34039999999999</v>
      </c>
      <c r="K161">
        <f>IF('Working Sheet'!B241="ITEM",'Working Sheet'!J241,"")</f>
        <v>181.6489</v>
      </c>
      <c r="L161">
        <f>IF('Working Sheet'!B241="ITEM",'Working Sheet'!K241,"")</f>
        <v>7.0335999999999999</v>
      </c>
      <c r="M161" s="33">
        <f>IFERROR(Table2[[#This Row],[Value(1000$) 2022]]/Table2[[#This Row],[Volume(1000) 2022]],0)</f>
        <v>2.3459195745825695E-2</v>
      </c>
      <c r="N161" s="33">
        <f>IFERROR(Table2[[#This Row],[Value(1000$) 2023]]/Table2[[#This Row],[Volume(1000) 2023]],0)</f>
        <v>2.3057117329089247E-2</v>
      </c>
      <c r="O161" s="33">
        <f>IFERROR(Table2[[#This Row],[Value(1000$) 2024]]/Table2[[#This Row],[Volume(1000) 2024]],0)</f>
        <v>2.3984872611464966E-2</v>
      </c>
      <c r="P161" s="33">
        <f>SUM(Table2[[#This Row],[Value(1000$) 2022]:[Value(1000$) 2024]])</f>
        <v>12.693</v>
      </c>
      <c r="Q161" s="33">
        <f>SUM(Table2[[#This Row],[Volume(1000) 2022]:[Volume(1000) 2024]])</f>
        <v>544.02289999999994</v>
      </c>
      <c r="R161" s="33">
        <f>AVERAGE(Table2[[#This Row],[Average Price(2022)]:[Average Price(2024)]])</f>
        <v>2.3500395228793301E-2</v>
      </c>
    </row>
    <row r="162" spans="1:18" x14ac:dyDescent="0.3">
      <c r="A162" t="s">
        <v>196</v>
      </c>
      <c r="B162" t="s">
        <v>744</v>
      </c>
      <c r="C162" t="s">
        <v>189</v>
      </c>
      <c r="D162" t="s">
        <v>9</v>
      </c>
      <c r="E162" t="s">
        <v>30</v>
      </c>
      <c r="F162" s="27" t="str">
        <f>IF('Working Sheet'!B242="ITEM",'Working Sheet'!E242,"")</f>
        <v>72</v>
      </c>
      <c r="G162" s="27">
        <f>IF('Working Sheet'!B242="ITEM",'Working Sheet'!F242,"")</f>
        <v>10.51</v>
      </c>
      <c r="H162" s="27">
        <f>IF('Working Sheet'!B242="ITEM",'Working Sheet'!G242,"")</f>
        <v>23.858699999999999</v>
      </c>
      <c r="I162" s="27">
        <f>IF('Working Sheet'!B242="ITEM",'Working Sheet'!H242,"")</f>
        <v>12.9741</v>
      </c>
      <c r="J162">
        <f>IF('Working Sheet'!B242="ITEM",'Working Sheet'!I242,"")</f>
        <v>602.08569999999997</v>
      </c>
      <c r="K162">
        <f>IF('Working Sheet'!B242="ITEM",'Working Sheet'!J242,"")</f>
        <v>1188.0914</v>
      </c>
      <c r="L162">
        <f>IF('Working Sheet'!B242="ITEM",'Working Sheet'!K242,"")</f>
        <v>658.29200000000003</v>
      </c>
      <c r="M162" s="33">
        <f>IFERROR(Table2[[#This Row],[Value(1000$) 2022]]/Table2[[#This Row],[Volume(1000) 2022]],0)</f>
        <v>1.7455986747401574E-2</v>
      </c>
      <c r="N162" s="33">
        <f>IFERROR(Table2[[#This Row],[Value(1000$) 2023]]/Table2[[#This Row],[Volume(1000) 2023]],0)</f>
        <v>2.0081535814500465E-2</v>
      </c>
      <c r="O162" s="33">
        <f>IFERROR(Table2[[#This Row],[Value(1000$) 2024]]/Table2[[#This Row],[Volume(1000) 2024]],0)</f>
        <v>1.9708731079824758E-2</v>
      </c>
      <c r="P162" s="33">
        <f>SUM(Table2[[#This Row],[Value(1000$) 2022]:[Value(1000$) 2024]])</f>
        <v>47.342799999999997</v>
      </c>
      <c r="Q162" s="33">
        <f>SUM(Table2[[#This Row],[Volume(1000) 2022]:[Volume(1000) 2024]])</f>
        <v>2448.4690999999998</v>
      </c>
      <c r="R162" s="33">
        <f>AVERAGE(Table2[[#This Row],[Average Price(2022)]:[Average Price(2024)]])</f>
        <v>1.9082084547242268E-2</v>
      </c>
    </row>
    <row r="163" spans="1:18" x14ac:dyDescent="0.3">
      <c r="A163" t="s">
        <v>197</v>
      </c>
      <c r="B163" t="s">
        <v>744</v>
      </c>
      <c r="C163" t="s">
        <v>189</v>
      </c>
      <c r="D163" t="s">
        <v>9</v>
      </c>
      <c r="E163" t="s">
        <v>20</v>
      </c>
      <c r="F163" s="27" t="str">
        <f>IF('Working Sheet'!B243="ITEM",'Working Sheet'!E243,"")</f>
        <v>72</v>
      </c>
      <c r="G163" s="27">
        <f>IF('Working Sheet'!B243="ITEM",'Working Sheet'!F243,"")</f>
        <v>0.1246</v>
      </c>
      <c r="H163" s="27">
        <f>IF('Working Sheet'!B243="ITEM",'Working Sheet'!G243,"")</f>
        <v>0</v>
      </c>
      <c r="I163" s="27">
        <f>IF('Working Sheet'!B243="ITEM",'Working Sheet'!H243,"")</f>
        <v>4.1500000000000002E-2</v>
      </c>
      <c r="J163">
        <f>IF('Working Sheet'!B243="ITEM",'Working Sheet'!I243,"")</f>
        <v>7.4763999999999999</v>
      </c>
      <c r="K163">
        <f>IF('Working Sheet'!B243="ITEM",'Working Sheet'!J243,"")</f>
        <v>0</v>
      </c>
      <c r="L163">
        <f>IF('Working Sheet'!B243="ITEM",'Working Sheet'!K243,"")</f>
        <v>3.0169000000000001</v>
      </c>
      <c r="M163" s="33">
        <f>IFERROR(Table2[[#This Row],[Value(1000$) 2022]]/Table2[[#This Row],[Volume(1000) 2022]],0)</f>
        <v>1.6665774971911615E-2</v>
      </c>
      <c r="N163" s="33">
        <f>IFERROR(Table2[[#This Row],[Value(1000$) 2023]]/Table2[[#This Row],[Volume(1000) 2023]],0)</f>
        <v>0</v>
      </c>
      <c r="O163" s="33">
        <f>IFERROR(Table2[[#This Row],[Value(1000$) 2024]]/Table2[[#This Row],[Volume(1000) 2024]],0)</f>
        <v>1.3755842089562133E-2</v>
      </c>
      <c r="P163" s="33">
        <f>SUM(Table2[[#This Row],[Value(1000$) 2022]:[Value(1000$) 2024]])</f>
        <v>0.1661</v>
      </c>
      <c r="Q163" s="33">
        <f>SUM(Table2[[#This Row],[Volume(1000) 2022]:[Volume(1000) 2024]])</f>
        <v>10.4933</v>
      </c>
      <c r="R163" s="33">
        <f>AVERAGE(Table2[[#This Row],[Average Price(2022)]:[Average Price(2024)]])</f>
        <v>1.014053902049125E-2</v>
      </c>
    </row>
    <row r="164" spans="1:18" x14ac:dyDescent="0.3">
      <c r="A164" t="s">
        <v>198</v>
      </c>
      <c r="B164" t="s">
        <v>744</v>
      </c>
      <c r="C164" t="s">
        <v>189</v>
      </c>
      <c r="D164" t="s">
        <v>9</v>
      </c>
      <c r="E164" t="s">
        <v>20</v>
      </c>
      <c r="F164" s="27" t="str">
        <f>IF('Working Sheet'!B244="ITEM",'Working Sheet'!E244,"")</f>
        <v>90</v>
      </c>
      <c r="G164" s="27">
        <f>IF('Working Sheet'!B244="ITEM",'Working Sheet'!F244,"")</f>
        <v>0</v>
      </c>
      <c r="H164" s="27">
        <f>IF('Working Sheet'!B244="ITEM",'Working Sheet'!G244,"")</f>
        <v>1.9545999999999999</v>
      </c>
      <c r="I164" s="27">
        <f>IF('Working Sheet'!B244="ITEM",'Working Sheet'!H244,"")</f>
        <v>2.1882000000000001</v>
      </c>
      <c r="J164">
        <f>IF('Working Sheet'!B244="ITEM",'Working Sheet'!I244,"")</f>
        <v>0</v>
      </c>
      <c r="K164">
        <f>IF('Working Sheet'!B244="ITEM",'Working Sheet'!J244,"")</f>
        <v>80.589100000000002</v>
      </c>
      <c r="L164">
        <f>IF('Working Sheet'!B244="ITEM",'Working Sheet'!K244,"")</f>
        <v>78.875</v>
      </c>
      <c r="M164" s="33">
        <f>IFERROR(Table2[[#This Row],[Value(1000$) 2022]]/Table2[[#This Row],[Volume(1000) 2022]],0)</f>
        <v>0</v>
      </c>
      <c r="N164" s="33">
        <f>IFERROR(Table2[[#This Row],[Value(1000$) 2023]]/Table2[[#This Row],[Volume(1000) 2023]],0)</f>
        <v>2.4253900341361299E-2</v>
      </c>
      <c r="O164" s="33">
        <f>IFERROR(Table2[[#This Row],[Value(1000$) 2024]]/Table2[[#This Row],[Volume(1000) 2024]],0)</f>
        <v>2.7742630744849447E-2</v>
      </c>
      <c r="P164" s="33">
        <f>SUM(Table2[[#This Row],[Value(1000$) 2022]:[Value(1000$) 2024]])</f>
        <v>4.1428000000000003</v>
      </c>
      <c r="Q164" s="33">
        <f>SUM(Table2[[#This Row],[Volume(1000) 2022]:[Volume(1000) 2024]])</f>
        <v>159.4641</v>
      </c>
      <c r="R164" s="33">
        <f>AVERAGE(Table2[[#This Row],[Average Price(2022)]:[Average Price(2024)]])</f>
        <v>1.7332177028736916E-2</v>
      </c>
    </row>
    <row r="165" spans="1:18" x14ac:dyDescent="0.3">
      <c r="A165" t="s">
        <v>199</v>
      </c>
      <c r="B165" t="s">
        <v>744</v>
      </c>
      <c r="C165" t="s">
        <v>189</v>
      </c>
      <c r="D165" t="s">
        <v>9</v>
      </c>
      <c r="E165" t="s">
        <v>64</v>
      </c>
      <c r="F165" s="27" t="str">
        <f>IF('Working Sheet'!B245="ITEM",'Working Sheet'!E245,"")</f>
        <v>90</v>
      </c>
      <c r="G165" s="27">
        <f>IF('Working Sheet'!B245="ITEM",'Working Sheet'!F245,"")</f>
        <v>4.02E-2</v>
      </c>
      <c r="H165" s="27">
        <f>IF('Working Sheet'!B245="ITEM",'Working Sheet'!G245,"")</f>
        <v>0</v>
      </c>
      <c r="I165" s="27">
        <f>IF('Working Sheet'!B245="ITEM",'Working Sheet'!H245,"")</f>
        <v>5.1000000000000004E-3</v>
      </c>
      <c r="J165">
        <f>IF('Working Sheet'!B245="ITEM",'Working Sheet'!I245,"")</f>
        <v>1.9040999999999999</v>
      </c>
      <c r="K165">
        <f>IF('Working Sheet'!B245="ITEM",'Working Sheet'!J245,"")</f>
        <v>0</v>
      </c>
      <c r="L165">
        <f>IF('Working Sheet'!B245="ITEM",'Working Sheet'!K245,"")</f>
        <v>0.1958</v>
      </c>
      <c r="M165" s="33">
        <f>IFERROR(Table2[[#This Row],[Value(1000$) 2022]]/Table2[[#This Row],[Volume(1000) 2022]],0)</f>
        <v>2.111233653694659E-2</v>
      </c>
      <c r="N165" s="33">
        <f>IFERROR(Table2[[#This Row],[Value(1000$) 2023]]/Table2[[#This Row],[Volume(1000) 2023]],0)</f>
        <v>0</v>
      </c>
      <c r="O165" s="33">
        <f>IFERROR(Table2[[#This Row],[Value(1000$) 2024]]/Table2[[#This Row],[Volume(1000) 2024]],0)</f>
        <v>2.6046986721144028E-2</v>
      </c>
      <c r="P165" s="33">
        <f>SUM(Table2[[#This Row],[Value(1000$) 2022]:[Value(1000$) 2024]])</f>
        <v>4.53E-2</v>
      </c>
      <c r="Q165" s="33">
        <f>SUM(Table2[[#This Row],[Volume(1000) 2022]:[Volume(1000) 2024]])</f>
        <v>2.0998999999999999</v>
      </c>
      <c r="R165" s="33">
        <f>AVERAGE(Table2[[#This Row],[Average Price(2022)]:[Average Price(2024)]])</f>
        <v>1.5719774419363539E-2</v>
      </c>
    </row>
    <row r="166" spans="1:18" x14ac:dyDescent="0.3">
      <c r="A166" t="s">
        <v>201</v>
      </c>
      <c r="B166" t="s">
        <v>744</v>
      </c>
      <c r="C166" t="s">
        <v>200</v>
      </c>
      <c r="D166" t="s">
        <v>9</v>
      </c>
      <c r="E166" t="s">
        <v>20</v>
      </c>
      <c r="F166" s="27" t="str">
        <f>IF('Working Sheet'!B247="ITEM",'Working Sheet'!E247,"")</f>
        <v>100</v>
      </c>
      <c r="G166" s="27">
        <f>IF('Working Sheet'!B247="ITEM",'Working Sheet'!F247,"")</f>
        <v>0</v>
      </c>
      <c r="H166" s="27">
        <f>IF('Working Sheet'!B247="ITEM",'Working Sheet'!G247,"")</f>
        <v>6.88E-2</v>
      </c>
      <c r="I166" s="27">
        <f>IF('Working Sheet'!B247="ITEM",'Working Sheet'!H247,"")</f>
        <v>1.5603</v>
      </c>
      <c r="J166">
        <f>IF('Working Sheet'!B247="ITEM",'Working Sheet'!I247,"")</f>
        <v>0</v>
      </c>
      <c r="K166">
        <f>IF('Working Sheet'!B247="ITEM",'Working Sheet'!J247,"")</f>
        <v>2.9011</v>
      </c>
      <c r="L166">
        <f>IF('Working Sheet'!B247="ITEM",'Working Sheet'!K247,"")</f>
        <v>56.070300000000003</v>
      </c>
      <c r="M166" s="33">
        <f>IFERROR(Table2[[#This Row],[Value(1000$) 2022]]/Table2[[#This Row],[Volume(1000) 2022]],0)</f>
        <v>0</v>
      </c>
      <c r="N166" s="33">
        <f>IFERROR(Table2[[#This Row],[Value(1000$) 2023]]/Table2[[#This Row],[Volume(1000) 2023]],0)</f>
        <v>2.3715142532142981E-2</v>
      </c>
      <c r="O166" s="33">
        <f>IFERROR(Table2[[#This Row],[Value(1000$) 2024]]/Table2[[#This Row],[Volume(1000) 2024]],0)</f>
        <v>2.7827566465668991E-2</v>
      </c>
      <c r="P166" s="33">
        <f>SUM(Table2[[#This Row],[Value(1000$) 2022]:[Value(1000$) 2024]])</f>
        <v>1.6291</v>
      </c>
      <c r="Q166" s="33">
        <f>SUM(Table2[[#This Row],[Volume(1000) 2022]:[Volume(1000) 2024]])</f>
        <v>58.971400000000003</v>
      </c>
      <c r="R166" s="33">
        <f>AVERAGE(Table2[[#This Row],[Average Price(2022)]:[Average Price(2024)]])</f>
        <v>1.7180902999270657E-2</v>
      </c>
    </row>
    <row r="167" spans="1:18" x14ac:dyDescent="0.3">
      <c r="A167" t="s">
        <v>203</v>
      </c>
      <c r="B167" t="s">
        <v>744</v>
      </c>
      <c r="C167" t="s">
        <v>202</v>
      </c>
      <c r="D167" t="s">
        <v>9</v>
      </c>
      <c r="E167" t="s">
        <v>20</v>
      </c>
      <c r="F167" s="27" t="str">
        <f>IF('Working Sheet'!B249="ITEM",'Working Sheet'!E249,"")</f>
        <v>72</v>
      </c>
      <c r="G167" s="27">
        <f>IF('Working Sheet'!B249="ITEM",'Working Sheet'!F249,"")</f>
        <v>225.05289999999999</v>
      </c>
      <c r="H167" s="27">
        <f>IF('Working Sheet'!B249="ITEM",'Working Sheet'!G249,"")</f>
        <v>160.9256</v>
      </c>
      <c r="I167" s="27">
        <f>IF('Working Sheet'!B249="ITEM",'Working Sheet'!H249,"")</f>
        <v>66.089799999999997</v>
      </c>
      <c r="J167">
        <f>IF('Working Sheet'!B249="ITEM",'Working Sheet'!I249,"")</f>
        <v>14096.87</v>
      </c>
      <c r="K167">
        <f>IF('Working Sheet'!B249="ITEM",'Working Sheet'!J249,"")</f>
        <v>9843.2201000000005</v>
      </c>
      <c r="L167">
        <f>IF('Working Sheet'!B249="ITEM",'Working Sheet'!K249,"")</f>
        <v>3643.3836000000001</v>
      </c>
      <c r="M167" s="33">
        <f>IFERROR(Table2[[#This Row],[Value(1000$) 2022]]/Table2[[#This Row],[Volume(1000) 2022]],0)</f>
        <v>1.5964742527951239E-2</v>
      </c>
      <c r="N167" s="33">
        <f>IFERROR(Table2[[#This Row],[Value(1000$) 2023]]/Table2[[#This Row],[Volume(1000) 2023]],0)</f>
        <v>1.6348877538560781E-2</v>
      </c>
      <c r="O167" s="33">
        <f>IFERROR(Table2[[#This Row],[Value(1000$) 2024]]/Table2[[#This Row],[Volume(1000) 2024]],0)</f>
        <v>1.8139676535844317E-2</v>
      </c>
      <c r="P167" s="33">
        <f>SUM(Table2[[#This Row],[Value(1000$) 2022]:[Value(1000$) 2024]])</f>
        <v>452.06830000000002</v>
      </c>
      <c r="Q167" s="33">
        <f>SUM(Table2[[#This Row],[Volume(1000) 2022]:[Volume(1000) 2024]])</f>
        <v>27583.473700000002</v>
      </c>
      <c r="R167" s="33">
        <f>AVERAGE(Table2[[#This Row],[Average Price(2022)]:[Average Price(2024)]])</f>
        <v>1.6817765534118779E-2</v>
      </c>
    </row>
    <row r="168" spans="1:18" x14ac:dyDescent="0.3">
      <c r="A168" t="s">
        <v>205</v>
      </c>
      <c r="B168" t="s">
        <v>744</v>
      </c>
      <c r="C168" t="s">
        <v>204</v>
      </c>
      <c r="D168" t="s">
        <v>9</v>
      </c>
      <c r="E168" t="s">
        <v>30</v>
      </c>
      <c r="F168" s="27" t="str">
        <f>IF('Working Sheet'!B251="ITEM",'Working Sheet'!E251,"")</f>
        <v>72</v>
      </c>
      <c r="G168" s="27">
        <f>IF('Working Sheet'!B251="ITEM",'Working Sheet'!F251,"")</f>
        <v>27.677700000000002</v>
      </c>
      <c r="H168" s="27">
        <f>IF('Working Sheet'!B251="ITEM",'Working Sheet'!G251,"")</f>
        <v>22.1416</v>
      </c>
      <c r="I168" s="27">
        <f>IF('Working Sheet'!B251="ITEM",'Working Sheet'!H251,"")</f>
        <v>9.0610999999999997</v>
      </c>
      <c r="J168">
        <f>IF('Working Sheet'!B251="ITEM",'Working Sheet'!I251,"")</f>
        <v>1974.3932</v>
      </c>
      <c r="K168">
        <f>IF('Working Sheet'!B251="ITEM",'Working Sheet'!J251,"")</f>
        <v>1482.2675999999999</v>
      </c>
      <c r="L168">
        <f>IF('Working Sheet'!B251="ITEM",'Working Sheet'!K251,"")</f>
        <v>601.1807</v>
      </c>
      <c r="M168" s="33">
        <f>IFERROR(Table2[[#This Row],[Value(1000$) 2022]]/Table2[[#This Row],[Volume(1000) 2022]],0)</f>
        <v>1.4018332315974347E-2</v>
      </c>
      <c r="N168" s="33">
        <f>IFERROR(Table2[[#This Row],[Value(1000$) 2023]]/Table2[[#This Row],[Volume(1000) 2023]],0)</f>
        <v>1.49376536328528E-2</v>
      </c>
      <c r="O168" s="33">
        <f>IFERROR(Table2[[#This Row],[Value(1000$) 2024]]/Table2[[#This Row],[Volume(1000) 2024]],0)</f>
        <v>1.5072173807309516E-2</v>
      </c>
      <c r="P168" s="33">
        <f>SUM(Table2[[#This Row],[Value(1000$) 2022]:[Value(1000$) 2024]])</f>
        <v>58.880399999999995</v>
      </c>
      <c r="Q168" s="33">
        <f>SUM(Table2[[#This Row],[Volume(1000) 2022]:[Volume(1000) 2024]])</f>
        <v>4057.8414999999995</v>
      </c>
      <c r="R168" s="33">
        <f>AVERAGE(Table2[[#This Row],[Average Price(2022)]:[Average Price(2024)]])</f>
        <v>1.4676053252045554E-2</v>
      </c>
    </row>
    <row r="169" spans="1:18" x14ac:dyDescent="0.3">
      <c r="A169" t="s">
        <v>821</v>
      </c>
      <c r="B169" t="s">
        <v>744</v>
      </c>
      <c r="C169" t="s">
        <v>206</v>
      </c>
      <c r="D169" t="s">
        <v>9</v>
      </c>
      <c r="E169" t="s">
        <v>30</v>
      </c>
      <c r="F169" s="27" t="str">
        <f>IF('Working Sheet'!B253="ITEM",'Working Sheet'!E253,"")</f>
        <v>72</v>
      </c>
      <c r="G169" s="27">
        <f>IF('Working Sheet'!B253="ITEM",'Working Sheet'!F253,"")</f>
        <v>0</v>
      </c>
      <c r="H169" s="27">
        <f>IF('Working Sheet'!B253="ITEM",'Working Sheet'!G253,"")</f>
        <v>0</v>
      </c>
      <c r="I169" s="27">
        <f>IF('Working Sheet'!B253="ITEM",'Working Sheet'!H253,"")</f>
        <v>0</v>
      </c>
      <c r="J169">
        <f>IF('Working Sheet'!B253="ITEM",'Working Sheet'!I253,"")</f>
        <v>0</v>
      </c>
      <c r="K169">
        <f>IF('Working Sheet'!B253="ITEM",'Working Sheet'!J253,"")</f>
        <v>0</v>
      </c>
      <c r="L169">
        <f>IF('Working Sheet'!B253="ITEM",'Working Sheet'!K253,"")</f>
        <v>0</v>
      </c>
      <c r="M169" s="33">
        <f>IFERROR(Table2[[#This Row],[Value(1000$) 2022]]/Table2[[#This Row],[Volume(1000) 2022]],0)</f>
        <v>0</v>
      </c>
      <c r="N169" s="33">
        <f>IFERROR(Table2[[#This Row],[Value(1000$) 2023]]/Table2[[#This Row],[Volume(1000) 2023]],0)</f>
        <v>0</v>
      </c>
      <c r="O169" s="33">
        <f>IFERROR(Table2[[#This Row],[Value(1000$) 2024]]/Table2[[#This Row],[Volume(1000) 2024]],0)</f>
        <v>0</v>
      </c>
      <c r="P169" s="33">
        <f>SUM(Table2[[#This Row],[Value(1000$) 2022]:[Value(1000$) 2024]])</f>
        <v>0</v>
      </c>
      <c r="Q169" s="33">
        <f>SUM(Table2[[#This Row],[Volume(1000) 2022]:[Volume(1000) 2024]])</f>
        <v>0</v>
      </c>
      <c r="R169" s="33">
        <f>AVERAGE(Table2[[#This Row],[Average Price(2022)]:[Average Price(2024)]])</f>
        <v>0</v>
      </c>
    </row>
    <row r="170" spans="1:18" x14ac:dyDescent="0.3">
      <c r="A170" t="s">
        <v>208</v>
      </c>
      <c r="B170" t="s">
        <v>744</v>
      </c>
      <c r="C170" t="s">
        <v>207</v>
      </c>
      <c r="D170" t="s">
        <v>9</v>
      </c>
      <c r="E170" t="s">
        <v>30</v>
      </c>
      <c r="F170" s="27" t="str">
        <f>IF('Working Sheet'!B255="ITEM",'Working Sheet'!E255,"")</f>
        <v>120</v>
      </c>
      <c r="G170" s="27">
        <f>IF('Working Sheet'!B255="ITEM",'Working Sheet'!F255,"")</f>
        <v>41.221899999999998</v>
      </c>
      <c r="H170" s="27">
        <f>IF('Working Sheet'!B255="ITEM",'Working Sheet'!G255,"")</f>
        <v>44.201300000000003</v>
      </c>
      <c r="I170" s="27">
        <f>IF('Working Sheet'!B255="ITEM",'Working Sheet'!H255,"")</f>
        <v>20.616900000000001</v>
      </c>
      <c r="J170">
        <f>IF('Working Sheet'!B255="ITEM",'Working Sheet'!I255,"")</f>
        <v>1922.9742000000001</v>
      </c>
      <c r="K170">
        <f>IF('Working Sheet'!B255="ITEM",'Working Sheet'!J255,"")</f>
        <v>2020.3897999999999</v>
      </c>
      <c r="L170">
        <f>IF('Working Sheet'!B255="ITEM",'Working Sheet'!K255,"")</f>
        <v>923.72320000000002</v>
      </c>
      <c r="M170" s="33">
        <f>IFERROR(Table2[[#This Row],[Value(1000$) 2022]]/Table2[[#This Row],[Volume(1000) 2022]],0)</f>
        <v>2.1436533053849603E-2</v>
      </c>
      <c r="N170" s="33">
        <f>IFERROR(Table2[[#This Row],[Value(1000$) 2023]]/Table2[[#This Row],[Volume(1000) 2023]],0)</f>
        <v>2.1877609954277143E-2</v>
      </c>
      <c r="O170" s="33">
        <f>IFERROR(Table2[[#This Row],[Value(1000$) 2024]]/Table2[[#This Row],[Volume(1000) 2024]],0)</f>
        <v>2.2319348480150766E-2</v>
      </c>
      <c r="P170" s="33">
        <f>SUM(Table2[[#This Row],[Value(1000$) 2022]:[Value(1000$) 2024]])</f>
        <v>106.04010000000001</v>
      </c>
      <c r="Q170" s="33">
        <f>SUM(Table2[[#This Row],[Volume(1000) 2022]:[Volume(1000) 2024]])</f>
        <v>4867.0871999999999</v>
      </c>
      <c r="R170" s="33">
        <f>AVERAGE(Table2[[#This Row],[Average Price(2022)]:[Average Price(2024)]])</f>
        <v>2.1877830496092505E-2</v>
      </c>
    </row>
    <row r="171" spans="1:18" x14ac:dyDescent="0.3">
      <c r="A171" t="s">
        <v>209</v>
      </c>
      <c r="B171" t="s">
        <v>744</v>
      </c>
      <c r="C171" t="s">
        <v>207</v>
      </c>
      <c r="D171" t="s">
        <v>9</v>
      </c>
      <c r="E171" t="s">
        <v>30</v>
      </c>
      <c r="F171" s="27" t="str">
        <f>IF('Working Sheet'!B256="ITEM",'Working Sheet'!E256,"")</f>
        <v>120</v>
      </c>
      <c r="G171" s="27">
        <f>IF('Working Sheet'!B256="ITEM",'Working Sheet'!F256,"")</f>
        <v>41.486600000000003</v>
      </c>
      <c r="H171" s="27">
        <f>IF('Working Sheet'!B256="ITEM",'Working Sheet'!G256,"")</f>
        <v>73.395700000000005</v>
      </c>
      <c r="I171" s="27">
        <f>IF('Working Sheet'!B256="ITEM",'Working Sheet'!H256,"")</f>
        <v>40.033299999999997</v>
      </c>
      <c r="J171">
        <f>IF('Working Sheet'!B256="ITEM",'Working Sheet'!I256,"")</f>
        <v>2454.0007999999998</v>
      </c>
      <c r="K171">
        <f>IF('Working Sheet'!B256="ITEM",'Working Sheet'!J256,"")</f>
        <v>4307.1679999999997</v>
      </c>
      <c r="L171">
        <f>IF('Working Sheet'!B256="ITEM",'Working Sheet'!K256,"")</f>
        <v>2180.9749000000002</v>
      </c>
      <c r="M171" s="33">
        <f>IFERROR(Table2[[#This Row],[Value(1000$) 2022]]/Table2[[#This Row],[Volume(1000) 2022]],0)</f>
        <v>1.6905699460244679E-2</v>
      </c>
      <c r="N171" s="33">
        <f>IFERROR(Table2[[#This Row],[Value(1000$) 2023]]/Table2[[#This Row],[Volume(1000) 2023]],0)</f>
        <v>1.7040361555435035E-2</v>
      </c>
      <c r="O171" s="33">
        <f>IFERROR(Table2[[#This Row],[Value(1000$) 2024]]/Table2[[#This Row],[Volume(1000) 2024]],0)</f>
        <v>1.8355690384148849E-2</v>
      </c>
      <c r="P171" s="33">
        <f>SUM(Table2[[#This Row],[Value(1000$) 2022]:[Value(1000$) 2024]])</f>
        <v>154.91560000000001</v>
      </c>
      <c r="Q171" s="33">
        <f>SUM(Table2[[#This Row],[Volume(1000) 2022]:[Volume(1000) 2024]])</f>
        <v>8942.1437000000005</v>
      </c>
      <c r="R171" s="33">
        <f>AVERAGE(Table2[[#This Row],[Average Price(2022)]:[Average Price(2024)]])</f>
        <v>1.7433917133276189E-2</v>
      </c>
    </row>
    <row r="172" spans="1:18" x14ac:dyDescent="0.3">
      <c r="A172" t="s">
        <v>210</v>
      </c>
      <c r="B172" t="s">
        <v>744</v>
      </c>
      <c r="C172" t="s">
        <v>207</v>
      </c>
      <c r="D172" t="s">
        <v>9</v>
      </c>
      <c r="E172" t="s">
        <v>30</v>
      </c>
      <c r="F172" s="27" t="str">
        <f>IF('Working Sheet'!B257="ITEM",'Working Sheet'!E257,"")</f>
        <v>72</v>
      </c>
      <c r="G172" s="27">
        <f>IF('Working Sheet'!B257="ITEM",'Working Sheet'!F257,"")</f>
        <v>0</v>
      </c>
      <c r="H172" s="27">
        <f>IF('Working Sheet'!B257="ITEM",'Working Sheet'!G257,"")</f>
        <v>0</v>
      </c>
      <c r="I172" s="27">
        <f>IF('Working Sheet'!B257="ITEM",'Working Sheet'!H257,"")</f>
        <v>0.36020000000000002</v>
      </c>
      <c r="J172">
        <f>IF('Working Sheet'!B257="ITEM",'Working Sheet'!I257,"")</f>
        <v>0</v>
      </c>
      <c r="K172">
        <f>IF('Working Sheet'!B257="ITEM",'Working Sheet'!J257,"")</f>
        <v>0</v>
      </c>
      <c r="L172">
        <f>IF('Working Sheet'!B257="ITEM",'Working Sheet'!K257,"")</f>
        <v>18.523700000000002</v>
      </c>
      <c r="M172" s="33">
        <f>IFERROR(Table2[[#This Row],[Value(1000$) 2022]]/Table2[[#This Row],[Volume(1000) 2022]],0)</f>
        <v>0</v>
      </c>
      <c r="N172" s="33">
        <f>IFERROR(Table2[[#This Row],[Value(1000$) 2023]]/Table2[[#This Row],[Volume(1000) 2023]],0)</f>
        <v>0</v>
      </c>
      <c r="O172" s="33">
        <f>IFERROR(Table2[[#This Row],[Value(1000$) 2024]]/Table2[[#This Row],[Volume(1000) 2024]],0)</f>
        <v>1.9445359188499059E-2</v>
      </c>
      <c r="P172" s="33">
        <f>SUM(Table2[[#This Row],[Value(1000$) 2022]:[Value(1000$) 2024]])</f>
        <v>0.36020000000000002</v>
      </c>
      <c r="Q172" s="33">
        <f>SUM(Table2[[#This Row],[Volume(1000) 2022]:[Volume(1000) 2024]])</f>
        <v>18.523700000000002</v>
      </c>
      <c r="R172" s="33">
        <f>AVERAGE(Table2[[#This Row],[Average Price(2022)]:[Average Price(2024)]])</f>
        <v>6.481786396166353E-3</v>
      </c>
    </row>
    <row r="173" spans="1:18" x14ac:dyDescent="0.3">
      <c r="A173" t="s">
        <v>211</v>
      </c>
      <c r="B173" t="s">
        <v>744</v>
      </c>
      <c r="C173" t="s">
        <v>207</v>
      </c>
      <c r="D173" t="s">
        <v>9</v>
      </c>
      <c r="E173" t="s">
        <v>10</v>
      </c>
      <c r="F173" s="27" t="str">
        <f>IF('Working Sheet'!B258="ITEM",'Working Sheet'!E258,"")</f>
        <v>72</v>
      </c>
      <c r="G173" s="27">
        <f>IF('Working Sheet'!B258="ITEM",'Working Sheet'!F258,"")</f>
        <v>50.296300000000002</v>
      </c>
      <c r="H173" s="27">
        <f>IF('Working Sheet'!B258="ITEM",'Working Sheet'!G258,"")</f>
        <v>34.107599999999998</v>
      </c>
      <c r="I173" s="27">
        <f>IF('Working Sheet'!B258="ITEM",'Working Sheet'!H258,"")</f>
        <v>15.9543</v>
      </c>
      <c r="J173">
        <f>IF('Working Sheet'!B258="ITEM",'Working Sheet'!I258,"")</f>
        <v>3350.8564000000001</v>
      </c>
      <c r="K173">
        <f>IF('Working Sheet'!B258="ITEM",'Working Sheet'!J258,"")</f>
        <v>2178.5326</v>
      </c>
      <c r="L173">
        <f>IF('Working Sheet'!B258="ITEM",'Working Sheet'!K258,"")</f>
        <v>866.22</v>
      </c>
      <c r="M173" s="33">
        <f>IFERROR(Table2[[#This Row],[Value(1000$) 2022]]/Table2[[#This Row],[Volume(1000) 2022]],0)</f>
        <v>1.5009983716401575E-2</v>
      </c>
      <c r="N173" s="33">
        <f>IFERROR(Table2[[#This Row],[Value(1000$) 2023]]/Table2[[#This Row],[Volume(1000) 2023]],0)</f>
        <v>1.5656226581139982E-2</v>
      </c>
      <c r="O173" s="33">
        <f>IFERROR(Table2[[#This Row],[Value(1000$) 2024]]/Table2[[#This Row],[Volume(1000) 2024]],0)</f>
        <v>1.8418300200872758E-2</v>
      </c>
      <c r="P173" s="33">
        <f>SUM(Table2[[#This Row],[Value(1000$) 2022]:[Value(1000$) 2024]])</f>
        <v>100.3582</v>
      </c>
      <c r="Q173" s="33">
        <f>SUM(Table2[[#This Row],[Volume(1000) 2022]:[Volume(1000) 2024]])</f>
        <v>6395.6090000000004</v>
      </c>
      <c r="R173" s="33">
        <f>AVERAGE(Table2[[#This Row],[Average Price(2022)]:[Average Price(2024)]])</f>
        <v>1.6361503499471439E-2</v>
      </c>
    </row>
    <row r="174" spans="1:18" x14ac:dyDescent="0.3">
      <c r="A174" t="s">
        <v>212</v>
      </c>
      <c r="B174" t="s">
        <v>744</v>
      </c>
      <c r="C174" t="s">
        <v>207</v>
      </c>
      <c r="D174" t="s">
        <v>9</v>
      </c>
      <c r="E174" t="s">
        <v>10</v>
      </c>
      <c r="F174" s="27" t="str">
        <f>IF('Working Sheet'!B259="ITEM",'Working Sheet'!E259,"")</f>
        <v>72</v>
      </c>
      <c r="G174" s="27">
        <f>IF('Working Sheet'!B259="ITEM",'Working Sheet'!F259,"")</f>
        <v>5.0095999999999998</v>
      </c>
      <c r="H174" s="27">
        <f>IF('Working Sheet'!B259="ITEM",'Working Sheet'!G259,"")</f>
        <v>5.5152000000000001</v>
      </c>
      <c r="I174" s="27">
        <f>IF('Working Sheet'!B259="ITEM",'Working Sheet'!H259,"")</f>
        <v>4.4993999999999996</v>
      </c>
      <c r="J174">
        <f>IF('Working Sheet'!B259="ITEM",'Working Sheet'!I259,"")</f>
        <v>141.5444</v>
      </c>
      <c r="K174">
        <f>IF('Working Sheet'!B259="ITEM",'Working Sheet'!J259,"")</f>
        <v>154.2473</v>
      </c>
      <c r="L174">
        <f>IF('Working Sheet'!B259="ITEM",'Working Sheet'!K259,"")</f>
        <v>124.59650000000001</v>
      </c>
      <c r="M174" s="33">
        <f>IFERROR(Table2[[#This Row],[Value(1000$) 2022]]/Table2[[#This Row],[Volume(1000) 2022]],0)</f>
        <v>3.5392428100299272E-2</v>
      </c>
      <c r="N174" s="33">
        <f>IFERROR(Table2[[#This Row],[Value(1000$) 2023]]/Table2[[#This Row],[Volume(1000) 2023]],0)</f>
        <v>3.5755569141242671E-2</v>
      </c>
      <c r="O174" s="33">
        <f>IFERROR(Table2[[#This Row],[Value(1000$) 2024]]/Table2[[#This Row],[Volume(1000) 2024]],0)</f>
        <v>3.6111768789652998E-2</v>
      </c>
      <c r="P174" s="33">
        <f>SUM(Table2[[#This Row],[Value(1000$) 2022]:[Value(1000$) 2024]])</f>
        <v>15.024199999999999</v>
      </c>
      <c r="Q174" s="33">
        <f>SUM(Table2[[#This Row],[Volume(1000) 2022]:[Volume(1000) 2024]])</f>
        <v>420.38819999999998</v>
      </c>
      <c r="R174" s="33">
        <f>AVERAGE(Table2[[#This Row],[Average Price(2022)]:[Average Price(2024)]])</f>
        <v>3.5753255343731645E-2</v>
      </c>
    </row>
    <row r="175" spans="1:18" x14ac:dyDescent="0.3">
      <c r="A175" t="s">
        <v>214</v>
      </c>
      <c r="B175" t="s">
        <v>744</v>
      </c>
      <c r="C175" t="s">
        <v>213</v>
      </c>
      <c r="D175" t="s">
        <v>9</v>
      </c>
      <c r="E175" t="s">
        <v>30</v>
      </c>
      <c r="F175" s="27" t="str">
        <f>IF('Working Sheet'!B261="ITEM",'Working Sheet'!E261,"")</f>
        <v>72</v>
      </c>
      <c r="G175" s="27">
        <f>IF('Working Sheet'!B261="ITEM",'Working Sheet'!F261,"")</f>
        <v>4.6416000000000004</v>
      </c>
      <c r="H175" s="27">
        <f>IF('Working Sheet'!B261="ITEM",'Working Sheet'!G261,"")</f>
        <v>5.1684999999999999</v>
      </c>
      <c r="I175" s="27">
        <f>IF('Working Sheet'!B261="ITEM",'Working Sheet'!H261,"")</f>
        <v>0.78010000000000002</v>
      </c>
      <c r="J175">
        <f>IF('Working Sheet'!B261="ITEM",'Working Sheet'!I261,"")</f>
        <v>142.55420000000001</v>
      </c>
      <c r="K175">
        <f>IF('Working Sheet'!B261="ITEM",'Working Sheet'!J261,"")</f>
        <v>145.93899999999999</v>
      </c>
      <c r="L175">
        <f>IF('Working Sheet'!B261="ITEM",'Working Sheet'!K261,"")</f>
        <v>21.435099999999998</v>
      </c>
      <c r="M175" s="33">
        <f>IFERROR(Table2[[#This Row],[Value(1000$) 2022]]/Table2[[#This Row],[Volume(1000) 2022]],0)</f>
        <v>3.2560247260340278E-2</v>
      </c>
      <c r="N175" s="33">
        <f>IFERROR(Table2[[#This Row],[Value(1000$) 2023]]/Table2[[#This Row],[Volume(1000) 2023]],0)</f>
        <v>3.5415481810893594E-2</v>
      </c>
      <c r="O175" s="33">
        <f>IFERROR(Table2[[#This Row],[Value(1000$) 2024]]/Table2[[#This Row],[Volume(1000) 2024]],0)</f>
        <v>3.6393578756338904E-2</v>
      </c>
      <c r="P175" s="33">
        <f>SUM(Table2[[#This Row],[Value(1000$) 2022]:[Value(1000$) 2024]])</f>
        <v>10.590199999999999</v>
      </c>
      <c r="Q175" s="33">
        <f>SUM(Table2[[#This Row],[Volume(1000) 2022]:[Volume(1000) 2024]])</f>
        <v>309.92829999999998</v>
      </c>
      <c r="R175" s="33">
        <f>AVERAGE(Table2[[#This Row],[Average Price(2022)]:[Average Price(2024)]])</f>
        <v>3.4789769275857592E-2</v>
      </c>
    </row>
    <row r="176" spans="1:18" x14ac:dyDescent="0.3">
      <c r="A176" t="s">
        <v>216</v>
      </c>
      <c r="B176" t="s">
        <v>744</v>
      </c>
      <c r="C176" t="s">
        <v>215</v>
      </c>
      <c r="D176" t="s">
        <v>9</v>
      </c>
      <c r="E176" t="s">
        <v>30</v>
      </c>
      <c r="F176" s="27" t="str">
        <f>IF('Working Sheet'!B263="ITEM",'Working Sheet'!E263,"")</f>
        <v>120</v>
      </c>
      <c r="G176" s="27">
        <f>IF('Working Sheet'!B263="ITEM",'Working Sheet'!F263,"")</f>
        <v>137.1788</v>
      </c>
      <c r="H176" s="27">
        <f>IF('Working Sheet'!B263="ITEM",'Working Sheet'!G263,"")</f>
        <v>116.5658</v>
      </c>
      <c r="I176" s="27">
        <f>IF('Working Sheet'!B263="ITEM",'Working Sheet'!H263,"")</f>
        <v>65.912899999999993</v>
      </c>
      <c r="J176">
        <f>IF('Working Sheet'!B263="ITEM",'Working Sheet'!I263,"")</f>
        <v>7929.3796000000002</v>
      </c>
      <c r="K176">
        <f>IF('Working Sheet'!B263="ITEM",'Working Sheet'!J263,"")</f>
        <v>6740.5910999999996</v>
      </c>
      <c r="L176">
        <f>IF('Working Sheet'!B263="ITEM",'Working Sheet'!K263,"")</f>
        <v>3524.3125</v>
      </c>
      <c r="M176" s="33">
        <f>IFERROR(Table2[[#This Row],[Value(1000$) 2022]]/Table2[[#This Row],[Volume(1000) 2022]],0)</f>
        <v>1.7300067208284489E-2</v>
      </c>
      <c r="N176" s="33">
        <f>IFERROR(Table2[[#This Row],[Value(1000$) 2023]]/Table2[[#This Row],[Volume(1000) 2023]],0)</f>
        <v>1.7293112469023673E-2</v>
      </c>
      <c r="O176" s="33">
        <f>IFERROR(Table2[[#This Row],[Value(1000$) 2024]]/Table2[[#This Row],[Volume(1000) 2024]],0)</f>
        <v>1.870234265548245E-2</v>
      </c>
      <c r="P176" s="33">
        <f>SUM(Table2[[#This Row],[Value(1000$) 2022]:[Value(1000$) 2024]])</f>
        <v>319.65749999999997</v>
      </c>
      <c r="Q176" s="33">
        <f>SUM(Table2[[#This Row],[Volume(1000) 2022]:[Volume(1000) 2024]])</f>
        <v>18194.283199999998</v>
      </c>
      <c r="R176" s="33">
        <f>AVERAGE(Table2[[#This Row],[Average Price(2022)]:[Average Price(2024)]])</f>
        <v>1.7765174110930204E-2</v>
      </c>
    </row>
    <row r="177" spans="1:18" x14ac:dyDescent="0.3">
      <c r="A177" t="s">
        <v>218</v>
      </c>
      <c r="B177" t="s">
        <v>745</v>
      </c>
      <c r="C177" t="s">
        <v>217</v>
      </c>
      <c r="D177" t="s">
        <v>9</v>
      </c>
      <c r="E177" t="s">
        <v>20</v>
      </c>
      <c r="F177" s="27" t="str">
        <f>IF('Working Sheet'!B266="ITEM",'Working Sheet'!E266,"")</f>
        <v>100</v>
      </c>
      <c r="G177" s="27">
        <f>IF('Working Sheet'!B266="ITEM",'Working Sheet'!F266,"")</f>
        <v>14.2293</v>
      </c>
      <c r="H177" s="27">
        <f>IF('Working Sheet'!B266="ITEM",'Working Sheet'!G266,"")</f>
        <v>21.789000000000001</v>
      </c>
      <c r="I177" s="27">
        <f>IF('Working Sheet'!B266="ITEM",'Working Sheet'!H266,"")</f>
        <v>7.9466000000000001</v>
      </c>
      <c r="J177">
        <f>IF('Working Sheet'!B266="ITEM",'Working Sheet'!I266,"")</f>
        <v>761.61429999999996</v>
      </c>
      <c r="K177">
        <f>IF('Working Sheet'!B266="ITEM",'Working Sheet'!J266,"")</f>
        <v>1129.7994000000001</v>
      </c>
      <c r="L177">
        <f>IF('Working Sheet'!B266="ITEM",'Working Sheet'!K266,"")</f>
        <v>412.24349999999998</v>
      </c>
      <c r="M177" s="33">
        <f>IFERROR(Table2[[#This Row],[Value(1000$) 2022]]/Table2[[#This Row],[Volume(1000) 2022]],0)</f>
        <v>1.868307882349373E-2</v>
      </c>
      <c r="N177" s="33">
        <f>IFERROR(Table2[[#This Row],[Value(1000$) 2023]]/Table2[[#This Row],[Volume(1000) 2023]],0)</f>
        <v>1.9285724527734745E-2</v>
      </c>
      <c r="O177" s="33">
        <f>IFERROR(Table2[[#This Row],[Value(1000$) 2024]]/Table2[[#This Row],[Volume(1000) 2024]],0)</f>
        <v>1.9276471308825975E-2</v>
      </c>
      <c r="P177" s="33">
        <f>SUM(Table2[[#This Row],[Value(1000$) 2022]:[Value(1000$) 2024]])</f>
        <v>43.9649</v>
      </c>
      <c r="Q177" s="33">
        <f>SUM(Table2[[#This Row],[Volume(1000) 2022]:[Volume(1000) 2024]])</f>
        <v>2303.6572000000001</v>
      </c>
      <c r="R177" s="33">
        <f>AVERAGE(Table2[[#This Row],[Average Price(2022)]:[Average Price(2024)]])</f>
        <v>1.908175822001815E-2</v>
      </c>
    </row>
    <row r="178" spans="1:18" x14ac:dyDescent="0.3">
      <c r="A178" t="s">
        <v>220</v>
      </c>
      <c r="B178" t="s">
        <v>746</v>
      </c>
      <c r="C178" t="s">
        <v>219</v>
      </c>
      <c r="D178" t="s">
        <v>9</v>
      </c>
      <c r="E178" t="s">
        <v>64</v>
      </c>
      <c r="F178" s="27" t="str">
        <f>IF('Working Sheet'!B269="ITEM",'Working Sheet'!E269,"")</f>
        <v>72</v>
      </c>
      <c r="G178" s="27">
        <f>IF('Working Sheet'!B269="ITEM",'Working Sheet'!F269,"")</f>
        <v>7.4866999999999999</v>
      </c>
      <c r="H178" s="27">
        <f>IF('Working Sheet'!B269="ITEM",'Working Sheet'!G269,"")</f>
        <v>1.5100000000000001E-2</v>
      </c>
      <c r="I178" s="27">
        <f>IF('Working Sheet'!B269="ITEM",'Working Sheet'!H269,"")</f>
        <v>0</v>
      </c>
      <c r="J178">
        <f>IF('Working Sheet'!B269="ITEM",'Working Sheet'!I269,"")</f>
        <v>509.18150000000003</v>
      </c>
      <c r="K178">
        <f>IF('Working Sheet'!B269="ITEM",'Working Sheet'!J269,"")</f>
        <v>0.77590000000000003</v>
      </c>
      <c r="L178">
        <f>IF('Working Sheet'!B269="ITEM",'Working Sheet'!K269,"")</f>
        <v>0</v>
      </c>
      <c r="M178" s="33">
        <f>IFERROR(Table2[[#This Row],[Value(1000$) 2022]]/Table2[[#This Row],[Volume(1000) 2022]],0)</f>
        <v>1.4703401439368869E-2</v>
      </c>
      <c r="N178" s="33">
        <f>IFERROR(Table2[[#This Row],[Value(1000$) 2023]]/Table2[[#This Row],[Volume(1000) 2023]],0)</f>
        <v>1.9461270782317307E-2</v>
      </c>
      <c r="O178" s="33">
        <f>IFERROR(Table2[[#This Row],[Value(1000$) 2024]]/Table2[[#This Row],[Volume(1000) 2024]],0)</f>
        <v>0</v>
      </c>
      <c r="P178" s="33">
        <f>SUM(Table2[[#This Row],[Value(1000$) 2022]:[Value(1000$) 2024]])</f>
        <v>7.5018000000000002</v>
      </c>
      <c r="Q178" s="33">
        <f>SUM(Table2[[#This Row],[Volume(1000) 2022]:[Volume(1000) 2024]])</f>
        <v>509.95740000000001</v>
      </c>
      <c r="R178" s="33">
        <f>AVERAGE(Table2[[#This Row],[Average Price(2022)]:[Average Price(2024)]])</f>
        <v>1.1388224073895392E-2</v>
      </c>
    </row>
    <row r="179" spans="1:18" x14ac:dyDescent="0.3">
      <c r="A179" t="s">
        <v>222</v>
      </c>
      <c r="B179" t="s">
        <v>747</v>
      </c>
      <c r="C179" t="s">
        <v>221</v>
      </c>
      <c r="D179" t="s">
        <v>9</v>
      </c>
      <c r="E179" t="s">
        <v>64</v>
      </c>
      <c r="F179" s="27" t="str">
        <f>IF('Working Sheet'!B272="ITEM",'Working Sheet'!E272,"")</f>
        <v>63</v>
      </c>
      <c r="G179" s="27">
        <f>IF('Working Sheet'!B272="ITEM",'Working Sheet'!F272,"")</f>
        <v>0</v>
      </c>
      <c r="H179" s="27">
        <f>IF('Working Sheet'!B272="ITEM",'Working Sheet'!G272,"")</f>
        <v>0</v>
      </c>
      <c r="I179" s="27">
        <f>IF('Working Sheet'!B272="ITEM",'Working Sheet'!H272,"")</f>
        <v>0</v>
      </c>
      <c r="J179">
        <f>IF('Working Sheet'!B272="ITEM",'Working Sheet'!I272,"")</f>
        <v>0</v>
      </c>
      <c r="K179">
        <f>IF('Working Sheet'!B272="ITEM",'Working Sheet'!J272,"")</f>
        <v>0</v>
      </c>
      <c r="L179">
        <f>IF('Working Sheet'!B272="ITEM",'Working Sheet'!K272,"")</f>
        <v>0</v>
      </c>
      <c r="M179" s="33">
        <f>IFERROR(Table2[[#This Row],[Value(1000$) 2022]]/Table2[[#This Row],[Volume(1000) 2022]],0)</f>
        <v>0</v>
      </c>
      <c r="N179" s="33">
        <f>IFERROR(Table2[[#This Row],[Value(1000$) 2023]]/Table2[[#This Row],[Volume(1000) 2023]],0)</f>
        <v>0</v>
      </c>
      <c r="O179" s="33">
        <f>IFERROR(Table2[[#This Row],[Value(1000$) 2024]]/Table2[[#This Row],[Volume(1000) 2024]],0)</f>
        <v>0</v>
      </c>
      <c r="P179" s="33">
        <f>SUM(Table2[[#This Row],[Value(1000$) 2022]:[Value(1000$) 2024]])</f>
        <v>0</v>
      </c>
      <c r="Q179" s="33">
        <f>SUM(Table2[[#This Row],[Volume(1000) 2022]:[Volume(1000) 2024]])</f>
        <v>0</v>
      </c>
      <c r="R179" s="33">
        <f>AVERAGE(Table2[[#This Row],[Average Price(2022)]:[Average Price(2024)]])</f>
        <v>0</v>
      </c>
    </row>
    <row r="180" spans="1:18" x14ac:dyDescent="0.3">
      <c r="A180" t="s">
        <v>223</v>
      </c>
      <c r="B180" t="s">
        <v>747</v>
      </c>
      <c r="C180" t="s">
        <v>221</v>
      </c>
      <c r="D180" t="s">
        <v>9</v>
      </c>
      <c r="E180" t="s">
        <v>64</v>
      </c>
      <c r="F180" s="27" t="str">
        <f>IF('Working Sheet'!B273="ITEM",'Working Sheet'!E273,"")</f>
        <v>63</v>
      </c>
      <c r="G180" s="27">
        <f>IF('Working Sheet'!B273="ITEM",'Working Sheet'!F273,"")</f>
        <v>1.3945000000000001</v>
      </c>
      <c r="H180" s="27">
        <f>IF('Working Sheet'!B273="ITEM",'Working Sheet'!G273,"")</f>
        <v>0</v>
      </c>
      <c r="I180" s="27">
        <f>IF('Working Sheet'!B273="ITEM",'Working Sheet'!H273,"")</f>
        <v>0</v>
      </c>
      <c r="J180">
        <f>IF('Working Sheet'!B273="ITEM",'Working Sheet'!I273,"")</f>
        <v>67.202299999999994</v>
      </c>
      <c r="K180">
        <f>IF('Working Sheet'!B273="ITEM",'Working Sheet'!J273,"")</f>
        <v>0</v>
      </c>
      <c r="L180">
        <f>IF('Working Sheet'!B273="ITEM",'Working Sheet'!K273,"")</f>
        <v>0</v>
      </c>
      <c r="M180" s="33">
        <f>IFERROR(Table2[[#This Row],[Value(1000$) 2022]]/Table2[[#This Row],[Volume(1000) 2022]],0)</f>
        <v>2.0750777875162014E-2</v>
      </c>
      <c r="N180" s="33">
        <f>IFERROR(Table2[[#This Row],[Value(1000$) 2023]]/Table2[[#This Row],[Volume(1000) 2023]],0)</f>
        <v>0</v>
      </c>
      <c r="O180" s="33">
        <f>IFERROR(Table2[[#This Row],[Value(1000$) 2024]]/Table2[[#This Row],[Volume(1000) 2024]],0)</f>
        <v>0</v>
      </c>
      <c r="P180" s="33">
        <f>SUM(Table2[[#This Row],[Value(1000$) 2022]:[Value(1000$) 2024]])</f>
        <v>1.3945000000000001</v>
      </c>
      <c r="Q180" s="33">
        <f>SUM(Table2[[#This Row],[Volume(1000) 2022]:[Volume(1000) 2024]])</f>
        <v>67.202299999999994</v>
      </c>
      <c r="R180" s="33">
        <f>AVERAGE(Table2[[#This Row],[Average Price(2022)]:[Average Price(2024)]])</f>
        <v>6.9169259583873382E-3</v>
      </c>
    </row>
    <row r="181" spans="1:18" x14ac:dyDescent="0.3">
      <c r="A181" t="s">
        <v>224</v>
      </c>
      <c r="B181" t="s">
        <v>747</v>
      </c>
      <c r="C181" t="s">
        <v>221</v>
      </c>
      <c r="D181" t="s">
        <v>9</v>
      </c>
      <c r="E181" t="s">
        <v>30</v>
      </c>
      <c r="F181" s="27" t="str">
        <f>IF('Working Sheet'!B274="ITEM",'Working Sheet'!E274,"")</f>
        <v>72</v>
      </c>
      <c r="G181" s="27">
        <f>IF('Working Sheet'!B274="ITEM",'Working Sheet'!F274,"")</f>
        <v>7.7927999999999997</v>
      </c>
      <c r="H181" s="27">
        <f>IF('Working Sheet'!B274="ITEM",'Working Sheet'!G274,"")</f>
        <v>0</v>
      </c>
      <c r="I181" s="27">
        <f>IF('Working Sheet'!B274="ITEM",'Working Sheet'!H274,"")</f>
        <v>0</v>
      </c>
      <c r="J181">
        <f>IF('Working Sheet'!B274="ITEM",'Working Sheet'!I274,"")</f>
        <v>362.96660000000003</v>
      </c>
      <c r="K181">
        <f>IF('Working Sheet'!B274="ITEM",'Working Sheet'!J274,"")</f>
        <v>0</v>
      </c>
      <c r="L181">
        <f>IF('Working Sheet'!B274="ITEM",'Working Sheet'!K274,"")</f>
        <v>0</v>
      </c>
      <c r="M181" s="33">
        <f>IFERROR(Table2[[#This Row],[Value(1000$) 2022]]/Table2[[#This Row],[Volume(1000) 2022]],0)</f>
        <v>2.1469744048074946E-2</v>
      </c>
      <c r="N181" s="33">
        <f>IFERROR(Table2[[#This Row],[Value(1000$) 2023]]/Table2[[#This Row],[Volume(1000) 2023]],0)</f>
        <v>0</v>
      </c>
      <c r="O181" s="33">
        <f>IFERROR(Table2[[#This Row],[Value(1000$) 2024]]/Table2[[#This Row],[Volume(1000) 2024]],0)</f>
        <v>0</v>
      </c>
      <c r="P181" s="33">
        <f>SUM(Table2[[#This Row],[Value(1000$) 2022]:[Value(1000$) 2024]])</f>
        <v>7.7927999999999997</v>
      </c>
      <c r="Q181" s="33">
        <f>SUM(Table2[[#This Row],[Volume(1000) 2022]:[Volume(1000) 2024]])</f>
        <v>362.96660000000003</v>
      </c>
      <c r="R181" s="33">
        <f>AVERAGE(Table2[[#This Row],[Average Price(2022)]:[Average Price(2024)]])</f>
        <v>7.1565813493583152E-3</v>
      </c>
    </row>
    <row r="182" spans="1:18" x14ac:dyDescent="0.3">
      <c r="A182" t="s">
        <v>226</v>
      </c>
      <c r="B182" t="s">
        <v>748</v>
      </c>
      <c r="C182" t="s">
        <v>225</v>
      </c>
      <c r="D182" t="s">
        <v>9</v>
      </c>
      <c r="E182" t="s">
        <v>10</v>
      </c>
      <c r="F182" s="27" t="str">
        <f>IF('Working Sheet'!B277="ITEM",'Working Sheet'!E277,"")</f>
        <v>72</v>
      </c>
      <c r="G182" s="27">
        <f>IF('Working Sheet'!B277="ITEM",'Working Sheet'!F277,"")</f>
        <v>63.770400000000002</v>
      </c>
      <c r="H182" s="27">
        <f>IF('Working Sheet'!B277="ITEM",'Working Sheet'!G277,"")</f>
        <v>23.340299999999999</v>
      </c>
      <c r="I182" s="27">
        <f>IF('Working Sheet'!B277="ITEM",'Working Sheet'!H277,"")</f>
        <v>11.8607</v>
      </c>
      <c r="J182">
        <f>IF('Working Sheet'!B277="ITEM",'Working Sheet'!I277,"")</f>
        <v>2545.3452000000002</v>
      </c>
      <c r="K182">
        <f>IF('Working Sheet'!B277="ITEM",'Working Sheet'!J277,"")</f>
        <v>949.45609999999999</v>
      </c>
      <c r="L182">
        <f>IF('Working Sheet'!B277="ITEM",'Working Sheet'!K277,"")</f>
        <v>459.19099999999997</v>
      </c>
      <c r="M182" s="33">
        <f>IFERROR(Table2[[#This Row],[Value(1000$) 2022]]/Table2[[#This Row],[Volume(1000) 2022]],0)</f>
        <v>2.5053733379661037E-2</v>
      </c>
      <c r="N182" s="33">
        <f>IFERROR(Table2[[#This Row],[Value(1000$) 2023]]/Table2[[#This Row],[Volume(1000) 2023]],0)</f>
        <v>2.4582811148403806E-2</v>
      </c>
      <c r="O182" s="33">
        <f>IFERROR(Table2[[#This Row],[Value(1000$) 2024]]/Table2[[#This Row],[Volume(1000) 2024]],0)</f>
        <v>2.5829556763960967E-2</v>
      </c>
      <c r="P182" s="33">
        <f>SUM(Table2[[#This Row],[Value(1000$) 2022]:[Value(1000$) 2024]])</f>
        <v>98.971400000000003</v>
      </c>
      <c r="Q182" s="33">
        <f>SUM(Table2[[#This Row],[Volume(1000) 2022]:[Volume(1000) 2024]])</f>
        <v>3953.9922999999999</v>
      </c>
      <c r="R182" s="33">
        <f>AVERAGE(Table2[[#This Row],[Average Price(2022)]:[Average Price(2024)]])</f>
        <v>2.5155367097341938E-2</v>
      </c>
    </row>
    <row r="183" spans="1:18" x14ac:dyDescent="0.3">
      <c r="A183" t="s">
        <v>227</v>
      </c>
      <c r="B183" t="s">
        <v>748</v>
      </c>
      <c r="C183" t="s">
        <v>225</v>
      </c>
      <c r="D183" t="s">
        <v>9</v>
      </c>
      <c r="E183" t="s">
        <v>30</v>
      </c>
      <c r="F183" s="27" t="str">
        <f>IF('Working Sheet'!B278="ITEM",'Working Sheet'!E278,"")</f>
        <v>72</v>
      </c>
      <c r="G183" s="27">
        <f>IF('Working Sheet'!B278="ITEM",'Working Sheet'!F278,"")</f>
        <v>12.7019</v>
      </c>
      <c r="H183" s="27">
        <f>IF('Working Sheet'!B278="ITEM",'Working Sheet'!G278,"")</f>
        <v>13.0259</v>
      </c>
      <c r="I183" s="27">
        <f>IF('Working Sheet'!B278="ITEM",'Working Sheet'!H278,"")</f>
        <v>5.5613999999999999</v>
      </c>
      <c r="J183">
        <f>IF('Working Sheet'!B278="ITEM",'Working Sheet'!I278,"")</f>
        <v>553.99599999999998</v>
      </c>
      <c r="K183">
        <f>IF('Working Sheet'!B278="ITEM",'Working Sheet'!J278,"")</f>
        <v>562.68320000000006</v>
      </c>
      <c r="L183">
        <f>IF('Working Sheet'!B278="ITEM",'Working Sheet'!K278,"")</f>
        <v>225.62440000000001</v>
      </c>
      <c r="M183" s="33">
        <f>IFERROR(Table2[[#This Row],[Value(1000$) 2022]]/Table2[[#This Row],[Volume(1000) 2022]],0)</f>
        <v>2.29277828720785E-2</v>
      </c>
      <c r="N183" s="33">
        <f>IFERROR(Table2[[#This Row],[Value(1000$) 2023]]/Table2[[#This Row],[Volume(1000) 2023]],0)</f>
        <v>2.3149615982847895E-2</v>
      </c>
      <c r="O183" s="33">
        <f>IFERROR(Table2[[#This Row],[Value(1000$) 2024]]/Table2[[#This Row],[Volume(1000) 2024]],0)</f>
        <v>2.4648929814328591E-2</v>
      </c>
      <c r="P183" s="33">
        <f>SUM(Table2[[#This Row],[Value(1000$) 2022]:[Value(1000$) 2024]])</f>
        <v>31.289200000000001</v>
      </c>
      <c r="Q183" s="33">
        <f>SUM(Table2[[#This Row],[Volume(1000) 2022]:[Volume(1000) 2024]])</f>
        <v>1342.3036</v>
      </c>
      <c r="R183" s="33">
        <f>AVERAGE(Table2[[#This Row],[Average Price(2022)]:[Average Price(2024)]])</f>
        <v>2.3575442889751663E-2</v>
      </c>
    </row>
    <row r="184" spans="1:18" x14ac:dyDescent="0.3">
      <c r="A184" t="s">
        <v>229</v>
      </c>
      <c r="B184" t="s">
        <v>748</v>
      </c>
      <c r="C184" t="s">
        <v>228</v>
      </c>
      <c r="D184" t="s">
        <v>9</v>
      </c>
      <c r="E184" t="s">
        <v>20</v>
      </c>
      <c r="F184" s="27" t="str">
        <f>IF('Working Sheet'!B280="ITEM",'Working Sheet'!E280,"")</f>
        <v>72</v>
      </c>
      <c r="G184" s="27">
        <f>IF('Working Sheet'!B280="ITEM",'Working Sheet'!F280,"")</f>
        <v>0.59</v>
      </c>
      <c r="H184" s="27">
        <f>IF('Working Sheet'!B280="ITEM",'Working Sheet'!G280,"")</f>
        <v>0</v>
      </c>
      <c r="I184" s="27">
        <f>IF('Working Sheet'!B280="ITEM",'Working Sheet'!H280,"")</f>
        <v>0</v>
      </c>
      <c r="J184">
        <f>IF('Working Sheet'!B280="ITEM",'Working Sheet'!I280,"")</f>
        <v>18.470099999999999</v>
      </c>
      <c r="K184">
        <f>IF('Working Sheet'!B280="ITEM",'Working Sheet'!J280,"")</f>
        <v>0</v>
      </c>
      <c r="L184">
        <f>IF('Working Sheet'!B280="ITEM",'Working Sheet'!K280,"")</f>
        <v>0</v>
      </c>
      <c r="M184" s="33">
        <f>IFERROR(Table2[[#This Row],[Value(1000$) 2022]]/Table2[[#This Row],[Volume(1000) 2022]],0)</f>
        <v>3.1943519526153083E-2</v>
      </c>
      <c r="N184" s="33">
        <f>IFERROR(Table2[[#This Row],[Value(1000$) 2023]]/Table2[[#This Row],[Volume(1000) 2023]],0)</f>
        <v>0</v>
      </c>
      <c r="O184" s="33">
        <f>IFERROR(Table2[[#This Row],[Value(1000$) 2024]]/Table2[[#This Row],[Volume(1000) 2024]],0)</f>
        <v>0</v>
      </c>
      <c r="P184" s="33">
        <f>SUM(Table2[[#This Row],[Value(1000$) 2022]:[Value(1000$) 2024]])</f>
        <v>0.59</v>
      </c>
      <c r="Q184" s="33">
        <f>SUM(Table2[[#This Row],[Volume(1000) 2022]:[Volume(1000) 2024]])</f>
        <v>18.470099999999999</v>
      </c>
      <c r="R184" s="33">
        <f>AVERAGE(Table2[[#This Row],[Average Price(2022)]:[Average Price(2024)]])</f>
        <v>1.0647839842051027E-2</v>
      </c>
    </row>
    <row r="185" spans="1:18" x14ac:dyDescent="0.3">
      <c r="A185" t="s">
        <v>230</v>
      </c>
      <c r="B185" t="s">
        <v>748</v>
      </c>
      <c r="C185" t="s">
        <v>228</v>
      </c>
      <c r="D185" t="s">
        <v>9</v>
      </c>
      <c r="E185" t="s">
        <v>30</v>
      </c>
      <c r="F185" s="27" t="str">
        <f>IF('Working Sheet'!B281="ITEM",'Working Sheet'!E281,"")</f>
        <v>72</v>
      </c>
      <c r="G185" s="27">
        <f>IF('Working Sheet'!B281="ITEM",'Working Sheet'!F281,"")</f>
        <v>0.59</v>
      </c>
      <c r="H185" s="27">
        <f>IF('Working Sheet'!B281="ITEM",'Working Sheet'!G281,"")</f>
        <v>0</v>
      </c>
      <c r="I185" s="27">
        <f>IF('Working Sheet'!B281="ITEM",'Working Sheet'!H281,"")</f>
        <v>0</v>
      </c>
      <c r="J185">
        <f>IF('Working Sheet'!B281="ITEM",'Working Sheet'!I281,"")</f>
        <v>18.470099999999999</v>
      </c>
      <c r="K185">
        <f>IF('Working Sheet'!B281="ITEM",'Working Sheet'!J281,"")</f>
        <v>0</v>
      </c>
      <c r="L185">
        <f>IF('Working Sheet'!B281="ITEM",'Working Sheet'!K281,"")</f>
        <v>0</v>
      </c>
      <c r="M185" s="33">
        <f>IFERROR(Table2[[#This Row],[Value(1000$) 2022]]/Table2[[#This Row],[Volume(1000) 2022]],0)</f>
        <v>3.1943519526153083E-2</v>
      </c>
      <c r="N185" s="33">
        <f>IFERROR(Table2[[#This Row],[Value(1000$) 2023]]/Table2[[#This Row],[Volume(1000) 2023]],0)</f>
        <v>0</v>
      </c>
      <c r="O185" s="33">
        <f>IFERROR(Table2[[#This Row],[Value(1000$) 2024]]/Table2[[#This Row],[Volume(1000) 2024]],0)</f>
        <v>0</v>
      </c>
      <c r="P185" s="33">
        <f>SUM(Table2[[#This Row],[Value(1000$) 2022]:[Value(1000$) 2024]])</f>
        <v>0.59</v>
      </c>
      <c r="Q185" s="33">
        <f>SUM(Table2[[#This Row],[Volume(1000) 2022]:[Volume(1000) 2024]])</f>
        <v>18.470099999999999</v>
      </c>
      <c r="R185" s="33">
        <f>AVERAGE(Table2[[#This Row],[Average Price(2022)]:[Average Price(2024)]])</f>
        <v>1.0647839842051027E-2</v>
      </c>
    </row>
    <row r="186" spans="1:18" x14ac:dyDescent="0.3">
      <c r="A186" t="s">
        <v>232</v>
      </c>
      <c r="B186" t="s">
        <v>749</v>
      </c>
      <c r="C186" t="s">
        <v>231</v>
      </c>
      <c r="D186" t="s">
        <v>9</v>
      </c>
      <c r="E186" t="s">
        <v>69</v>
      </c>
      <c r="F186" s="27" t="str">
        <f>IF('Working Sheet'!B284="ITEM",'Working Sheet'!E284,"")</f>
        <v>50</v>
      </c>
      <c r="G186" s="27">
        <f>IF('Working Sheet'!B284="ITEM",'Working Sheet'!F284,"")</f>
        <v>0</v>
      </c>
      <c r="H186" s="27">
        <f>IF('Working Sheet'!B284="ITEM",'Working Sheet'!G284,"")</f>
        <v>1.1446000000000001</v>
      </c>
      <c r="I186" s="27">
        <f>IF('Working Sheet'!B284="ITEM",'Working Sheet'!H284,"")</f>
        <v>0.29039999999999999</v>
      </c>
      <c r="J186">
        <f>IF('Working Sheet'!B284="ITEM",'Working Sheet'!I284,"")</f>
        <v>0</v>
      </c>
      <c r="K186">
        <f>IF('Working Sheet'!B284="ITEM",'Working Sheet'!J284,"")</f>
        <v>11.6808</v>
      </c>
      <c r="L186">
        <f>IF('Working Sheet'!B284="ITEM",'Working Sheet'!K284,"")</f>
        <v>3.3864000000000001</v>
      </c>
      <c r="M186" s="33">
        <f>IFERROR(Table2[[#This Row],[Value(1000$) 2022]]/Table2[[#This Row],[Volume(1000) 2022]],0)</f>
        <v>0</v>
      </c>
      <c r="N186" s="33">
        <f>IFERROR(Table2[[#This Row],[Value(1000$) 2023]]/Table2[[#This Row],[Volume(1000) 2023]],0)</f>
        <v>9.7989863707965211E-2</v>
      </c>
      <c r="O186" s="33">
        <f>IFERROR(Table2[[#This Row],[Value(1000$) 2024]]/Table2[[#This Row],[Volume(1000) 2024]],0)</f>
        <v>8.5754783841247337E-2</v>
      </c>
      <c r="P186" s="33">
        <f>SUM(Table2[[#This Row],[Value(1000$) 2022]:[Value(1000$) 2024]])</f>
        <v>1.4350000000000001</v>
      </c>
      <c r="Q186" s="33">
        <f>SUM(Table2[[#This Row],[Volume(1000) 2022]:[Volume(1000) 2024]])</f>
        <v>15.0672</v>
      </c>
      <c r="R186" s="33">
        <f>AVERAGE(Table2[[#This Row],[Average Price(2022)]:[Average Price(2024)]])</f>
        <v>6.1248215849737518E-2</v>
      </c>
    </row>
    <row r="187" spans="1:18" x14ac:dyDescent="0.3">
      <c r="A187" t="s">
        <v>233</v>
      </c>
      <c r="B187" t="s">
        <v>749</v>
      </c>
      <c r="C187" t="s">
        <v>231</v>
      </c>
      <c r="D187" t="s">
        <v>9</v>
      </c>
      <c r="E187" t="s">
        <v>69</v>
      </c>
      <c r="F187" s="27" t="str">
        <f>IF('Working Sheet'!B285="ITEM",'Working Sheet'!E285,"")</f>
        <v>50</v>
      </c>
      <c r="G187" s="27">
        <f>IF('Working Sheet'!B285="ITEM",'Working Sheet'!F285,"")</f>
        <v>0</v>
      </c>
      <c r="H187" s="27">
        <f>IF('Working Sheet'!B285="ITEM",'Working Sheet'!G285,"")</f>
        <v>0.49220000000000003</v>
      </c>
      <c r="I187" s="27">
        <f>IF('Working Sheet'!B285="ITEM",'Working Sheet'!H285,"")</f>
        <v>0.1164</v>
      </c>
      <c r="J187">
        <f>IF('Working Sheet'!B285="ITEM",'Working Sheet'!I285,"")</f>
        <v>0</v>
      </c>
      <c r="K187">
        <f>IF('Working Sheet'!B285="ITEM",'Working Sheet'!J285,"")</f>
        <v>4.2202000000000002</v>
      </c>
      <c r="L187">
        <f>IF('Working Sheet'!B285="ITEM",'Working Sheet'!K285,"")</f>
        <v>0.85</v>
      </c>
      <c r="M187" s="33">
        <f>IFERROR(Table2[[#This Row],[Value(1000$) 2022]]/Table2[[#This Row],[Volume(1000) 2022]],0)</f>
        <v>0</v>
      </c>
      <c r="N187" s="33">
        <f>IFERROR(Table2[[#This Row],[Value(1000$) 2023]]/Table2[[#This Row],[Volume(1000) 2023]],0)</f>
        <v>0.11662954362352496</v>
      </c>
      <c r="O187" s="33">
        <f>IFERROR(Table2[[#This Row],[Value(1000$) 2024]]/Table2[[#This Row],[Volume(1000) 2024]],0)</f>
        <v>0.13694117647058823</v>
      </c>
      <c r="P187" s="33">
        <f>SUM(Table2[[#This Row],[Value(1000$) 2022]:[Value(1000$) 2024]])</f>
        <v>0.60860000000000003</v>
      </c>
      <c r="Q187" s="33">
        <f>SUM(Table2[[#This Row],[Volume(1000) 2022]:[Volume(1000) 2024]])</f>
        <v>5.0701999999999998</v>
      </c>
      <c r="R187" s="33">
        <f>AVERAGE(Table2[[#This Row],[Average Price(2022)]:[Average Price(2024)]])</f>
        <v>8.4523573364704396E-2</v>
      </c>
    </row>
    <row r="188" spans="1:18" x14ac:dyDescent="0.3">
      <c r="A188" t="s">
        <v>234</v>
      </c>
      <c r="B188" t="s">
        <v>749</v>
      </c>
      <c r="C188" t="s">
        <v>231</v>
      </c>
      <c r="D188" t="s">
        <v>9</v>
      </c>
      <c r="E188" t="s">
        <v>20</v>
      </c>
      <c r="F188" s="27" t="str">
        <f>IF('Working Sheet'!B286="ITEM",'Working Sheet'!E286,"")</f>
        <v>50</v>
      </c>
      <c r="G188" s="27">
        <f>IF('Working Sheet'!B286="ITEM",'Working Sheet'!F286,"")</f>
        <v>0</v>
      </c>
      <c r="H188" s="27">
        <f>IF('Working Sheet'!B286="ITEM",'Working Sheet'!G286,"")</f>
        <v>1.4152</v>
      </c>
      <c r="I188" s="27">
        <f>IF('Working Sheet'!B286="ITEM",'Working Sheet'!H286,"")</f>
        <v>0.3513</v>
      </c>
      <c r="J188">
        <f>IF('Working Sheet'!B286="ITEM",'Working Sheet'!I286,"")</f>
        <v>0</v>
      </c>
      <c r="K188">
        <f>IF('Working Sheet'!B286="ITEM",'Working Sheet'!J286,"")</f>
        <v>20.5671</v>
      </c>
      <c r="L188">
        <f>IF('Working Sheet'!B286="ITEM",'Working Sheet'!K286,"")</f>
        <v>6.5918999999999999</v>
      </c>
      <c r="M188" s="33">
        <f>IFERROR(Table2[[#This Row],[Value(1000$) 2022]]/Table2[[#This Row],[Volume(1000) 2022]],0)</f>
        <v>0</v>
      </c>
      <c r="N188" s="33">
        <f>IFERROR(Table2[[#This Row],[Value(1000$) 2023]]/Table2[[#This Row],[Volume(1000) 2023]],0)</f>
        <v>6.8808922988656637E-2</v>
      </c>
      <c r="O188" s="33">
        <f>IFERROR(Table2[[#This Row],[Value(1000$) 2024]]/Table2[[#This Row],[Volume(1000) 2024]],0)</f>
        <v>5.3292677376780596E-2</v>
      </c>
      <c r="P188" s="33">
        <f>SUM(Table2[[#This Row],[Value(1000$) 2022]:[Value(1000$) 2024]])</f>
        <v>1.7665</v>
      </c>
      <c r="Q188" s="33">
        <f>SUM(Table2[[#This Row],[Volume(1000) 2022]:[Volume(1000) 2024]])</f>
        <v>27.158999999999999</v>
      </c>
      <c r="R188" s="33">
        <f>AVERAGE(Table2[[#This Row],[Average Price(2022)]:[Average Price(2024)]])</f>
        <v>4.0700533455145745E-2</v>
      </c>
    </row>
    <row r="189" spans="1:18" x14ac:dyDescent="0.3">
      <c r="A189" t="s">
        <v>236</v>
      </c>
      <c r="B189" t="s">
        <v>749</v>
      </c>
      <c r="C189" t="s">
        <v>235</v>
      </c>
      <c r="D189" t="s">
        <v>9</v>
      </c>
      <c r="E189" t="s">
        <v>10</v>
      </c>
      <c r="F189" s="27" t="str">
        <f>IF('Working Sheet'!B288="ITEM",'Working Sheet'!E288,"")</f>
        <v>120</v>
      </c>
      <c r="G189" s="27">
        <f>IF('Working Sheet'!B288="ITEM",'Working Sheet'!F288,"")</f>
        <v>6.1999999999999998E-3</v>
      </c>
      <c r="H189" s="27">
        <f>IF('Working Sheet'!B288="ITEM",'Working Sheet'!G288,"")</f>
        <v>21.155899999999999</v>
      </c>
      <c r="I189" s="27">
        <f>IF('Working Sheet'!B288="ITEM",'Working Sheet'!H288,"")</f>
        <v>10.029400000000001</v>
      </c>
      <c r="J189">
        <f>IF('Working Sheet'!B288="ITEM",'Working Sheet'!I288,"")</f>
        <v>0.32569999999999999</v>
      </c>
      <c r="K189">
        <f>IF('Working Sheet'!B288="ITEM",'Working Sheet'!J288,"")</f>
        <v>1092.0349000000001</v>
      </c>
      <c r="L189">
        <f>IF('Working Sheet'!B288="ITEM",'Working Sheet'!K288,"")</f>
        <v>489.28280000000001</v>
      </c>
      <c r="M189" s="33">
        <f>IFERROR(Table2[[#This Row],[Value(1000$) 2022]]/Table2[[#This Row],[Volume(1000) 2022]],0)</f>
        <v>1.9035922628185448E-2</v>
      </c>
      <c r="N189" s="33">
        <f>IFERROR(Table2[[#This Row],[Value(1000$) 2023]]/Table2[[#This Row],[Volume(1000) 2023]],0)</f>
        <v>1.9372915645827798E-2</v>
      </c>
      <c r="O189" s="33">
        <f>IFERROR(Table2[[#This Row],[Value(1000$) 2024]]/Table2[[#This Row],[Volume(1000) 2024]],0)</f>
        <v>2.0498165886885869E-2</v>
      </c>
      <c r="P189" s="33">
        <f>SUM(Table2[[#This Row],[Value(1000$) 2022]:[Value(1000$) 2024]])</f>
        <v>31.191499999999998</v>
      </c>
      <c r="Q189" s="33">
        <f>SUM(Table2[[#This Row],[Volume(1000) 2022]:[Volume(1000) 2024]])</f>
        <v>1581.6434000000002</v>
      </c>
      <c r="R189" s="33">
        <f>AVERAGE(Table2[[#This Row],[Average Price(2022)]:[Average Price(2024)]])</f>
        <v>1.9635668053633037E-2</v>
      </c>
    </row>
    <row r="190" spans="1:18" x14ac:dyDescent="0.3">
      <c r="A190" t="s">
        <v>237</v>
      </c>
      <c r="B190" t="s">
        <v>749</v>
      </c>
      <c r="C190" t="s">
        <v>235</v>
      </c>
      <c r="D190" t="s">
        <v>9</v>
      </c>
      <c r="E190" t="s">
        <v>10</v>
      </c>
      <c r="F190" s="27" t="str">
        <f>IF('Working Sheet'!B289="ITEM",'Working Sheet'!E289,"")</f>
        <v>72</v>
      </c>
      <c r="G190" s="27">
        <f>IF('Working Sheet'!B289="ITEM",'Working Sheet'!F289,"")</f>
        <v>230.74209999999999</v>
      </c>
      <c r="H190" s="27">
        <f>IF('Working Sheet'!B289="ITEM",'Working Sheet'!G289,"")</f>
        <v>277.85789999999997</v>
      </c>
      <c r="I190" s="27">
        <f>IF('Working Sheet'!B289="ITEM",'Working Sheet'!H289,"")</f>
        <v>133.2149</v>
      </c>
      <c r="J190">
        <f>IF('Working Sheet'!B289="ITEM",'Working Sheet'!I289,"")</f>
        <v>11792.3397</v>
      </c>
      <c r="K190">
        <f>IF('Working Sheet'!B289="ITEM",'Working Sheet'!J289,"")</f>
        <v>14416.314700000001</v>
      </c>
      <c r="L190">
        <f>IF('Working Sheet'!B289="ITEM",'Working Sheet'!K289,"")</f>
        <v>6626.5474000000004</v>
      </c>
      <c r="M190" s="33">
        <f>IFERROR(Table2[[#This Row],[Value(1000$) 2022]]/Table2[[#This Row],[Volume(1000) 2022]],0)</f>
        <v>1.9567117795970548E-2</v>
      </c>
      <c r="N190" s="33">
        <f>IFERROR(Table2[[#This Row],[Value(1000$) 2023]]/Table2[[#This Row],[Volume(1000) 2023]],0)</f>
        <v>1.9273850896165574E-2</v>
      </c>
      <c r="O190" s="33">
        <f>IFERROR(Table2[[#This Row],[Value(1000$) 2024]]/Table2[[#This Row],[Volume(1000) 2024]],0)</f>
        <v>2.0103213930077673E-2</v>
      </c>
      <c r="P190" s="33">
        <f>SUM(Table2[[#This Row],[Value(1000$) 2022]:[Value(1000$) 2024]])</f>
        <v>641.81489999999997</v>
      </c>
      <c r="Q190" s="33">
        <f>SUM(Table2[[#This Row],[Volume(1000) 2022]:[Volume(1000) 2024]])</f>
        <v>32835.201800000003</v>
      </c>
      <c r="R190" s="33">
        <f>AVERAGE(Table2[[#This Row],[Average Price(2022)]:[Average Price(2024)]])</f>
        <v>1.9648060874071265E-2</v>
      </c>
    </row>
    <row r="191" spans="1:18" x14ac:dyDescent="0.3">
      <c r="A191" t="s">
        <v>239</v>
      </c>
      <c r="B191" t="s">
        <v>750</v>
      </c>
      <c r="C191" t="s">
        <v>238</v>
      </c>
      <c r="D191" t="s">
        <v>9</v>
      </c>
      <c r="E191" t="s">
        <v>64</v>
      </c>
      <c r="F191" s="27" t="str">
        <f>IF('Working Sheet'!B292="ITEM",'Working Sheet'!E292,"")</f>
        <v>40</v>
      </c>
      <c r="G191" s="27">
        <f>IF('Working Sheet'!B292="ITEM",'Working Sheet'!F292,"")</f>
        <v>0</v>
      </c>
      <c r="H191" s="27">
        <f>IF('Working Sheet'!B292="ITEM",'Working Sheet'!G292,"")</f>
        <v>0</v>
      </c>
      <c r="I191" s="27">
        <f>IF('Working Sheet'!B292="ITEM",'Working Sheet'!H292,"")</f>
        <v>0</v>
      </c>
      <c r="J191">
        <f>IF('Working Sheet'!B292="ITEM",'Working Sheet'!I292,"")</f>
        <v>0</v>
      </c>
      <c r="K191">
        <f>IF('Working Sheet'!B292="ITEM",'Working Sheet'!J292,"")</f>
        <v>0</v>
      </c>
      <c r="L191">
        <f>IF('Working Sheet'!B292="ITEM",'Working Sheet'!K292,"")</f>
        <v>0</v>
      </c>
      <c r="M191" s="33">
        <f>IFERROR(Table2[[#This Row],[Value(1000$) 2022]]/Table2[[#This Row],[Volume(1000) 2022]],0)</f>
        <v>0</v>
      </c>
      <c r="N191" s="33">
        <f>IFERROR(Table2[[#This Row],[Value(1000$) 2023]]/Table2[[#This Row],[Volume(1000) 2023]],0)</f>
        <v>0</v>
      </c>
      <c r="O191" s="33">
        <f>IFERROR(Table2[[#This Row],[Value(1000$) 2024]]/Table2[[#This Row],[Volume(1000) 2024]],0)</f>
        <v>0</v>
      </c>
      <c r="P191" s="33">
        <f>SUM(Table2[[#This Row],[Value(1000$) 2022]:[Value(1000$) 2024]])</f>
        <v>0</v>
      </c>
      <c r="Q191" s="33">
        <f>SUM(Table2[[#This Row],[Volume(1000) 2022]:[Volume(1000) 2024]])</f>
        <v>0</v>
      </c>
      <c r="R191" s="33">
        <f>AVERAGE(Table2[[#This Row],[Average Price(2022)]:[Average Price(2024)]])</f>
        <v>0</v>
      </c>
    </row>
    <row r="192" spans="1:18" x14ac:dyDescent="0.3">
      <c r="A192" t="s">
        <v>240</v>
      </c>
      <c r="B192" t="s">
        <v>750</v>
      </c>
      <c r="C192" t="s">
        <v>238</v>
      </c>
      <c r="D192" t="s">
        <v>9</v>
      </c>
      <c r="E192" t="s">
        <v>20</v>
      </c>
      <c r="F192" s="27" t="str">
        <f>IF('Working Sheet'!B293="ITEM",'Working Sheet'!E293,"")</f>
        <v>50</v>
      </c>
      <c r="G192" s="27">
        <f>IF('Working Sheet'!B293="ITEM",'Working Sheet'!F293,"")</f>
        <v>0.37059999999999998</v>
      </c>
      <c r="H192" s="27">
        <f>IF('Working Sheet'!B293="ITEM",'Working Sheet'!G293,"")</f>
        <v>0.24890000000000001</v>
      </c>
      <c r="I192" s="27">
        <f>IF('Working Sheet'!B293="ITEM",'Working Sheet'!H293,"")</f>
        <v>0</v>
      </c>
      <c r="J192">
        <f>IF('Working Sheet'!B293="ITEM",'Working Sheet'!I293,"")</f>
        <v>9.2727000000000004</v>
      </c>
      <c r="K192">
        <f>IF('Working Sheet'!B293="ITEM",'Working Sheet'!J293,"")</f>
        <v>7.0415000000000001</v>
      </c>
      <c r="L192">
        <f>IF('Working Sheet'!B293="ITEM",'Working Sheet'!K293,"")</f>
        <v>0</v>
      </c>
      <c r="M192" s="33">
        <f>IFERROR(Table2[[#This Row],[Value(1000$) 2022]]/Table2[[#This Row],[Volume(1000) 2022]],0)</f>
        <v>3.9966784216032003E-2</v>
      </c>
      <c r="N192" s="33">
        <f>IFERROR(Table2[[#This Row],[Value(1000$) 2023]]/Table2[[#This Row],[Volume(1000) 2023]],0)</f>
        <v>3.5347582191294469E-2</v>
      </c>
      <c r="O192" s="33">
        <f>IFERROR(Table2[[#This Row],[Value(1000$) 2024]]/Table2[[#This Row],[Volume(1000) 2024]],0)</f>
        <v>0</v>
      </c>
      <c r="P192" s="33">
        <f>SUM(Table2[[#This Row],[Value(1000$) 2022]:[Value(1000$) 2024]])</f>
        <v>0.61949999999999994</v>
      </c>
      <c r="Q192" s="33">
        <f>SUM(Table2[[#This Row],[Volume(1000) 2022]:[Volume(1000) 2024]])</f>
        <v>16.3142</v>
      </c>
      <c r="R192" s="33">
        <f>AVERAGE(Table2[[#This Row],[Average Price(2022)]:[Average Price(2024)]])</f>
        <v>2.5104788802442157E-2</v>
      </c>
    </row>
    <row r="193" spans="1:18" x14ac:dyDescent="0.3">
      <c r="A193" t="s">
        <v>241</v>
      </c>
      <c r="B193" t="s">
        <v>750</v>
      </c>
      <c r="C193" t="s">
        <v>238</v>
      </c>
      <c r="D193" t="s">
        <v>9</v>
      </c>
      <c r="E193" t="s">
        <v>20</v>
      </c>
      <c r="F193" s="27" t="str">
        <f>IF('Working Sheet'!B294="ITEM",'Working Sheet'!E294,"")</f>
        <v>60</v>
      </c>
      <c r="G193" s="27">
        <f>IF('Working Sheet'!B294="ITEM",'Working Sheet'!F294,"")</f>
        <v>29.4162</v>
      </c>
      <c r="H193" s="27">
        <f>IF('Working Sheet'!B294="ITEM",'Working Sheet'!G294,"")</f>
        <v>107.9663</v>
      </c>
      <c r="I193" s="27">
        <f>IF('Working Sheet'!B294="ITEM",'Working Sheet'!H294,"")</f>
        <v>52.6723</v>
      </c>
      <c r="J193">
        <f>IF('Working Sheet'!B294="ITEM",'Working Sheet'!I294,"")</f>
        <v>866.39819999999997</v>
      </c>
      <c r="K193">
        <f>IF('Working Sheet'!B294="ITEM",'Working Sheet'!J294,"")</f>
        <v>3176.0981999999999</v>
      </c>
      <c r="L193">
        <f>IF('Working Sheet'!B294="ITEM",'Working Sheet'!K294,"")</f>
        <v>1396.3396</v>
      </c>
      <c r="M193" s="33">
        <f>IFERROR(Table2[[#This Row],[Value(1000$) 2022]]/Table2[[#This Row],[Volume(1000) 2022]],0)</f>
        <v>3.3952286604473553E-2</v>
      </c>
      <c r="N193" s="33">
        <f>IFERROR(Table2[[#This Row],[Value(1000$) 2023]]/Table2[[#This Row],[Volume(1000) 2023]],0)</f>
        <v>3.3993375897508463E-2</v>
      </c>
      <c r="O193" s="33">
        <f>IFERROR(Table2[[#This Row],[Value(1000$) 2024]]/Table2[[#This Row],[Volume(1000) 2024]],0)</f>
        <v>3.7721697501095004E-2</v>
      </c>
      <c r="P193" s="33">
        <f>SUM(Table2[[#This Row],[Value(1000$) 2022]:[Value(1000$) 2024]])</f>
        <v>190.0548</v>
      </c>
      <c r="Q193" s="33">
        <f>SUM(Table2[[#This Row],[Volume(1000) 2022]:[Volume(1000) 2024]])</f>
        <v>5438.8360000000002</v>
      </c>
      <c r="R193" s="33">
        <f>AVERAGE(Table2[[#This Row],[Average Price(2022)]:[Average Price(2024)]])</f>
        <v>3.5222453334359007E-2</v>
      </c>
    </row>
    <row r="194" spans="1:18" x14ac:dyDescent="0.3">
      <c r="A194" t="s">
        <v>242</v>
      </c>
      <c r="B194" t="s">
        <v>750</v>
      </c>
      <c r="C194" t="s">
        <v>238</v>
      </c>
      <c r="D194" t="s">
        <v>9</v>
      </c>
      <c r="E194" t="s">
        <v>20</v>
      </c>
      <c r="F194" s="27" t="str">
        <f>IF('Working Sheet'!B295="ITEM",'Working Sheet'!E295,"")</f>
        <v>60</v>
      </c>
      <c r="G194" s="27">
        <f>IF('Working Sheet'!B295="ITEM",'Working Sheet'!F295,"")</f>
        <v>2.2702</v>
      </c>
      <c r="H194" s="27">
        <f>IF('Working Sheet'!B295="ITEM",'Working Sheet'!G295,"")</f>
        <v>6.8476999999999997</v>
      </c>
      <c r="I194" s="27">
        <f>IF('Working Sheet'!B295="ITEM",'Working Sheet'!H295,"")</f>
        <v>4.3963000000000001</v>
      </c>
      <c r="J194">
        <f>IF('Working Sheet'!B295="ITEM",'Working Sheet'!I295,"")</f>
        <v>71.277600000000007</v>
      </c>
      <c r="K194">
        <f>IF('Working Sheet'!B295="ITEM",'Working Sheet'!J295,"")</f>
        <v>210.60059999999999</v>
      </c>
      <c r="L194">
        <f>IF('Working Sheet'!B295="ITEM",'Working Sheet'!K295,"")</f>
        <v>121.2728</v>
      </c>
      <c r="M194" s="33">
        <f>IFERROR(Table2[[#This Row],[Value(1000$) 2022]]/Table2[[#This Row],[Volume(1000) 2022]],0)</f>
        <v>3.1850118410271945E-2</v>
      </c>
      <c r="N194" s="33">
        <f>IFERROR(Table2[[#This Row],[Value(1000$) 2023]]/Table2[[#This Row],[Volume(1000) 2023]],0)</f>
        <v>3.2515102046242986E-2</v>
      </c>
      <c r="O194" s="33">
        <f>IFERROR(Table2[[#This Row],[Value(1000$) 2024]]/Table2[[#This Row],[Volume(1000) 2024]],0)</f>
        <v>3.6251327585410741E-2</v>
      </c>
      <c r="P194" s="33">
        <f>SUM(Table2[[#This Row],[Value(1000$) 2022]:[Value(1000$) 2024]])</f>
        <v>13.514199999999999</v>
      </c>
      <c r="Q194" s="33">
        <f>SUM(Table2[[#This Row],[Volume(1000) 2022]:[Volume(1000) 2024]])</f>
        <v>403.15100000000001</v>
      </c>
      <c r="R194" s="33">
        <f>AVERAGE(Table2[[#This Row],[Average Price(2022)]:[Average Price(2024)]])</f>
        <v>3.3538849347308559E-2</v>
      </c>
    </row>
    <row r="195" spans="1:18" x14ac:dyDescent="0.3">
      <c r="A195" t="s">
        <v>243</v>
      </c>
      <c r="B195" t="s">
        <v>750</v>
      </c>
      <c r="C195" t="s">
        <v>238</v>
      </c>
      <c r="D195" t="s">
        <v>9</v>
      </c>
      <c r="E195" t="s">
        <v>20</v>
      </c>
      <c r="F195" s="27" t="str">
        <f>IF('Working Sheet'!B296="ITEM",'Working Sheet'!E296,"")</f>
        <v>60</v>
      </c>
      <c r="G195" s="27">
        <f>IF('Working Sheet'!B296="ITEM",'Working Sheet'!F296,"")</f>
        <v>296.26589999999999</v>
      </c>
      <c r="H195" s="27">
        <f>IF('Working Sheet'!B296="ITEM",'Working Sheet'!G296,"")</f>
        <v>290.55259999999998</v>
      </c>
      <c r="I195" s="27">
        <f>IF('Working Sheet'!B296="ITEM",'Working Sheet'!H296,"")</f>
        <v>128.1713</v>
      </c>
      <c r="J195">
        <f>IF('Working Sheet'!B296="ITEM",'Working Sheet'!I296,"")</f>
        <v>8749.3634000000002</v>
      </c>
      <c r="K195">
        <f>IF('Working Sheet'!B296="ITEM",'Working Sheet'!J296,"")</f>
        <v>8593.8201000000008</v>
      </c>
      <c r="L195">
        <f>IF('Working Sheet'!B296="ITEM",'Working Sheet'!K296,"")</f>
        <v>3618.6093999999998</v>
      </c>
      <c r="M195" s="33">
        <f>IFERROR(Table2[[#This Row],[Value(1000$) 2022]]/Table2[[#This Row],[Volume(1000) 2022]],0)</f>
        <v>3.3861423563684642E-2</v>
      </c>
      <c r="N195" s="33">
        <f>IFERROR(Table2[[#This Row],[Value(1000$) 2023]]/Table2[[#This Row],[Volume(1000) 2023]],0)</f>
        <v>3.3809481303896501E-2</v>
      </c>
      <c r="O195" s="33">
        <f>IFERROR(Table2[[#This Row],[Value(1000$) 2024]]/Table2[[#This Row],[Volume(1000) 2024]],0)</f>
        <v>3.5420042848504182E-2</v>
      </c>
      <c r="P195" s="33">
        <f>SUM(Table2[[#This Row],[Value(1000$) 2022]:[Value(1000$) 2024]])</f>
        <v>714.98979999999995</v>
      </c>
      <c r="Q195" s="33">
        <f>SUM(Table2[[#This Row],[Volume(1000) 2022]:[Volume(1000) 2024]])</f>
        <v>20961.7929</v>
      </c>
      <c r="R195" s="33">
        <f>AVERAGE(Table2[[#This Row],[Average Price(2022)]:[Average Price(2024)]])</f>
        <v>3.4363649238695108E-2</v>
      </c>
    </row>
    <row r="196" spans="1:18" x14ac:dyDescent="0.3">
      <c r="A196" t="s">
        <v>244</v>
      </c>
      <c r="B196" t="s">
        <v>750</v>
      </c>
      <c r="C196" t="s">
        <v>238</v>
      </c>
      <c r="D196" t="s">
        <v>9</v>
      </c>
      <c r="E196" t="s">
        <v>20</v>
      </c>
      <c r="F196" s="27" t="str">
        <f>IF('Working Sheet'!B297="ITEM",'Working Sheet'!E297,"")</f>
        <v>60</v>
      </c>
      <c r="G196" s="27">
        <f>IF('Working Sheet'!B297="ITEM",'Working Sheet'!F297,"")</f>
        <v>2.9716999999999998</v>
      </c>
      <c r="H196" s="27">
        <f>IF('Working Sheet'!B297="ITEM",'Working Sheet'!G297,"")</f>
        <v>0.47810000000000002</v>
      </c>
      <c r="I196" s="27">
        <f>IF('Working Sheet'!B297="ITEM",'Working Sheet'!H297,"")</f>
        <v>0.26490000000000002</v>
      </c>
      <c r="J196">
        <f>IF('Working Sheet'!B297="ITEM",'Working Sheet'!I297,"")</f>
        <v>93.2804</v>
      </c>
      <c r="K196">
        <f>IF('Working Sheet'!B297="ITEM",'Working Sheet'!J297,"")</f>
        <v>14.5885</v>
      </c>
      <c r="L196">
        <f>IF('Working Sheet'!B297="ITEM",'Working Sheet'!K297,"")</f>
        <v>7.5808999999999997</v>
      </c>
      <c r="M196" s="33">
        <f>IFERROR(Table2[[#This Row],[Value(1000$) 2022]]/Table2[[#This Row],[Volume(1000) 2022]],0)</f>
        <v>3.1857710730228424E-2</v>
      </c>
      <c r="N196" s="33">
        <f>IFERROR(Table2[[#This Row],[Value(1000$) 2023]]/Table2[[#This Row],[Volume(1000) 2023]],0)</f>
        <v>3.2772389210679646E-2</v>
      </c>
      <c r="O196" s="33">
        <f>IFERROR(Table2[[#This Row],[Value(1000$) 2024]]/Table2[[#This Row],[Volume(1000) 2024]],0)</f>
        <v>3.4943080636863702E-2</v>
      </c>
      <c r="P196" s="33">
        <f>SUM(Table2[[#This Row],[Value(1000$) 2022]:[Value(1000$) 2024]])</f>
        <v>3.7146999999999997</v>
      </c>
      <c r="Q196" s="33">
        <f>SUM(Table2[[#This Row],[Volume(1000) 2022]:[Volume(1000) 2024]])</f>
        <v>115.4498</v>
      </c>
      <c r="R196" s="33">
        <f>AVERAGE(Table2[[#This Row],[Average Price(2022)]:[Average Price(2024)]])</f>
        <v>3.3191060192590591E-2</v>
      </c>
    </row>
    <row r="197" spans="1:18" x14ac:dyDescent="0.3">
      <c r="A197" t="s">
        <v>245</v>
      </c>
      <c r="B197" t="s">
        <v>750</v>
      </c>
      <c r="C197" t="s">
        <v>238</v>
      </c>
      <c r="D197" t="s">
        <v>9</v>
      </c>
      <c r="E197" t="s">
        <v>20</v>
      </c>
      <c r="F197" s="27" t="str">
        <f>IF('Working Sheet'!B298="ITEM",'Working Sheet'!E298,"")</f>
        <v>63</v>
      </c>
      <c r="G197" s="27">
        <f>IF('Working Sheet'!B298="ITEM",'Working Sheet'!F298,"")</f>
        <v>0.21840000000000001</v>
      </c>
      <c r="H197" s="27">
        <f>IF('Working Sheet'!B298="ITEM",'Working Sheet'!G298,"")</f>
        <v>0</v>
      </c>
      <c r="I197" s="27">
        <f>IF('Working Sheet'!B298="ITEM",'Working Sheet'!H298,"")</f>
        <v>0</v>
      </c>
      <c r="J197">
        <f>IF('Working Sheet'!B298="ITEM",'Working Sheet'!I298,"")</f>
        <v>7.3784000000000001</v>
      </c>
      <c r="K197">
        <f>IF('Working Sheet'!B298="ITEM",'Working Sheet'!J298,"")</f>
        <v>0</v>
      </c>
      <c r="L197">
        <f>IF('Working Sheet'!B298="ITEM",'Working Sheet'!K298,"")</f>
        <v>0</v>
      </c>
      <c r="M197" s="33">
        <f>IFERROR(Table2[[#This Row],[Value(1000$) 2022]]/Table2[[#This Row],[Volume(1000) 2022]],0)</f>
        <v>2.9599913260327442E-2</v>
      </c>
      <c r="N197" s="33">
        <f>IFERROR(Table2[[#This Row],[Value(1000$) 2023]]/Table2[[#This Row],[Volume(1000) 2023]],0)</f>
        <v>0</v>
      </c>
      <c r="O197" s="33">
        <f>IFERROR(Table2[[#This Row],[Value(1000$) 2024]]/Table2[[#This Row],[Volume(1000) 2024]],0)</f>
        <v>0</v>
      </c>
      <c r="P197" s="33">
        <f>SUM(Table2[[#This Row],[Value(1000$) 2022]:[Value(1000$) 2024]])</f>
        <v>0.21840000000000001</v>
      </c>
      <c r="Q197" s="33">
        <f>SUM(Table2[[#This Row],[Volume(1000) 2022]:[Volume(1000) 2024]])</f>
        <v>7.3784000000000001</v>
      </c>
      <c r="R197" s="33">
        <f>AVERAGE(Table2[[#This Row],[Average Price(2022)]:[Average Price(2024)]])</f>
        <v>9.8666377534424813E-3</v>
      </c>
    </row>
    <row r="198" spans="1:18" x14ac:dyDescent="0.3">
      <c r="A198" t="s">
        <v>246</v>
      </c>
      <c r="B198" t="s">
        <v>750</v>
      </c>
      <c r="C198" t="s">
        <v>238</v>
      </c>
      <c r="D198" t="s">
        <v>9</v>
      </c>
      <c r="E198" t="s">
        <v>10</v>
      </c>
      <c r="F198" s="27" t="str">
        <f>IF('Working Sheet'!B299="ITEM",'Working Sheet'!E299,"")</f>
        <v>63</v>
      </c>
      <c r="G198" s="27">
        <f>IF('Working Sheet'!B299="ITEM",'Working Sheet'!F299,"")</f>
        <v>0.50360000000000005</v>
      </c>
      <c r="H198" s="27">
        <f>IF('Working Sheet'!B299="ITEM",'Working Sheet'!G299,"")</f>
        <v>0</v>
      </c>
      <c r="I198" s="27">
        <f>IF('Working Sheet'!B299="ITEM",'Working Sheet'!H299,"")</f>
        <v>0</v>
      </c>
      <c r="J198">
        <f>IF('Working Sheet'!B299="ITEM",'Working Sheet'!I299,"")</f>
        <v>14.988200000000001</v>
      </c>
      <c r="K198">
        <f>IF('Working Sheet'!B299="ITEM",'Working Sheet'!J299,"")</f>
        <v>0</v>
      </c>
      <c r="L198">
        <f>IF('Working Sheet'!B299="ITEM",'Working Sheet'!K299,"")</f>
        <v>0</v>
      </c>
      <c r="M198" s="33">
        <f>IFERROR(Table2[[#This Row],[Value(1000$) 2022]]/Table2[[#This Row],[Volume(1000) 2022]],0)</f>
        <v>3.3599765148583552E-2</v>
      </c>
      <c r="N198" s="33">
        <f>IFERROR(Table2[[#This Row],[Value(1000$) 2023]]/Table2[[#This Row],[Volume(1000) 2023]],0)</f>
        <v>0</v>
      </c>
      <c r="O198" s="33">
        <f>IFERROR(Table2[[#This Row],[Value(1000$) 2024]]/Table2[[#This Row],[Volume(1000) 2024]],0)</f>
        <v>0</v>
      </c>
      <c r="P198" s="33">
        <f>SUM(Table2[[#This Row],[Value(1000$) 2022]:[Value(1000$) 2024]])</f>
        <v>0.50360000000000005</v>
      </c>
      <c r="Q198" s="33">
        <f>SUM(Table2[[#This Row],[Volume(1000) 2022]:[Volume(1000) 2024]])</f>
        <v>14.988200000000001</v>
      </c>
      <c r="R198" s="33">
        <f>AVERAGE(Table2[[#This Row],[Average Price(2022)]:[Average Price(2024)]])</f>
        <v>1.1199921716194517E-2</v>
      </c>
    </row>
    <row r="199" spans="1:18" x14ac:dyDescent="0.3">
      <c r="A199" t="s">
        <v>248</v>
      </c>
      <c r="B199" t="s">
        <v>751</v>
      </c>
      <c r="C199" t="s">
        <v>247</v>
      </c>
      <c r="D199" t="s">
        <v>9</v>
      </c>
      <c r="E199" t="s">
        <v>249</v>
      </c>
      <c r="F199" s="27" t="str">
        <f>IF('Working Sheet'!B302="ITEM",'Working Sheet'!E302,"")</f>
        <v>20</v>
      </c>
      <c r="G199" s="27">
        <f>IF('Working Sheet'!B302="ITEM",'Working Sheet'!F302,"")</f>
        <v>0.17610000000000001</v>
      </c>
      <c r="H199" s="27">
        <f>IF('Working Sheet'!B302="ITEM",'Working Sheet'!G302,"")</f>
        <v>1.0699999999999999E-2</v>
      </c>
      <c r="I199" s="27">
        <f>IF('Working Sheet'!B302="ITEM",'Working Sheet'!H302,"")</f>
        <v>0</v>
      </c>
      <c r="J199">
        <f>IF('Working Sheet'!B302="ITEM",'Working Sheet'!I302,"")</f>
        <v>3.1602000000000001</v>
      </c>
      <c r="K199">
        <f>IF('Working Sheet'!B302="ITEM",'Working Sheet'!J302,"")</f>
        <v>0.19450000000000001</v>
      </c>
      <c r="L199">
        <f>IF('Working Sheet'!B302="ITEM",'Working Sheet'!K302,"")</f>
        <v>0</v>
      </c>
      <c r="M199" s="33">
        <f>IFERROR(Table2[[#This Row],[Value(1000$) 2022]]/Table2[[#This Row],[Volume(1000) 2022]],0)</f>
        <v>5.5724321245490795E-2</v>
      </c>
      <c r="N199" s="33">
        <f>IFERROR(Table2[[#This Row],[Value(1000$) 2023]]/Table2[[#This Row],[Volume(1000) 2023]],0)</f>
        <v>5.5012853470437016E-2</v>
      </c>
      <c r="O199" s="33">
        <f>IFERROR(Table2[[#This Row],[Value(1000$) 2024]]/Table2[[#This Row],[Volume(1000) 2024]],0)</f>
        <v>0</v>
      </c>
      <c r="P199" s="33">
        <f>SUM(Table2[[#This Row],[Value(1000$) 2022]:[Value(1000$) 2024]])</f>
        <v>0.18679999999999999</v>
      </c>
      <c r="Q199" s="33">
        <f>SUM(Table2[[#This Row],[Volume(1000) 2022]:[Volume(1000) 2024]])</f>
        <v>3.3547000000000002</v>
      </c>
      <c r="R199" s="33">
        <f>AVERAGE(Table2[[#This Row],[Average Price(2022)]:[Average Price(2024)]])</f>
        <v>3.6912391571975935E-2</v>
      </c>
    </row>
    <row r="200" spans="1:18" x14ac:dyDescent="0.3">
      <c r="A200" t="s">
        <v>250</v>
      </c>
      <c r="B200" t="s">
        <v>751</v>
      </c>
      <c r="C200" t="s">
        <v>247</v>
      </c>
      <c r="D200" t="s">
        <v>9</v>
      </c>
      <c r="E200" t="s">
        <v>249</v>
      </c>
      <c r="F200" s="27" t="str">
        <f>IF('Working Sheet'!B303="ITEM",'Working Sheet'!E303,"")</f>
        <v>20</v>
      </c>
      <c r="G200" s="27">
        <f>IF('Working Sheet'!B303="ITEM",'Working Sheet'!F303,"")</f>
        <v>0.50239999999999996</v>
      </c>
      <c r="H200" s="27">
        <f>IF('Working Sheet'!B303="ITEM",'Working Sheet'!G303,"")</f>
        <v>6.6451000000000002</v>
      </c>
      <c r="I200" s="27">
        <f>IF('Working Sheet'!B303="ITEM",'Working Sheet'!H303,"")</f>
        <v>0</v>
      </c>
      <c r="J200">
        <f>IF('Working Sheet'!B303="ITEM",'Working Sheet'!I303,"")</f>
        <v>10.56</v>
      </c>
      <c r="K200">
        <f>IF('Working Sheet'!B303="ITEM",'Working Sheet'!J303,"")</f>
        <v>115.3312</v>
      </c>
      <c r="L200">
        <f>IF('Working Sheet'!B303="ITEM",'Working Sheet'!K303,"")</f>
        <v>0</v>
      </c>
      <c r="M200" s="33">
        <f>IFERROR(Table2[[#This Row],[Value(1000$) 2022]]/Table2[[#This Row],[Volume(1000) 2022]],0)</f>
        <v>4.757575757575757E-2</v>
      </c>
      <c r="N200" s="33">
        <f>IFERROR(Table2[[#This Row],[Value(1000$) 2023]]/Table2[[#This Row],[Volume(1000) 2023]],0)</f>
        <v>5.7617539746399937E-2</v>
      </c>
      <c r="O200" s="33">
        <f>IFERROR(Table2[[#This Row],[Value(1000$) 2024]]/Table2[[#This Row],[Volume(1000) 2024]],0)</f>
        <v>0</v>
      </c>
      <c r="P200" s="33">
        <f>SUM(Table2[[#This Row],[Value(1000$) 2022]:[Value(1000$) 2024]])</f>
        <v>7.1475</v>
      </c>
      <c r="Q200" s="33">
        <f>SUM(Table2[[#This Row],[Volume(1000) 2022]:[Volume(1000) 2024]])</f>
        <v>125.8912</v>
      </c>
      <c r="R200" s="33">
        <f>AVERAGE(Table2[[#This Row],[Average Price(2022)]:[Average Price(2024)]])</f>
        <v>3.5064432440719169E-2</v>
      </c>
    </row>
    <row r="201" spans="1:18" x14ac:dyDescent="0.3">
      <c r="A201" t="s">
        <v>251</v>
      </c>
      <c r="B201" t="s">
        <v>751</v>
      </c>
      <c r="C201" t="s">
        <v>247</v>
      </c>
      <c r="D201" t="s">
        <v>9</v>
      </c>
      <c r="E201" t="s">
        <v>249</v>
      </c>
      <c r="F201" s="27" t="str">
        <f>IF('Working Sheet'!B304="ITEM",'Working Sheet'!E304,"")</f>
        <v>56</v>
      </c>
      <c r="G201" s="27">
        <f>IF('Working Sheet'!B304="ITEM",'Working Sheet'!F304,"")</f>
        <v>0.31990000000000002</v>
      </c>
      <c r="H201" s="27">
        <f>IF('Working Sheet'!B304="ITEM",'Working Sheet'!G304,"")</f>
        <v>0</v>
      </c>
      <c r="I201" s="27">
        <f>IF('Working Sheet'!B304="ITEM",'Working Sheet'!H304,"")</f>
        <v>0</v>
      </c>
      <c r="J201">
        <f>IF('Working Sheet'!B304="ITEM",'Working Sheet'!I304,"")</f>
        <v>7.3638000000000003</v>
      </c>
      <c r="K201">
        <f>IF('Working Sheet'!B304="ITEM",'Working Sheet'!J304,"")</f>
        <v>0</v>
      </c>
      <c r="L201">
        <f>IF('Working Sheet'!B304="ITEM",'Working Sheet'!K304,"")</f>
        <v>0</v>
      </c>
      <c r="M201" s="33">
        <f>IFERROR(Table2[[#This Row],[Value(1000$) 2022]]/Table2[[#This Row],[Volume(1000) 2022]],0)</f>
        <v>4.3442244493332248E-2</v>
      </c>
      <c r="N201" s="33">
        <f>IFERROR(Table2[[#This Row],[Value(1000$) 2023]]/Table2[[#This Row],[Volume(1000) 2023]],0)</f>
        <v>0</v>
      </c>
      <c r="O201" s="33">
        <f>IFERROR(Table2[[#This Row],[Value(1000$) 2024]]/Table2[[#This Row],[Volume(1000) 2024]],0)</f>
        <v>0</v>
      </c>
      <c r="P201" s="33">
        <f>SUM(Table2[[#This Row],[Value(1000$) 2022]:[Value(1000$) 2024]])</f>
        <v>0.31990000000000002</v>
      </c>
      <c r="Q201" s="33">
        <f>SUM(Table2[[#This Row],[Volume(1000) 2022]:[Volume(1000) 2024]])</f>
        <v>7.3638000000000003</v>
      </c>
      <c r="R201" s="33">
        <f>AVERAGE(Table2[[#This Row],[Average Price(2022)]:[Average Price(2024)]])</f>
        <v>1.4480748164444083E-2</v>
      </c>
    </row>
    <row r="202" spans="1:18" x14ac:dyDescent="0.3">
      <c r="A202" t="s">
        <v>252</v>
      </c>
      <c r="B202" t="s">
        <v>751</v>
      </c>
      <c r="C202" t="s">
        <v>247</v>
      </c>
      <c r="D202" t="s">
        <v>9</v>
      </c>
      <c r="E202" t="s">
        <v>249</v>
      </c>
      <c r="F202" s="27" t="str">
        <f>IF('Working Sheet'!B305="ITEM",'Working Sheet'!E305,"")</f>
        <v>56</v>
      </c>
      <c r="G202" s="27">
        <f>IF('Working Sheet'!B305="ITEM",'Working Sheet'!F305,"")</f>
        <v>3.0116000000000001</v>
      </c>
      <c r="H202" s="27">
        <f>IF('Working Sheet'!B305="ITEM",'Working Sheet'!G305,"")</f>
        <v>0</v>
      </c>
      <c r="I202" s="27">
        <f>IF('Working Sheet'!B305="ITEM",'Working Sheet'!H305,"")</f>
        <v>0</v>
      </c>
      <c r="J202">
        <f>IF('Working Sheet'!B305="ITEM",'Working Sheet'!I305,"")</f>
        <v>62.468000000000004</v>
      </c>
      <c r="K202">
        <f>IF('Working Sheet'!B305="ITEM",'Working Sheet'!J305,"")</f>
        <v>0</v>
      </c>
      <c r="L202">
        <f>IF('Working Sheet'!B305="ITEM",'Working Sheet'!K305,"")</f>
        <v>0</v>
      </c>
      <c r="M202" s="33">
        <f>IFERROR(Table2[[#This Row],[Value(1000$) 2022]]/Table2[[#This Row],[Volume(1000) 2022]],0)</f>
        <v>4.8210283665236602E-2</v>
      </c>
      <c r="N202" s="33">
        <f>IFERROR(Table2[[#This Row],[Value(1000$) 2023]]/Table2[[#This Row],[Volume(1000) 2023]],0)</f>
        <v>0</v>
      </c>
      <c r="O202" s="33">
        <f>IFERROR(Table2[[#This Row],[Value(1000$) 2024]]/Table2[[#This Row],[Volume(1000) 2024]],0)</f>
        <v>0</v>
      </c>
      <c r="P202" s="33">
        <f>SUM(Table2[[#This Row],[Value(1000$) 2022]:[Value(1000$) 2024]])</f>
        <v>3.0116000000000001</v>
      </c>
      <c r="Q202" s="33">
        <f>SUM(Table2[[#This Row],[Volume(1000) 2022]:[Volume(1000) 2024]])</f>
        <v>62.468000000000004</v>
      </c>
      <c r="R202" s="33">
        <f>AVERAGE(Table2[[#This Row],[Average Price(2022)]:[Average Price(2024)]])</f>
        <v>1.6070094555078868E-2</v>
      </c>
    </row>
    <row r="203" spans="1:18" x14ac:dyDescent="0.3">
      <c r="A203" t="s">
        <v>254</v>
      </c>
      <c r="B203" t="s">
        <v>752</v>
      </c>
      <c r="C203" t="s">
        <v>253</v>
      </c>
      <c r="D203" t="s">
        <v>9</v>
      </c>
      <c r="E203" t="s">
        <v>20</v>
      </c>
      <c r="F203" s="27" t="str">
        <f>IF('Working Sheet'!B308="ITEM",'Working Sheet'!E308,"")</f>
        <v>10</v>
      </c>
      <c r="G203" s="27">
        <f>IF('Working Sheet'!B308="ITEM",'Working Sheet'!F308,"")</f>
        <v>1.7111000000000001</v>
      </c>
      <c r="H203" s="27">
        <f>IF('Working Sheet'!B308="ITEM",'Working Sheet'!G308,"")</f>
        <v>0.48920000000000002</v>
      </c>
      <c r="I203" s="27">
        <f>IF('Working Sheet'!B308="ITEM",'Working Sheet'!H308,"")</f>
        <v>7.6600000000000001E-2</v>
      </c>
      <c r="J203">
        <f>IF('Working Sheet'!B308="ITEM",'Working Sheet'!I308,"")</f>
        <v>14.330299999999999</v>
      </c>
      <c r="K203">
        <f>IF('Working Sheet'!B308="ITEM",'Working Sheet'!J308,"")</f>
        <v>3.8454999999999999</v>
      </c>
      <c r="L203">
        <f>IF('Working Sheet'!B308="ITEM",'Working Sheet'!K308,"")</f>
        <v>0.62309999999999999</v>
      </c>
      <c r="M203" s="33">
        <f>IFERROR(Table2[[#This Row],[Value(1000$) 2022]]/Table2[[#This Row],[Volume(1000) 2022]],0)</f>
        <v>0.11940433905780061</v>
      </c>
      <c r="N203" s="33">
        <f>IFERROR(Table2[[#This Row],[Value(1000$) 2023]]/Table2[[#This Row],[Volume(1000) 2023]],0)</f>
        <v>0.12721362631647382</v>
      </c>
      <c r="O203" s="33">
        <f>IFERROR(Table2[[#This Row],[Value(1000$) 2024]]/Table2[[#This Row],[Volume(1000) 2024]],0)</f>
        <v>0.12293371850425293</v>
      </c>
      <c r="P203" s="33">
        <f>SUM(Table2[[#This Row],[Value(1000$) 2022]:[Value(1000$) 2024]])</f>
        <v>2.2768999999999999</v>
      </c>
      <c r="Q203" s="33">
        <f>SUM(Table2[[#This Row],[Volume(1000) 2022]:[Volume(1000) 2024]])</f>
        <v>18.7989</v>
      </c>
      <c r="R203" s="33">
        <f>AVERAGE(Table2[[#This Row],[Average Price(2022)]:[Average Price(2024)]])</f>
        <v>0.12318389462617579</v>
      </c>
    </row>
    <row r="204" spans="1:18" x14ac:dyDescent="0.3">
      <c r="A204" t="s">
        <v>255</v>
      </c>
      <c r="B204" t="s">
        <v>752</v>
      </c>
      <c r="C204" t="s">
        <v>253</v>
      </c>
      <c r="D204" t="s">
        <v>9</v>
      </c>
      <c r="E204" t="s">
        <v>64</v>
      </c>
      <c r="F204" s="27" t="str">
        <f>IF('Working Sheet'!B309="ITEM",'Working Sheet'!E309,"")</f>
        <v>52</v>
      </c>
      <c r="G204" s="27">
        <f>IF('Working Sheet'!B309="ITEM",'Working Sheet'!F309,"")</f>
        <v>88.057900000000004</v>
      </c>
      <c r="H204" s="27">
        <f>IF('Working Sheet'!B309="ITEM",'Working Sheet'!G309,"")</f>
        <v>26.767399999999999</v>
      </c>
      <c r="I204" s="27">
        <f>IF('Working Sheet'!B309="ITEM",'Working Sheet'!H309,"")</f>
        <v>2.3372999999999999</v>
      </c>
      <c r="J204">
        <f>IF('Working Sheet'!B309="ITEM",'Working Sheet'!I309,"")</f>
        <v>2166.7952</v>
      </c>
      <c r="K204">
        <f>IF('Working Sheet'!B309="ITEM",'Working Sheet'!J309,"")</f>
        <v>614.64589999999998</v>
      </c>
      <c r="L204">
        <f>IF('Working Sheet'!B309="ITEM",'Working Sheet'!K309,"")</f>
        <v>48.202599999999997</v>
      </c>
      <c r="M204" s="33">
        <f>IFERROR(Table2[[#This Row],[Value(1000$) 2022]]/Table2[[#This Row],[Volume(1000) 2022]],0)</f>
        <v>4.0639696820447081E-2</v>
      </c>
      <c r="N204" s="33">
        <f>IFERROR(Table2[[#This Row],[Value(1000$) 2023]]/Table2[[#This Row],[Volume(1000) 2023]],0)</f>
        <v>4.3549302126639093E-2</v>
      </c>
      <c r="O204" s="33">
        <f>IFERROR(Table2[[#This Row],[Value(1000$) 2024]]/Table2[[#This Row],[Volume(1000) 2024]],0)</f>
        <v>4.8489085650981485E-2</v>
      </c>
      <c r="P204" s="33">
        <f>SUM(Table2[[#This Row],[Value(1000$) 2022]:[Value(1000$) 2024]])</f>
        <v>117.1626</v>
      </c>
      <c r="Q204" s="33">
        <f>SUM(Table2[[#This Row],[Volume(1000) 2022]:[Volume(1000) 2024]])</f>
        <v>2829.6437000000001</v>
      </c>
      <c r="R204" s="33">
        <f>AVERAGE(Table2[[#This Row],[Average Price(2022)]:[Average Price(2024)]])</f>
        <v>4.4226028199355887E-2</v>
      </c>
    </row>
    <row r="205" spans="1:18" x14ac:dyDescent="0.3">
      <c r="A205" t="s">
        <v>257</v>
      </c>
      <c r="B205" t="s">
        <v>752</v>
      </c>
      <c r="C205" t="s">
        <v>253</v>
      </c>
      <c r="D205" t="s">
        <v>9</v>
      </c>
      <c r="E205" t="s">
        <v>10</v>
      </c>
      <c r="F205" s="27" t="str">
        <f>IF('Working Sheet'!B310="ITEM",'Working Sheet'!E310,"")</f>
        <v>56</v>
      </c>
      <c r="G205" s="27">
        <f>IF('Working Sheet'!B310="ITEM",'Working Sheet'!F310,"")</f>
        <v>1.0826</v>
      </c>
      <c r="H205" s="27">
        <f>IF('Working Sheet'!B310="ITEM",'Working Sheet'!G310,"")</f>
        <v>0.79220000000000002</v>
      </c>
      <c r="I205" s="27">
        <f>IF('Working Sheet'!B310="ITEM",'Working Sheet'!H310,"")</f>
        <v>0</v>
      </c>
      <c r="J205">
        <f>IF('Working Sheet'!B310="ITEM",'Working Sheet'!I310,"")</f>
        <v>19.760000000000002</v>
      </c>
      <c r="K205">
        <f>IF('Working Sheet'!B310="ITEM",'Working Sheet'!J310,"")</f>
        <v>17.024000000000001</v>
      </c>
      <c r="L205">
        <f>IF('Working Sheet'!B310="ITEM",'Working Sheet'!K310,"")</f>
        <v>0</v>
      </c>
      <c r="M205" s="33">
        <f>IFERROR(Table2[[#This Row],[Value(1000$) 2022]]/Table2[[#This Row],[Volume(1000) 2022]],0)</f>
        <v>5.4787449392712545E-2</v>
      </c>
      <c r="N205" s="33">
        <f>IFERROR(Table2[[#This Row],[Value(1000$) 2023]]/Table2[[#This Row],[Volume(1000) 2023]],0)</f>
        <v>4.6534304511278192E-2</v>
      </c>
      <c r="O205" s="33">
        <f>IFERROR(Table2[[#This Row],[Value(1000$) 2024]]/Table2[[#This Row],[Volume(1000) 2024]],0)</f>
        <v>0</v>
      </c>
      <c r="P205" s="33">
        <f>SUM(Table2[[#This Row],[Value(1000$) 2022]:[Value(1000$) 2024]])</f>
        <v>1.8748</v>
      </c>
      <c r="Q205" s="33">
        <f>SUM(Table2[[#This Row],[Volume(1000) 2022]:[Volume(1000) 2024]])</f>
        <v>36.784000000000006</v>
      </c>
      <c r="R205" s="33">
        <f>AVERAGE(Table2[[#This Row],[Average Price(2022)]:[Average Price(2024)]])</f>
        <v>3.3773917967996912E-2</v>
      </c>
    </row>
    <row r="206" spans="1:18" x14ac:dyDescent="0.3">
      <c r="A206" t="s">
        <v>258</v>
      </c>
      <c r="B206" t="s">
        <v>752</v>
      </c>
      <c r="C206" t="s">
        <v>253</v>
      </c>
      <c r="D206" t="s">
        <v>9</v>
      </c>
      <c r="E206" t="s">
        <v>20</v>
      </c>
      <c r="F206" s="27" t="str">
        <f>IF('Working Sheet'!B311="ITEM",'Working Sheet'!E311,"")</f>
        <v>56</v>
      </c>
      <c r="G206" s="27">
        <f>IF('Working Sheet'!B311="ITEM",'Working Sheet'!F311,"")</f>
        <v>0.44109999999999999</v>
      </c>
      <c r="H206" s="27">
        <f>IF('Working Sheet'!B311="ITEM",'Working Sheet'!G311,"")</f>
        <v>0.41260000000000002</v>
      </c>
      <c r="I206" s="27">
        <f>IF('Working Sheet'!B311="ITEM",'Working Sheet'!H311,"")</f>
        <v>4.5600000000000002E-2</v>
      </c>
      <c r="J206">
        <f>IF('Working Sheet'!B311="ITEM",'Working Sheet'!I311,"")</f>
        <v>8.4567999999999994</v>
      </c>
      <c r="K206">
        <f>IF('Working Sheet'!B311="ITEM",'Working Sheet'!J311,"")</f>
        <v>6.601</v>
      </c>
      <c r="L206">
        <f>IF('Working Sheet'!B311="ITEM",'Working Sheet'!K311,"")</f>
        <v>0.72929999999999995</v>
      </c>
      <c r="M206" s="33">
        <f>IFERROR(Table2[[#This Row],[Value(1000$) 2022]]/Table2[[#This Row],[Volume(1000) 2022]],0)</f>
        <v>5.2159209157127996E-2</v>
      </c>
      <c r="N206" s="33">
        <f>IFERROR(Table2[[#This Row],[Value(1000$) 2023]]/Table2[[#This Row],[Volume(1000) 2023]],0)</f>
        <v>6.2505680957430698E-2</v>
      </c>
      <c r="O206" s="33">
        <f>IFERROR(Table2[[#This Row],[Value(1000$) 2024]]/Table2[[#This Row],[Volume(1000) 2024]],0)</f>
        <v>6.2525709584533115E-2</v>
      </c>
      <c r="P206" s="33">
        <f>SUM(Table2[[#This Row],[Value(1000$) 2022]:[Value(1000$) 2024]])</f>
        <v>0.89929999999999999</v>
      </c>
      <c r="Q206" s="33">
        <f>SUM(Table2[[#This Row],[Volume(1000) 2022]:[Volume(1000) 2024]])</f>
        <v>15.787100000000001</v>
      </c>
      <c r="R206" s="33">
        <f>AVERAGE(Table2[[#This Row],[Average Price(2022)]:[Average Price(2024)]])</f>
        <v>5.9063533233030596E-2</v>
      </c>
    </row>
    <row r="207" spans="1:18" x14ac:dyDescent="0.3">
      <c r="A207" t="s">
        <v>259</v>
      </c>
      <c r="B207" t="s">
        <v>752</v>
      </c>
      <c r="C207" t="s">
        <v>253</v>
      </c>
      <c r="D207" t="s">
        <v>9</v>
      </c>
      <c r="E207" t="s">
        <v>64</v>
      </c>
      <c r="F207" s="27" t="str">
        <f>IF('Working Sheet'!B312="ITEM",'Working Sheet'!E312,"")</f>
        <v>56</v>
      </c>
      <c r="G207" s="27">
        <f>IF('Working Sheet'!B312="ITEM",'Working Sheet'!F312,"")</f>
        <v>2.1700000000000001E-2</v>
      </c>
      <c r="H207" s="27">
        <f>IF('Working Sheet'!B312="ITEM",'Working Sheet'!G312,"")</f>
        <v>0</v>
      </c>
      <c r="I207" s="27">
        <f>IF('Working Sheet'!B312="ITEM",'Working Sheet'!H312,"")</f>
        <v>0</v>
      </c>
      <c r="J207">
        <f>IF('Working Sheet'!B312="ITEM",'Working Sheet'!I312,"")</f>
        <v>0.48470000000000002</v>
      </c>
      <c r="K207">
        <f>IF('Working Sheet'!B312="ITEM",'Working Sheet'!J312,"")</f>
        <v>0</v>
      </c>
      <c r="L207">
        <f>IF('Working Sheet'!B312="ITEM",'Working Sheet'!K312,"")</f>
        <v>0</v>
      </c>
      <c r="M207" s="33">
        <f>IFERROR(Table2[[#This Row],[Value(1000$) 2022]]/Table2[[#This Row],[Volume(1000) 2022]],0)</f>
        <v>4.4769960800495154E-2</v>
      </c>
      <c r="N207" s="33">
        <f>IFERROR(Table2[[#This Row],[Value(1000$) 2023]]/Table2[[#This Row],[Volume(1000) 2023]],0)</f>
        <v>0</v>
      </c>
      <c r="O207" s="33">
        <f>IFERROR(Table2[[#This Row],[Value(1000$) 2024]]/Table2[[#This Row],[Volume(1000) 2024]],0)</f>
        <v>0</v>
      </c>
      <c r="P207" s="33">
        <f>SUM(Table2[[#This Row],[Value(1000$) 2022]:[Value(1000$) 2024]])</f>
        <v>2.1700000000000001E-2</v>
      </c>
      <c r="Q207" s="33">
        <f>SUM(Table2[[#This Row],[Volume(1000) 2022]:[Volume(1000) 2024]])</f>
        <v>0.48470000000000002</v>
      </c>
      <c r="R207" s="33">
        <f>AVERAGE(Table2[[#This Row],[Average Price(2022)]:[Average Price(2024)]])</f>
        <v>1.4923320266831719E-2</v>
      </c>
    </row>
    <row r="208" spans="1:18" x14ac:dyDescent="0.3">
      <c r="A208" t="s">
        <v>260</v>
      </c>
      <c r="B208" t="s">
        <v>752</v>
      </c>
      <c r="C208" t="s">
        <v>253</v>
      </c>
      <c r="D208" t="s">
        <v>9</v>
      </c>
      <c r="E208" t="s">
        <v>20</v>
      </c>
      <c r="F208" s="27" t="str">
        <f>IF('Working Sheet'!B313="ITEM",'Working Sheet'!E313,"")</f>
        <v>56</v>
      </c>
      <c r="G208" s="27">
        <f>IF('Working Sheet'!B313="ITEM",'Working Sheet'!F313,"")</f>
        <v>1.675</v>
      </c>
      <c r="H208" s="27">
        <f>IF('Working Sheet'!B313="ITEM",'Working Sheet'!G313,"")</f>
        <v>2.4634999999999998</v>
      </c>
      <c r="I208" s="27">
        <f>IF('Working Sheet'!B313="ITEM",'Working Sheet'!H313,"")</f>
        <v>0.86060000000000003</v>
      </c>
      <c r="J208">
        <f>IF('Working Sheet'!B313="ITEM",'Working Sheet'!I313,"")</f>
        <v>31.331099999999999</v>
      </c>
      <c r="K208">
        <f>IF('Working Sheet'!B313="ITEM",'Working Sheet'!J313,"")</f>
        <v>43.584000000000003</v>
      </c>
      <c r="L208">
        <f>IF('Working Sheet'!B313="ITEM",'Working Sheet'!K313,"")</f>
        <v>15.645899999999999</v>
      </c>
      <c r="M208" s="33">
        <f>IFERROR(Table2[[#This Row],[Value(1000$) 2022]]/Table2[[#This Row],[Volume(1000) 2022]],0)</f>
        <v>5.3461257344938416E-2</v>
      </c>
      <c r="N208" s="33">
        <f>IFERROR(Table2[[#This Row],[Value(1000$) 2023]]/Table2[[#This Row],[Volume(1000) 2023]],0)</f>
        <v>5.6523035976505133E-2</v>
      </c>
      <c r="O208" s="33">
        <f>IFERROR(Table2[[#This Row],[Value(1000$) 2024]]/Table2[[#This Row],[Volume(1000) 2024]],0)</f>
        <v>5.5004825545350543E-2</v>
      </c>
      <c r="P208" s="33">
        <f>SUM(Table2[[#This Row],[Value(1000$) 2022]:[Value(1000$) 2024]])</f>
        <v>4.9990999999999994</v>
      </c>
      <c r="Q208" s="33">
        <f>SUM(Table2[[#This Row],[Volume(1000) 2022]:[Volume(1000) 2024]])</f>
        <v>90.560999999999993</v>
      </c>
      <c r="R208" s="33">
        <f>AVERAGE(Table2[[#This Row],[Average Price(2022)]:[Average Price(2024)]])</f>
        <v>5.4996372955598033E-2</v>
      </c>
    </row>
    <row r="209" spans="1:18" x14ac:dyDescent="0.3">
      <c r="A209" t="s">
        <v>261</v>
      </c>
      <c r="B209" t="s">
        <v>752</v>
      </c>
      <c r="C209" t="s">
        <v>253</v>
      </c>
      <c r="D209" t="s">
        <v>9</v>
      </c>
      <c r="E209" t="s">
        <v>20</v>
      </c>
      <c r="F209" s="27" t="str">
        <f>IF('Working Sheet'!B314="ITEM",'Working Sheet'!E314,"")</f>
        <v>56</v>
      </c>
      <c r="G209" s="27">
        <f>IF('Working Sheet'!B314="ITEM",'Working Sheet'!F314,"")</f>
        <v>9.3126999999999995</v>
      </c>
      <c r="H209" s="27">
        <f>IF('Working Sheet'!B314="ITEM",'Working Sheet'!G314,"")</f>
        <v>6.4108999999999998</v>
      </c>
      <c r="I209" s="27">
        <f>IF('Working Sheet'!B314="ITEM",'Working Sheet'!H314,"")</f>
        <v>5.0708000000000002</v>
      </c>
      <c r="J209">
        <f>IF('Working Sheet'!B314="ITEM",'Working Sheet'!I314,"")</f>
        <v>206.11410000000001</v>
      </c>
      <c r="K209">
        <f>IF('Working Sheet'!B314="ITEM",'Working Sheet'!J314,"")</f>
        <v>126.16</v>
      </c>
      <c r="L209">
        <f>IF('Working Sheet'!B314="ITEM",'Working Sheet'!K314,"")</f>
        <v>101.6622</v>
      </c>
      <c r="M209" s="33">
        <f>IFERROR(Table2[[#This Row],[Value(1000$) 2022]]/Table2[[#This Row],[Volume(1000) 2022]],0)</f>
        <v>4.5182255847610618E-2</v>
      </c>
      <c r="N209" s="33">
        <f>IFERROR(Table2[[#This Row],[Value(1000$) 2023]]/Table2[[#This Row],[Volume(1000) 2023]],0)</f>
        <v>5.0815630944831956E-2</v>
      </c>
      <c r="O209" s="33">
        <f>IFERROR(Table2[[#This Row],[Value(1000$) 2024]]/Table2[[#This Row],[Volume(1000) 2024]],0)</f>
        <v>4.9878912712886407E-2</v>
      </c>
      <c r="P209" s="33">
        <f>SUM(Table2[[#This Row],[Value(1000$) 2022]:[Value(1000$) 2024]])</f>
        <v>20.7944</v>
      </c>
      <c r="Q209" s="33">
        <f>SUM(Table2[[#This Row],[Volume(1000) 2022]:[Volume(1000) 2024]])</f>
        <v>433.93629999999996</v>
      </c>
      <c r="R209" s="33">
        <f>AVERAGE(Table2[[#This Row],[Average Price(2022)]:[Average Price(2024)]])</f>
        <v>4.862559983510966E-2</v>
      </c>
    </row>
    <row r="210" spans="1:18" x14ac:dyDescent="0.3">
      <c r="A210" t="s">
        <v>262</v>
      </c>
      <c r="B210" t="s">
        <v>752</v>
      </c>
      <c r="C210" t="s">
        <v>253</v>
      </c>
      <c r="D210" t="s">
        <v>9</v>
      </c>
      <c r="E210" t="s">
        <v>20</v>
      </c>
      <c r="F210" s="27" t="str">
        <f>IF('Working Sheet'!B315="ITEM",'Working Sheet'!E315,"")</f>
        <v>56</v>
      </c>
      <c r="G210" s="27">
        <f>IF('Working Sheet'!B315="ITEM",'Working Sheet'!F315,"")</f>
        <v>11.1845</v>
      </c>
      <c r="H210" s="27">
        <f>IF('Working Sheet'!B315="ITEM",'Working Sheet'!G315,"")</f>
        <v>11.7105</v>
      </c>
      <c r="I210" s="27">
        <f>IF('Working Sheet'!B315="ITEM",'Working Sheet'!H315,"")</f>
        <v>3.9420000000000002</v>
      </c>
      <c r="J210">
        <f>IF('Working Sheet'!B315="ITEM",'Working Sheet'!I315,"")</f>
        <v>216.30410000000001</v>
      </c>
      <c r="K210">
        <f>IF('Working Sheet'!B315="ITEM",'Working Sheet'!J315,"")</f>
        <v>238.77709999999999</v>
      </c>
      <c r="L210">
        <f>IF('Working Sheet'!B315="ITEM",'Working Sheet'!K315,"")</f>
        <v>77.523899999999998</v>
      </c>
      <c r="M210" s="33">
        <f>IFERROR(Table2[[#This Row],[Value(1000$) 2022]]/Table2[[#This Row],[Volume(1000) 2022]],0)</f>
        <v>5.1707295423433948E-2</v>
      </c>
      <c r="N210" s="33">
        <f>IFERROR(Table2[[#This Row],[Value(1000$) 2023]]/Table2[[#This Row],[Volume(1000) 2023]],0)</f>
        <v>4.9043647820498699E-2</v>
      </c>
      <c r="O210" s="33">
        <f>IFERROR(Table2[[#This Row],[Value(1000$) 2024]]/Table2[[#This Row],[Volume(1000) 2024]],0)</f>
        <v>5.0848835004430895E-2</v>
      </c>
      <c r="P210" s="33">
        <f>SUM(Table2[[#This Row],[Value(1000$) 2022]:[Value(1000$) 2024]])</f>
        <v>26.837</v>
      </c>
      <c r="Q210" s="33">
        <f>SUM(Table2[[#This Row],[Volume(1000) 2022]:[Volume(1000) 2024]])</f>
        <v>532.60509999999999</v>
      </c>
      <c r="R210" s="33">
        <f>AVERAGE(Table2[[#This Row],[Average Price(2022)]:[Average Price(2024)]])</f>
        <v>5.0533259416121183E-2</v>
      </c>
    </row>
    <row r="211" spans="1:18" x14ac:dyDescent="0.3">
      <c r="A211" t="s">
        <v>264</v>
      </c>
      <c r="B211" t="s">
        <v>753</v>
      </c>
      <c r="C211" t="s">
        <v>263</v>
      </c>
      <c r="D211" t="s">
        <v>9</v>
      </c>
      <c r="E211" t="s">
        <v>69</v>
      </c>
      <c r="F211" s="27" t="str">
        <f>IF('Working Sheet'!B318="ITEM",'Working Sheet'!E318,"")</f>
        <v>72</v>
      </c>
      <c r="G211" s="27">
        <f>IF('Working Sheet'!B318="ITEM",'Working Sheet'!F318,"")</f>
        <v>6.6299999999999998E-2</v>
      </c>
      <c r="H211" s="27">
        <f>IF('Working Sheet'!B318="ITEM",'Working Sheet'!G318,"")</f>
        <v>0.12959999999999999</v>
      </c>
      <c r="I211" s="27">
        <f>IF('Working Sheet'!B318="ITEM",'Working Sheet'!H318,"")</f>
        <v>7.1499999999999994E-2</v>
      </c>
      <c r="J211">
        <f>IF('Working Sheet'!B318="ITEM",'Working Sheet'!I318,"")</f>
        <v>0.504</v>
      </c>
      <c r="K211">
        <f>IF('Working Sheet'!B318="ITEM",'Working Sheet'!J318,"")</f>
        <v>0.91539999999999999</v>
      </c>
      <c r="L211">
        <f>IF('Working Sheet'!B318="ITEM",'Working Sheet'!K318,"")</f>
        <v>0.52459999999999996</v>
      </c>
      <c r="M211" s="33">
        <f>IFERROR(Table2[[#This Row],[Value(1000$) 2022]]/Table2[[#This Row],[Volume(1000) 2022]],0)</f>
        <v>0.13154761904761905</v>
      </c>
      <c r="N211" s="33">
        <f>IFERROR(Table2[[#This Row],[Value(1000$) 2023]]/Table2[[#This Row],[Volume(1000) 2023]],0)</f>
        <v>0.14157745247979026</v>
      </c>
      <c r="O211" s="33">
        <f>IFERROR(Table2[[#This Row],[Value(1000$) 2024]]/Table2[[#This Row],[Volume(1000) 2024]],0)</f>
        <v>0.13629431948150972</v>
      </c>
      <c r="P211" s="33">
        <f>SUM(Table2[[#This Row],[Value(1000$) 2022]:[Value(1000$) 2024]])</f>
        <v>0.26739999999999997</v>
      </c>
      <c r="Q211" s="33">
        <f>SUM(Table2[[#This Row],[Volume(1000) 2022]:[Volume(1000) 2024]])</f>
        <v>1.944</v>
      </c>
      <c r="R211" s="33">
        <f>AVERAGE(Table2[[#This Row],[Average Price(2022)]:[Average Price(2024)]])</f>
        <v>0.13647313033630634</v>
      </c>
    </row>
    <row r="212" spans="1:18" x14ac:dyDescent="0.3">
      <c r="A212" t="s">
        <v>266</v>
      </c>
      <c r="B212" t="s">
        <v>754</v>
      </c>
      <c r="C212" t="s">
        <v>265</v>
      </c>
      <c r="D212" t="s">
        <v>9</v>
      </c>
      <c r="E212" t="s">
        <v>10</v>
      </c>
      <c r="F212" s="27" t="str">
        <f>IF('Working Sheet'!B321="ITEM",'Working Sheet'!E321,"")</f>
        <v>10</v>
      </c>
      <c r="G212" s="27">
        <f>IF('Working Sheet'!B321="ITEM",'Working Sheet'!F321,"")</f>
        <v>0.61529999999999996</v>
      </c>
      <c r="H212" s="27">
        <f>IF('Working Sheet'!B321="ITEM",'Working Sheet'!G321,"")</f>
        <v>0.502</v>
      </c>
      <c r="I212" s="27">
        <f>IF('Working Sheet'!B321="ITEM",'Working Sheet'!H321,"")</f>
        <v>4.99E-2</v>
      </c>
      <c r="J212">
        <f>IF('Working Sheet'!B321="ITEM",'Working Sheet'!I321,"")</f>
        <v>4.0616000000000003</v>
      </c>
      <c r="K212">
        <f>IF('Working Sheet'!B321="ITEM",'Working Sheet'!J321,"")</f>
        <v>3.2562000000000002</v>
      </c>
      <c r="L212">
        <f>IF('Working Sheet'!B321="ITEM",'Working Sheet'!K321,"")</f>
        <v>0.25269999999999998</v>
      </c>
      <c r="M212" s="33">
        <f>IFERROR(Table2[[#This Row],[Value(1000$) 2022]]/Table2[[#This Row],[Volume(1000) 2022]],0)</f>
        <v>0.15149202284813865</v>
      </c>
      <c r="N212" s="33">
        <f>IFERROR(Table2[[#This Row],[Value(1000$) 2023]]/Table2[[#This Row],[Volume(1000) 2023]],0)</f>
        <v>0.15416743443277439</v>
      </c>
      <c r="O212" s="33">
        <f>IFERROR(Table2[[#This Row],[Value(1000$) 2024]]/Table2[[#This Row],[Volume(1000) 2024]],0)</f>
        <v>0.19746735259200635</v>
      </c>
      <c r="P212" s="33">
        <f>SUM(Table2[[#This Row],[Value(1000$) 2022]:[Value(1000$) 2024]])</f>
        <v>1.1672</v>
      </c>
      <c r="Q212" s="33">
        <f>SUM(Table2[[#This Row],[Volume(1000) 2022]:[Volume(1000) 2024]])</f>
        <v>7.5705</v>
      </c>
      <c r="R212" s="33">
        <f>AVERAGE(Table2[[#This Row],[Average Price(2022)]:[Average Price(2024)]])</f>
        <v>0.16770893662430644</v>
      </c>
    </row>
    <row r="213" spans="1:18" x14ac:dyDescent="0.3">
      <c r="A213" t="s">
        <v>267</v>
      </c>
      <c r="B213" t="s">
        <v>754</v>
      </c>
      <c r="C213" t="s">
        <v>265</v>
      </c>
      <c r="D213" t="s">
        <v>9</v>
      </c>
      <c r="E213" t="s">
        <v>10</v>
      </c>
      <c r="F213" s="27" t="str">
        <f>IF('Working Sheet'!B322="ITEM",'Working Sheet'!E322,"")</f>
        <v>240</v>
      </c>
      <c r="G213" s="27">
        <f>IF('Working Sheet'!B322="ITEM",'Working Sheet'!F322,"")</f>
        <v>18.4224</v>
      </c>
      <c r="H213" s="27">
        <f>IF('Working Sheet'!B322="ITEM",'Working Sheet'!G322,"")</f>
        <v>21.849599999999999</v>
      </c>
      <c r="I213" s="27">
        <f>IF('Working Sheet'!B322="ITEM",'Working Sheet'!H322,"")</f>
        <v>15.9329</v>
      </c>
      <c r="J213">
        <f>IF('Working Sheet'!B322="ITEM",'Working Sheet'!I322,"")</f>
        <v>154.90440000000001</v>
      </c>
      <c r="K213">
        <f>IF('Working Sheet'!B322="ITEM",'Working Sheet'!J322,"")</f>
        <v>191.65379999999999</v>
      </c>
      <c r="L213">
        <f>IF('Working Sheet'!B322="ITEM",'Working Sheet'!K322,"")</f>
        <v>151.1</v>
      </c>
      <c r="M213" s="33">
        <f>IFERROR(Table2[[#This Row],[Value(1000$) 2022]]/Table2[[#This Row],[Volume(1000) 2022]],0)</f>
        <v>0.11892754498903839</v>
      </c>
      <c r="N213" s="33">
        <f>IFERROR(Table2[[#This Row],[Value(1000$) 2023]]/Table2[[#This Row],[Volume(1000) 2023]],0)</f>
        <v>0.11400556628671073</v>
      </c>
      <c r="O213" s="33">
        <f>IFERROR(Table2[[#This Row],[Value(1000$) 2024]]/Table2[[#This Row],[Volume(1000) 2024]],0)</f>
        <v>0.10544606221045666</v>
      </c>
      <c r="P213" s="33">
        <f>SUM(Table2[[#This Row],[Value(1000$) 2022]:[Value(1000$) 2024]])</f>
        <v>56.204899999999995</v>
      </c>
      <c r="Q213" s="33">
        <f>SUM(Table2[[#This Row],[Volume(1000) 2022]:[Volume(1000) 2024]])</f>
        <v>497.65819999999997</v>
      </c>
      <c r="R213" s="33">
        <f>AVERAGE(Table2[[#This Row],[Average Price(2022)]:[Average Price(2024)]])</f>
        <v>0.11279305782873526</v>
      </c>
    </row>
    <row r="214" spans="1:18" x14ac:dyDescent="0.3">
      <c r="A214" t="s">
        <v>269</v>
      </c>
      <c r="B214" t="s">
        <v>754</v>
      </c>
      <c r="C214" t="s">
        <v>265</v>
      </c>
      <c r="D214" t="s">
        <v>9</v>
      </c>
      <c r="E214" t="s">
        <v>10</v>
      </c>
      <c r="F214" s="27" t="str">
        <f>IF('Working Sheet'!B323="ITEM",'Working Sheet'!E323,"")</f>
        <v>28</v>
      </c>
      <c r="G214" s="27">
        <f>IF('Working Sheet'!B323="ITEM",'Working Sheet'!F323,"")</f>
        <v>1.851</v>
      </c>
      <c r="H214" s="27">
        <f>IF('Working Sheet'!B323="ITEM",'Working Sheet'!G323,"")</f>
        <v>2.4146999999999998</v>
      </c>
      <c r="I214" s="27">
        <f>IF('Working Sheet'!B323="ITEM",'Working Sheet'!H323,"")</f>
        <v>0.80920000000000003</v>
      </c>
      <c r="J214">
        <f>IF('Working Sheet'!B323="ITEM",'Working Sheet'!I323,"")</f>
        <v>10.083500000000001</v>
      </c>
      <c r="K214">
        <f>IF('Working Sheet'!B323="ITEM",'Working Sheet'!J323,"")</f>
        <v>14.928100000000001</v>
      </c>
      <c r="L214">
        <f>IF('Working Sheet'!B323="ITEM",'Working Sheet'!K323,"")</f>
        <v>5.5830000000000002</v>
      </c>
      <c r="M214" s="33">
        <f>IFERROR(Table2[[#This Row],[Value(1000$) 2022]]/Table2[[#This Row],[Volume(1000) 2022]],0)</f>
        <v>0.18356721376506172</v>
      </c>
      <c r="N214" s="33">
        <f>IFERROR(Table2[[#This Row],[Value(1000$) 2023]]/Table2[[#This Row],[Volume(1000) 2023]],0)</f>
        <v>0.16175534729804864</v>
      </c>
      <c r="O214" s="33">
        <f>IFERROR(Table2[[#This Row],[Value(1000$) 2024]]/Table2[[#This Row],[Volume(1000) 2024]],0)</f>
        <v>0.14493999641769659</v>
      </c>
      <c r="P214" s="33">
        <f>SUM(Table2[[#This Row],[Value(1000$) 2022]:[Value(1000$) 2024]])</f>
        <v>5.0748999999999995</v>
      </c>
      <c r="Q214" s="33">
        <f>SUM(Table2[[#This Row],[Volume(1000) 2022]:[Volume(1000) 2024]])</f>
        <v>30.5946</v>
      </c>
      <c r="R214" s="33">
        <f>AVERAGE(Table2[[#This Row],[Average Price(2022)]:[Average Price(2024)]])</f>
        <v>0.1634208524936023</v>
      </c>
    </row>
    <row r="215" spans="1:18" x14ac:dyDescent="0.3">
      <c r="A215" t="s">
        <v>271</v>
      </c>
      <c r="B215" t="s">
        <v>754</v>
      </c>
      <c r="C215" t="s">
        <v>265</v>
      </c>
      <c r="D215" t="s">
        <v>9</v>
      </c>
      <c r="E215" t="s">
        <v>10</v>
      </c>
      <c r="F215" s="27" t="str">
        <f>IF('Working Sheet'!B324="ITEM",'Working Sheet'!E324,"")</f>
        <v>60</v>
      </c>
      <c r="G215" s="27">
        <f>IF('Working Sheet'!B324="ITEM",'Working Sheet'!F324,"")</f>
        <v>198.11109999999999</v>
      </c>
      <c r="H215" s="27">
        <f>IF('Working Sheet'!B324="ITEM",'Working Sheet'!G324,"")</f>
        <v>233.6309</v>
      </c>
      <c r="I215" s="27">
        <f>IF('Working Sheet'!B324="ITEM",'Working Sheet'!H324,"")</f>
        <v>113.3126</v>
      </c>
      <c r="J215">
        <f>IF('Working Sheet'!B324="ITEM",'Working Sheet'!I324,"")</f>
        <v>1569.5084999999999</v>
      </c>
      <c r="K215">
        <f>IF('Working Sheet'!B324="ITEM",'Working Sheet'!J324,"")</f>
        <v>2030.1902</v>
      </c>
      <c r="L215">
        <f>IF('Working Sheet'!B324="ITEM",'Working Sheet'!K324,"")</f>
        <v>989.67420000000004</v>
      </c>
      <c r="M215" s="33">
        <f>IFERROR(Table2[[#This Row],[Value(1000$) 2022]]/Table2[[#This Row],[Volume(1000) 2022]],0)</f>
        <v>0.12622492965154378</v>
      </c>
      <c r="N215" s="33">
        <f>IFERROR(Table2[[#This Row],[Value(1000$) 2023]]/Table2[[#This Row],[Volume(1000) 2023]],0)</f>
        <v>0.11507833108444716</v>
      </c>
      <c r="O215" s="33">
        <f>IFERROR(Table2[[#This Row],[Value(1000$) 2024]]/Table2[[#This Row],[Volume(1000) 2024]],0)</f>
        <v>0.11449485093175107</v>
      </c>
      <c r="P215" s="33">
        <f>SUM(Table2[[#This Row],[Value(1000$) 2022]:[Value(1000$) 2024]])</f>
        <v>545.05459999999994</v>
      </c>
      <c r="Q215" s="33">
        <f>SUM(Table2[[#This Row],[Volume(1000) 2022]:[Volume(1000) 2024]])</f>
        <v>4589.3729000000003</v>
      </c>
      <c r="R215" s="33">
        <f>AVERAGE(Table2[[#This Row],[Average Price(2022)]:[Average Price(2024)]])</f>
        <v>0.118599370555914</v>
      </c>
    </row>
    <row r="216" spans="1:18" x14ac:dyDescent="0.3">
      <c r="A216" t="s">
        <v>272</v>
      </c>
      <c r="B216" t="s">
        <v>754</v>
      </c>
      <c r="C216" t="s">
        <v>265</v>
      </c>
      <c r="D216" t="s">
        <v>9</v>
      </c>
      <c r="E216" t="s">
        <v>10</v>
      </c>
      <c r="F216" s="27" t="str">
        <f>IF('Working Sheet'!B325="ITEM",'Working Sheet'!E325,"")</f>
        <v>60</v>
      </c>
      <c r="G216" s="27">
        <f>IF('Working Sheet'!B325="ITEM",'Working Sheet'!F325,"")</f>
        <v>1.278</v>
      </c>
      <c r="H216" s="27">
        <f>IF('Working Sheet'!B325="ITEM",'Working Sheet'!G325,"")</f>
        <v>13.6012</v>
      </c>
      <c r="I216" s="27">
        <f>IF('Working Sheet'!B325="ITEM",'Working Sheet'!H325,"")</f>
        <v>11.1342</v>
      </c>
      <c r="J216">
        <f>IF('Working Sheet'!B325="ITEM",'Working Sheet'!I325,"")</f>
        <v>10.3644</v>
      </c>
      <c r="K216">
        <f>IF('Working Sheet'!B325="ITEM",'Working Sheet'!J325,"")</f>
        <v>118.5029</v>
      </c>
      <c r="L216">
        <f>IF('Working Sheet'!B325="ITEM",'Working Sheet'!K325,"")</f>
        <v>94.131399999999999</v>
      </c>
      <c r="M216" s="33">
        <f>IFERROR(Table2[[#This Row],[Value(1000$) 2022]]/Table2[[#This Row],[Volume(1000) 2022]],0)</f>
        <v>0.12330670371656825</v>
      </c>
      <c r="N216" s="33">
        <f>IFERROR(Table2[[#This Row],[Value(1000$) 2023]]/Table2[[#This Row],[Volume(1000) 2023]],0)</f>
        <v>0.11477525022594384</v>
      </c>
      <c r="O216" s="33">
        <f>IFERROR(Table2[[#This Row],[Value(1000$) 2024]]/Table2[[#This Row],[Volume(1000) 2024]],0)</f>
        <v>0.11828359081029284</v>
      </c>
      <c r="P216" s="33">
        <f>SUM(Table2[[#This Row],[Value(1000$) 2022]:[Value(1000$) 2024]])</f>
        <v>26.013400000000001</v>
      </c>
      <c r="Q216" s="33">
        <f>SUM(Table2[[#This Row],[Volume(1000) 2022]:[Volume(1000) 2024]])</f>
        <v>222.99869999999999</v>
      </c>
      <c r="R216" s="33">
        <f>AVERAGE(Table2[[#This Row],[Average Price(2022)]:[Average Price(2024)]])</f>
        <v>0.11878851491760163</v>
      </c>
    </row>
    <row r="217" spans="1:18" x14ac:dyDescent="0.3">
      <c r="A217" t="s">
        <v>822</v>
      </c>
      <c r="B217" t="s">
        <v>755</v>
      </c>
      <c r="C217" t="s">
        <v>273</v>
      </c>
      <c r="D217" t="s">
        <v>9</v>
      </c>
      <c r="E217" t="s">
        <v>10</v>
      </c>
      <c r="F217" s="27" t="str">
        <f>IF('Working Sheet'!B328="ITEM",'Working Sheet'!E328,"")</f>
        <v>56</v>
      </c>
      <c r="G217" s="27">
        <f>IF('Working Sheet'!B328="ITEM",'Working Sheet'!F328,"")</f>
        <v>0</v>
      </c>
      <c r="H217" s="27">
        <f>IF('Working Sheet'!B328="ITEM",'Working Sheet'!G328,"")</f>
        <v>0.2286</v>
      </c>
      <c r="I217" s="27">
        <f>IF('Working Sheet'!B328="ITEM",'Working Sheet'!H328,"")</f>
        <v>8.4099999999999994E-2</v>
      </c>
      <c r="J217">
        <f>IF('Working Sheet'!B328="ITEM",'Working Sheet'!I328,"")</f>
        <v>0</v>
      </c>
      <c r="K217">
        <f>IF('Working Sheet'!B328="ITEM",'Working Sheet'!J328,"")</f>
        <v>3.6671999999999998</v>
      </c>
      <c r="L217">
        <f>IF('Working Sheet'!B328="ITEM",'Working Sheet'!K328,"")</f>
        <v>1.3489</v>
      </c>
      <c r="M217" s="33">
        <f>IFERROR(Table2[[#This Row],[Value(1000$) 2022]]/Table2[[#This Row],[Volume(1000) 2022]],0)</f>
        <v>0</v>
      </c>
      <c r="N217" s="33">
        <f>IFERROR(Table2[[#This Row],[Value(1000$) 2023]]/Table2[[#This Row],[Volume(1000) 2023]],0)</f>
        <v>6.2336387434554975E-2</v>
      </c>
      <c r="O217" s="33">
        <f>IFERROR(Table2[[#This Row],[Value(1000$) 2024]]/Table2[[#This Row],[Volume(1000) 2024]],0)</f>
        <v>6.2347097635110087E-2</v>
      </c>
      <c r="P217" s="33">
        <f>SUM(Table2[[#This Row],[Value(1000$) 2022]:[Value(1000$) 2024]])</f>
        <v>0.31269999999999998</v>
      </c>
      <c r="Q217" s="33">
        <f>SUM(Table2[[#This Row],[Volume(1000) 2022]:[Volume(1000) 2024]])</f>
        <v>5.0160999999999998</v>
      </c>
      <c r="R217" s="33">
        <f>AVERAGE(Table2[[#This Row],[Average Price(2022)]:[Average Price(2024)]])</f>
        <v>4.1561161689888354E-2</v>
      </c>
    </row>
    <row r="218" spans="1:18" x14ac:dyDescent="0.3">
      <c r="A218" t="s">
        <v>275</v>
      </c>
      <c r="B218" t="s">
        <v>755</v>
      </c>
      <c r="C218" t="s">
        <v>274</v>
      </c>
      <c r="D218" t="s">
        <v>9</v>
      </c>
      <c r="E218" t="s">
        <v>10</v>
      </c>
      <c r="F218" s="27" t="str">
        <f>IF('Working Sheet'!B330="ITEM",'Working Sheet'!E330,"")</f>
        <v>56</v>
      </c>
      <c r="G218" s="27">
        <f>IF('Working Sheet'!B330="ITEM",'Working Sheet'!F330,"")</f>
        <v>0</v>
      </c>
      <c r="H218" s="27">
        <f>IF('Working Sheet'!B330="ITEM",'Working Sheet'!G330,"")</f>
        <v>0.22009999999999999</v>
      </c>
      <c r="I218" s="27">
        <f>IF('Working Sheet'!B330="ITEM",'Working Sheet'!H330,"")</f>
        <v>0.1012</v>
      </c>
      <c r="J218">
        <f>IF('Working Sheet'!B330="ITEM",'Working Sheet'!I330,"")</f>
        <v>0</v>
      </c>
      <c r="K218">
        <f>IF('Working Sheet'!B330="ITEM",'Working Sheet'!J330,"")</f>
        <v>3.5211000000000001</v>
      </c>
      <c r="L218">
        <f>IF('Working Sheet'!B330="ITEM",'Working Sheet'!K330,"")</f>
        <v>1.6187</v>
      </c>
      <c r="M218" s="33">
        <f>IFERROR(Table2[[#This Row],[Value(1000$) 2022]]/Table2[[#This Row],[Volume(1000) 2022]],0)</f>
        <v>0</v>
      </c>
      <c r="N218" s="33">
        <f>IFERROR(Table2[[#This Row],[Value(1000$) 2023]]/Table2[[#This Row],[Volume(1000) 2023]],0)</f>
        <v>6.2508875067450509E-2</v>
      </c>
      <c r="O218" s="33">
        <f>IFERROR(Table2[[#This Row],[Value(1000$) 2024]]/Table2[[#This Row],[Volume(1000) 2024]],0)</f>
        <v>6.2519305615617471E-2</v>
      </c>
      <c r="P218" s="33">
        <f>SUM(Table2[[#This Row],[Value(1000$) 2022]:[Value(1000$) 2024]])</f>
        <v>0.32129999999999997</v>
      </c>
      <c r="Q218" s="33">
        <f>SUM(Table2[[#This Row],[Volume(1000) 2022]:[Volume(1000) 2024]])</f>
        <v>5.1398000000000001</v>
      </c>
      <c r="R218" s="33">
        <f>AVERAGE(Table2[[#This Row],[Average Price(2022)]:[Average Price(2024)]])</f>
        <v>4.1676060227689327E-2</v>
      </c>
    </row>
    <row r="219" spans="1:18" x14ac:dyDescent="0.3">
      <c r="A219" t="s">
        <v>277</v>
      </c>
      <c r="B219" t="s">
        <v>756</v>
      </c>
      <c r="C219" t="s">
        <v>276</v>
      </c>
      <c r="D219" t="s">
        <v>9</v>
      </c>
      <c r="E219" t="s">
        <v>249</v>
      </c>
      <c r="F219" s="27" t="str">
        <f>IF('Working Sheet'!B333="ITEM",'Working Sheet'!E333,"")</f>
        <v>20</v>
      </c>
      <c r="G219" s="27">
        <f>IF('Working Sheet'!B333="ITEM",'Working Sheet'!F333,"")</f>
        <v>0.3851</v>
      </c>
      <c r="H219" s="27">
        <f>IF('Working Sheet'!B333="ITEM",'Working Sheet'!G333,"")</f>
        <v>0.10680000000000001</v>
      </c>
      <c r="I219" s="27">
        <f>IF('Working Sheet'!B333="ITEM",'Working Sheet'!H333,"")</f>
        <v>0</v>
      </c>
      <c r="J219">
        <f>IF('Working Sheet'!B333="ITEM",'Working Sheet'!I333,"")</f>
        <v>4.9682000000000004</v>
      </c>
      <c r="K219">
        <f>IF('Working Sheet'!B333="ITEM",'Working Sheet'!J333,"")</f>
        <v>1.3105</v>
      </c>
      <c r="L219">
        <f>IF('Working Sheet'!B333="ITEM",'Working Sheet'!K333,"")</f>
        <v>0</v>
      </c>
      <c r="M219" s="33">
        <f>IFERROR(Table2[[#This Row],[Value(1000$) 2022]]/Table2[[#This Row],[Volume(1000) 2022]],0)</f>
        <v>7.7512982569139716E-2</v>
      </c>
      <c r="N219" s="33">
        <f>IFERROR(Table2[[#This Row],[Value(1000$) 2023]]/Table2[[#This Row],[Volume(1000) 2023]],0)</f>
        <v>8.1495612361694017E-2</v>
      </c>
      <c r="O219" s="33">
        <f>IFERROR(Table2[[#This Row],[Value(1000$) 2024]]/Table2[[#This Row],[Volume(1000) 2024]],0)</f>
        <v>0</v>
      </c>
      <c r="P219" s="33">
        <f>SUM(Table2[[#This Row],[Value(1000$) 2022]:[Value(1000$) 2024]])</f>
        <v>0.4919</v>
      </c>
      <c r="Q219" s="33">
        <f>SUM(Table2[[#This Row],[Volume(1000) 2022]:[Volume(1000) 2024]])</f>
        <v>6.2787000000000006</v>
      </c>
      <c r="R219" s="33">
        <f>AVERAGE(Table2[[#This Row],[Average Price(2022)]:[Average Price(2024)]])</f>
        <v>5.3002864976944584E-2</v>
      </c>
    </row>
    <row r="220" spans="1:18" x14ac:dyDescent="0.3">
      <c r="A220" t="s">
        <v>278</v>
      </c>
      <c r="B220" t="s">
        <v>756</v>
      </c>
      <c r="C220" t="s">
        <v>276</v>
      </c>
      <c r="D220" t="s">
        <v>9</v>
      </c>
      <c r="E220" t="s">
        <v>64</v>
      </c>
      <c r="F220" s="27" t="str">
        <f>IF('Working Sheet'!B334="ITEM",'Working Sheet'!E334,"")</f>
        <v>56</v>
      </c>
      <c r="G220" s="27">
        <f>IF('Working Sheet'!B334="ITEM",'Working Sheet'!F334,"")</f>
        <v>1.0960000000000001</v>
      </c>
      <c r="H220" s="27">
        <f>IF('Working Sheet'!B334="ITEM",'Working Sheet'!G334,"")</f>
        <v>0.3664</v>
      </c>
      <c r="I220" s="27">
        <f>IF('Working Sheet'!B334="ITEM",'Working Sheet'!H334,"")</f>
        <v>5.7799999999999997E-2</v>
      </c>
      <c r="J220">
        <f>IF('Working Sheet'!B334="ITEM",'Working Sheet'!I334,"")</f>
        <v>13.8332</v>
      </c>
      <c r="K220">
        <f>IF('Working Sheet'!B334="ITEM",'Working Sheet'!J334,"")</f>
        <v>3.4159999999999999</v>
      </c>
      <c r="L220">
        <f>IF('Working Sheet'!B334="ITEM",'Working Sheet'!K334,"")</f>
        <v>0.48</v>
      </c>
      <c r="M220" s="33">
        <f>IFERROR(Table2[[#This Row],[Value(1000$) 2022]]/Table2[[#This Row],[Volume(1000) 2022]],0)</f>
        <v>7.9229679322210339E-2</v>
      </c>
      <c r="N220" s="33">
        <f>IFERROR(Table2[[#This Row],[Value(1000$) 2023]]/Table2[[#This Row],[Volume(1000) 2023]],0)</f>
        <v>0.10725995316159251</v>
      </c>
      <c r="O220" s="33">
        <f>IFERROR(Table2[[#This Row],[Value(1000$) 2024]]/Table2[[#This Row],[Volume(1000) 2024]],0)</f>
        <v>0.12041666666666667</v>
      </c>
      <c r="P220" s="33">
        <f>SUM(Table2[[#This Row],[Value(1000$) 2022]:[Value(1000$) 2024]])</f>
        <v>1.5202000000000002</v>
      </c>
      <c r="Q220" s="33">
        <f>SUM(Table2[[#This Row],[Volume(1000) 2022]:[Volume(1000) 2024]])</f>
        <v>17.729199999999999</v>
      </c>
      <c r="R220" s="33">
        <f>AVERAGE(Table2[[#This Row],[Average Price(2022)]:[Average Price(2024)]])</f>
        <v>0.10230209971682318</v>
      </c>
    </row>
    <row r="221" spans="1:18" x14ac:dyDescent="0.3">
      <c r="A221" t="s">
        <v>279</v>
      </c>
      <c r="B221" t="s">
        <v>756</v>
      </c>
      <c r="C221" t="s">
        <v>276</v>
      </c>
      <c r="D221" t="s">
        <v>9</v>
      </c>
      <c r="E221" t="s">
        <v>64</v>
      </c>
      <c r="F221" s="27" t="str">
        <f>IF('Working Sheet'!B335="ITEM",'Working Sheet'!E335,"")</f>
        <v>56</v>
      </c>
      <c r="G221" s="27">
        <f>IF('Working Sheet'!B335="ITEM",'Working Sheet'!F335,"")</f>
        <v>8.1957000000000004</v>
      </c>
      <c r="H221" s="27">
        <f>IF('Working Sheet'!B335="ITEM",'Working Sheet'!G335,"")</f>
        <v>0.14119999999999999</v>
      </c>
      <c r="I221" s="27">
        <f>IF('Working Sheet'!B335="ITEM",'Working Sheet'!H335,"")</f>
        <v>1.1000000000000001E-3</v>
      </c>
      <c r="J221">
        <f>IF('Working Sheet'!B335="ITEM",'Working Sheet'!I335,"")</f>
        <v>213.62710000000001</v>
      </c>
      <c r="K221">
        <f>IF('Working Sheet'!B335="ITEM",'Working Sheet'!J335,"")</f>
        <v>2.6021999999999998</v>
      </c>
      <c r="L221">
        <f>IF('Working Sheet'!B335="ITEM",'Working Sheet'!K335,"")</f>
        <v>1.6E-2</v>
      </c>
      <c r="M221" s="33">
        <f>IFERROR(Table2[[#This Row],[Value(1000$) 2022]]/Table2[[#This Row],[Volume(1000) 2022]],0)</f>
        <v>3.8364514614484771E-2</v>
      </c>
      <c r="N221" s="33">
        <f>IFERROR(Table2[[#This Row],[Value(1000$) 2023]]/Table2[[#This Row],[Volume(1000) 2023]],0)</f>
        <v>5.4261778495119511E-2</v>
      </c>
      <c r="O221" s="33">
        <f>IFERROR(Table2[[#This Row],[Value(1000$) 2024]]/Table2[[#This Row],[Volume(1000) 2024]],0)</f>
        <v>6.8750000000000006E-2</v>
      </c>
      <c r="P221" s="33">
        <f>SUM(Table2[[#This Row],[Value(1000$) 2022]:[Value(1000$) 2024]])</f>
        <v>8.3379999999999992</v>
      </c>
      <c r="Q221" s="33">
        <f>SUM(Table2[[#This Row],[Volume(1000) 2022]:[Volume(1000) 2024]])</f>
        <v>216.24530000000001</v>
      </c>
      <c r="R221" s="33">
        <f>AVERAGE(Table2[[#This Row],[Average Price(2022)]:[Average Price(2024)]])</f>
        <v>5.3792097703201425E-2</v>
      </c>
    </row>
    <row r="222" spans="1:18" x14ac:dyDescent="0.3">
      <c r="A222" t="s">
        <v>280</v>
      </c>
      <c r="B222" t="s">
        <v>756</v>
      </c>
      <c r="C222" t="s">
        <v>276</v>
      </c>
      <c r="D222" t="s">
        <v>9</v>
      </c>
      <c r="E222" t="s">
        <v>249</v>
      </c>
      <c r="F222" s="27" t="str">
        <f>IF('Working Sheet'!B336="ITEM",'Working Sheet'!E336,"")</f>
        <v>56</v>
      </c>
      <c r="G222" s="27">
        <f>IF('Working Sheet'!B336="ITEM",'Working Sheet'!F336,"")</f>
        <v>2.8999999999999998E-3</v>
      </c>
      <c r="H222" s="27">
        <f>IF('Working Sheet'!B336="ITEM",'Working Sheet'!G336,"")</f>
        <v>0</v>
      </c>
      <c r="I222" s="27">
        <f>IF('Working Sheet'!B336="ITEM",'Working Sheet'!H336,"")</f>
        <v>0</v>
      </c>
      <c r="J222">
        <f>IF('Working Sheet'!B336="ITEM",'Working Sheet'!I336,"")</f>
        <v>0.17960000000000001</v>
      </c>
      <c r="K222">
        <f>IF('Working Sheet'!B336="ITEM",'Working Sheet'!J336,"")</f>
        <v>0</v>
      </c>
      <c r="L222">
        <f>IF('Working Sheet'!B336="ITEM",'Working Sheet'!K336,"")</f>
        <v>0</v>
      </c>
      <c r="M222" s="33">
        <f>IFERROR(Table2[[#This Row],[Value(1000$) 2022]]/Table2[[#This Row],[Volume(1000) 2022]],0)</f>
        <v>1.6146993318485521E-2</v>
      </c>
      <c r="N222" s="33">
        <f>IFERROR(Table2[[#This Row],[Value(1000$) 2023]]/Table2[[#This Row],[Volume(1000) 2023]],0)</f>
        <v>0</v>
      </c>
      <c r="O222" s="33">
        <f>IFERROR(Table2[[#This Row],[Value(1000$) 2024]]/Table2[[#This Row],[Volume(1000) 2024]],0)</f>
        <v>0</v>
      </c>
      <c r="P222" s="33">
        <f>SUM(Table2[[#This Row],[Value(1000$) 2022]:[Value(1000$) 2024]])</f>
        <v>2.8999999999999998E-3</v>
      </c>
      <c r="Q222" s="33">
        <f>SUM(Table2[[#This Row],[Volume(1000) 2022]:[Volume(1000) 2024]])</f>
        <v>0.17960000000000001</v>
      </c>
      <c r="R222" s="33">
        <f>AVERAGE(Table2[[#This Row],[Average Price(2022)]:[Average Price(2024)]])</f>
        <v>5.3823311061618404E-3</v>
      </c>
    </row>
    <row r="223" spans="1:18" x14ac:dyDescent="0.3">
      <c r="A223" t="s">
        <v>281</v>
      </c>
      <c r="B223" t="s">
        <v>756</v>
      </c>
      <c r="C223" t="s">
        <v>276</v>
      </c>
      <c r="D223" t="s">
        <v>9</v>
      </c>
      <c r="E223" t="s">
        <v>249</v>
      </c>
      <c r="F223" s="27" t="str">
        <f>IF('Working Sheet'!B337="ITEM",'Working Sheet'!E337,"")</f>
        <v>56</v>
      </c>
      <c r="G223" s="27">
        <f>IF('Working Sheet'!B337="ITEM",'Working Sheet'!F337,"")</f>
        <v>0</v>
      </c>
      <c r="H223" s="27">
        <f>IF('Working Sheet'!B337="ITEM",'Working Sheet'!G337,"")</f>
        <v>0</v>
      </c>
      <c r="I223" s="27">
        <f>IF('Working Sheet'!B337="ITEM",'Working Sheet'!H337,"")</f>
        <v>0</v>
      </c>
      <c r="J223">
        <f>IF('Working Sheet'!B337="ITEM",'Working Sheet'!I337,"")</f>
        <v>0</v>
      </c>
      <c r="K223">
        <f>IF('Working Sheet'!B337="ITEM",'Working Sheet'!J337,"")</f>
        <v>0</v>
      </c>
      <c r="L223">
        <f>IF('Working Sheet'!B337="ITEM",'Working Sheet'!K337,"")</f>
        <v>0</v>
      </c>
      <c r="M223" s="33">
        <f>IFERROR(Table2[[#This Row],[Value(1000$) 2022]]/Table2[[#This Row],[Volume(1000) 2022]],0)</f>
        <v>0</v>
      </c>
      <c r="N223" s="33">
        <f>IFERROR(Table2[[#This Row],[Value(1000$) 2023]]/Table2[[#This Row],[Volume(1000) 2023]],0)</f>
        <v>0</v>
      </c>
      <c r="O223" s="33">
        <f>IFERROR(Table2[[#This Row],[Value(1000$) 2024]]/Table2[[#This Row],[Volume(1000) 2024]],0)</f>
        <v>0</v>
      </c>
      <c r="P223" s="33">
        <f>SUM(Table2[[#This Row],[Value(1000$) 2022]:[Value(1000$) 2024]])</f>
        <v>0</v>
      </c>
      <c r="Q223" s="33">
        <f>SUM(Table2[[#This Row],[Volume(1000) 2022]:[Volume(1000) 2024]])</f>
        <v>0</v>
      </c>
      <c r="R223" s="33">
        <f>AVERAGE(Table2[[#This Row],[Average Price(2022)]:[Average Price(2024)]])</f>
        <v>0</v>
      </c>
    </row>
    <row r="224" spans="1:18" x14ac:dyDescent="0.3">
      <c r="A224" t="s">
        <v>282</v>
      </c>
      <c r="B224" t="s">
        <v>756</v>
      </c>
      <c r="C224" t="s">
        <v>276</v>
      </c>
      <c r="D224" t="s">
        <v>9</v>
      </c>
      <c r="E224" t="s">
        <v>10</v>
      </c>
      <c r="F224" s="27" t="str">
        <f>IF('Working Sheet'!B338="ITEM",'Working Sheet'!E338,"")</f>
        <v>56</v>
      </c>
      <c r="G224" s="27">
        <f>IF('Working Sheet'!B338="ITEM",'Working Sheet'!F338,"")</f>
        <v>0.22670000000000001</v>
      </c>
      <c r="H224" s="27">
        <f>IF('Working Sheet'!B338="ITEM",'Working Sheet'!G338,"")</f>
        <v>0</v>
      </c>
      <c r="I224" s="27">
        <f>IF('Working Sheet'!B338="ITEM",'Working Sheet'!H338,"")</f>
        <v>0</v>
      </c>
      <c r="J224">
        <f>IF('Working Sheet'!B338="ITEM",'Working Sheet'!I338,"")</f>
        <v>4.5189000000000004</v>
      </c>
      <c r="K224">
        <f>IF('Working Sheet'!B338="ITEM",'Working Sheet'!J338,"")</f>
        <v>0</v>
      </c>
      <c r="L224">
        <f>IF('Working Sheet'!B338="ITEM",'Working Sheet'!K338,"")</f>
        <v>0</v>
      </c>
      <c r="M224" s="33">
        <f>IFERROR(Table2[[#This Row],[Value(1000$) 2022]]/Table2[[#This Row],[Volume(1000) 2022]],0)</f>
        <v>5.0167076058332781E-2</v>
      </c>
      <c r="N224" s="33">
        <f>IFERROR(Table2[[#This Row],[Value(1000$) 2023]]/Table2[[#This Row],[Volume(1000) 2023]],0)</f>
        <v>0</v>
      </c>
      <c r="O224" s="33">
        <f>IFERROR(Table2[[#This Row],[Value(1000$) 2024]]/Table2[[#This Row],[Volume(1000) 2024]],0)</f>
        <v>0</v>
      </c>
      <c r="P224" s="33">
        <f>SUM(Table2[[#This Row],[Value(1000$) 2022]:[Value(1000$) 2024]])</f>
        <v>0.22670000000000001</v>
      </c>
      <c r="Q224" s="33">
        <f>SUM(Table2[[#This Row],[Volume(1000) 2022]:[Volume(1000) 2024]])</f>
        <v>4.5189000000000004</v>
      </c>
      <c r="R224" s="33">
        <f>AVERAGE(Table2[[#This Row],[Average Price(2022)]:[Average Price(2024)]])</f>
        <v>1.6722358686110928E-2</v>
      </c>
    </row>
    <row r="225" spans="1:18" x14ac:dyDescent="0.3">
      <c r="A225" t="s">
        <v>283</v>
      </c>
      <c r="B225" t="s">
        <v>756</v>
      </c>
      <c r="C225" t="s">
        <v>276</v>
      </c>
      <c r="D225" t="s">
        <v>9</v>
      </c>
      <c r="E225" t="s">
        <v>249</v>
      </c>
      <c r="F225" s="27" t="str">
        <f>IF('Working Sheet'!B339="ITEM",'Working Sheet'!E339,"")</f>
        <v>72</v>
      </c>
      <c r="G225" s="27">
        <f>IF('Working Sheet'!B339="ITEM",'Working Sheet'!F339,"")</f>
        <v>24.499500000000001</v>
      </c>
      <c r="H225" s="27">
        <f>IF('Working Sheet'!B339="ITEM",'Working Sheet'!G339,"")</f>
        <v>1.3658999999999999</v>
      </c>
      <c r="I225" s="27">
        <f>IF('Working Sheet'!B339="ITEM",'Working Sheet'!H339,"")</f>
        <v>5.9999999999999995E-4</v>
      </c>
      <c r="J225">
        <f>IF('Working Sheet'!B339="ITEM",'Working Sheet'!I339,"")</f>
        <v>789.96360000000004</v>
      </c>
      <c r="K225">
        <f>IF('Working Sheet'!B339="ITEM",'Working Sheet'!J339,"")</f>
        <v>36.531500000000001</v>
      </c>
      <c r="L225">
        <f>IF('Working Sheet'!B339="ITEM",'Working Sheet'!K339,"")</f>
        <v>2.06E-2</v>
      </c>
      <c r="M225" s="33">
        <f>IFERROR(Table2[[#This Row],[Value(1000$) 2022]]/Table2[[#This Row],[Volume(1000) 2022]],0)</f>
        <v>3.1013454290805299E-2</v>
      </c>
      <c r="N225" s="33">
        <f>IFERROR(Table2[[#This Row],[Value(1000$) 2023]]/Table2[[#This Row],[Volume(1000) 2023]],0)</f>
        <v>3.7389650028057976E-2</v>
      </c>
      <c r="O225" s="33">
        <f>IFERROR(Table2[[#This Row],[Value(1000$) 2024]]/Table2[[#This Row],[Volume(1000) 2024]],0)</f>
        <v>2.9126213592233007E-2</v>
      </c>
      <c r="P225" s="33">
        <f>SUM(Table2[[#This Row],[Value(1000$) 2022]:[Value(1000$) 2024]])</f>
        <v>25.866</v>
      </c>
      <c r="Q225" s="33">
        <f>SUM(Table2[[#This Row],[Volume(1000) 2022]:[Volume(1000) 2024]])</f>
        <v>826.51570000000004</v>
      </c>
      <c r="R225" s="33">
        <f>AVERAGE(Table2[[#This Row],[Average Price(2022)]:[Average Price(2024)]])</f>
        <v>3.2509772637032093E-2</v>
      </c>
    </row>
    <row r="226" spans="1:18" x14ac:dyDescent="0.3">
      <c r="A226" t="s">
        <v>284</v>
      </c>
      <c r="B226" t="s">
        <v>756</v>
      </c>
      <c r="C226" t="s">
        <v>276</v>
      </c>
      <c r="D226" t="s">
        <v>9</v>
      </c>
      <c r="E226" t="s">
        <v>64</v>
      </c>
      <c r="F226" s="27" t="str">
        <f>IF('Working Sheet'!B340="ITEM",'Working Sheet'!E340,"")</f>
        <v>72</v>
      </c>
      <c r="G226" s="27">
        <f>IF('Working Sheet'!B340="ITEM",'Working Sheet'!F340,"")</f>
        <v>0</v>
      </c>
      <c r="H226" s="27">
        <f>IF('Working Sheet'!B340="ITEM",'Working Sheet'!G340,"")</f>
        <v>2.8000000000000001E-2</v>
      </c>
      <c r="I226" s="27">
        <f>IF('Working Sheet'!B340="ITEM",'Working Sheet'!H340,"")</f>
        <v>0</v>
      </c>
      <c r="J226">
        <f>IF('Working Sheet'!B340="ITEM",'Working Sheet'!I340,"")</f>
        <v>0</v>
      </c>
      <c r="K226">
        <f>IF('Working Sheet'!B340="ITEM",'Working Sheet'!J340,"")</f>
        <v>0.80640000000000001</v>
      </c>
      <c r="L226">
        <f>IF('Working Sheet'!B340="ITEM",'Working Sheet'!K340,"")</f>
        <v>0</v>
      </c>
      <c r="M226" s="33">
        <f>IFERROR(Table2[[#This Row],[Value(1000$) 2022]]/Table2[[#This Row],[Volume(1000) 2022]],0)</f>
        <v>0</v>
      </c>
      <c r="N226" s="33">
        <f>IFERROR(Table2[[#This Row],[Value(1000$) 2023]]/Table2[[#This Row],[Volume(1000) 2023]],0)</f>
        <v>3.4722222222222224E-2</v>
      </c>
      <c r="O226" s="33">
        <f>IFERROR(Table2[[#This Row],[Value(1000$) 2024]]/Table2[[#This Row],[Volume(1000) 2024]],0)</f>
        <v>0</v>
      </c>
      <c r="P226" s="33">
        <f>SUM(Table2[[#This Row],[Value(1000$) 2022]:[Value(1000$) 2024]])</f>
        <v>2.8000000000000001E-2</v>
      </c>
      <c r="Q226" s="33">
        <f>SUM(Table2[[#This Row],[Volume(1000) 2022]:[Volume(1000) 2024]])</f>
        <v>0.80640000000000001</v>
      </c>
      <c r="R226" s="33">
        <f>AVERAGE(Table2[[#This Row],[Average Price(2022)]:[Average Price(2024)]])</f>
        <v>1.1574074074074075E-2</v>
      </c>
    </row>
    <row r="227" spans="1:18" x14ac:dyDescent="0.3">
      <c r="A227" t="s">
        <v>286</v>
      </c>
      <c r="B227" t="s">
        <v>757</v>
      </c>
      <c r="C227" t="s">
        <v>285</v>
      </c>
      <c r="D227" t="s">
        <v>9</v>
      </c>
      <c r="E227" t="s">
        <v>20</v>
      </c>
      <c r="F227" s="27" t="str">
        <f>IF('Working Sheet'!B343="ITEM",'Working Sheet'!E343,"")</f>
        <v>72</v>
      </c>
      <c r="G227" s="27">
        <f>IF('Working Sheet'!B343="ITEM",'Working Sheet'!F343,"")</f>
        <v>0</v>
      </c>
      <c r="H227" s="27">
        <f>IF('Working Sheet'!B343="ITEM",'Working Sheet'!G343,"")</f>
        <v>10.2052</v>
      </c>
      <c r="I227" s="27">
        <f>IF('Working Sheet'!B343="ITEM",'Working Sheet'!H343,"")</f>
        <v>14.4321</v>
      </c>
      <c r="J227">
        <f>IF('Working Sheet'!B343="ITEM",'Working Sheet'!I343,"")</f>
        <v>0</v>
      </c>
      <c r="K227">
        <f>IF('Working Sheet'!B343="ITEM",'Working Sheet'!J343,"")</f>
        <v>569.2527</v>
      </c>
      <c r="L227">
        <f>IF('Working Sheet'!B343="ITEM",'Working Sheet'!K343,"")</f>
        <v>716.4248</v>
      </c>
      <c r="M227" s="33">
        <f>IFERROR(Table2[[#This Row],[Value(1000$) 2022]]/Table2[[#This Row],[Volume(1000) 2022]],0)</f>
        <v>0</v>
      </c>
      <c r="N227" s="33">
        <f>IFERROR(Table2[[#This Row],[Value(1000$) 2023]]/Table2[[#This Row],[Volume(1000) 2023]],0)</f>
        <v>1.7927363366041126E-2</v>
      </c>
      <c r="O227" s="33">
        <f>IFERROR(Table2[[#This Row],[Value(1000$) 2024]]/Table2[[#This Row],[Volume(1000) 2024]],0)</f>
        <v>2.014461252597621E-2</v>
      </c>
      <c r="P227" s="33">
        <f>SUM(Table2[[#This Row],[Value(1000$) 2022]:[Value(1000$) 2024]])</f>
        <v>24.6373</v>
      </c>
      <c r="Q227" s="33">
        <f>SUM(Table2[[#This Row],[Volume(1000) 2022]:[Volume(1000) 2024]])</f>
        <v>1285.6775</v>
      </c>
      <c r="R227" s="33">
        <f>AVERAGE(Table2[[#This Row],[Average Price(2022)]:[Average Price(2024)]])</f>
        <v>1.2690658630672445E-2</v>
      </c>
    </row>
    <row r="228" spans="1:18" x14ac:dyDescent="0.3">
      <c r="A228" t="s">
        <v>288</v>
      </c>
      <c r="B228" t="s">
        <v>758</v>
      </c>
      <c r="C228" t="s">
        <v>287</v>
      </c>
      <c r="D228" t="s">
        <v>9</v>
      </c>
      <c r="E228" t="s">
        <v>20</v>
      </c>
      <c r="F228" s="27" t="str">
        <f>IF('Working Sheet'!B346="ITEM",'Working Sheet'!E346,"")</f>
        <v>72</v>
      </c>
      <c r="G228" s="27">
        <f>IF('Working Sheet'!B346="ITEM",'Working Sheet'!F346,"")</f>
        <v>0</v>
      </c>
      <c r="H228" s="27">
        <f>IF('Working Sheet'!B346="ITEM",'Working Sheet'!G346,"")</f>
        <v>0</v>
      </c>
      <c r="I228" s="27">
        <f>IF('Working Sheet'!B346="ITEM",'Working Sheet'!H346,"")</f>
        <v>0</v>
      </c>
      <c r="J228">
        <f>IF('Working Sheet'!B346="ITEM",'Working Sheet'!I346,"")</f>
        <v>0</v>
      </c>
      <c r="K228">
        <f>IF('Working Sheet'!B346="ITEM",'Working Sheet'!J346,"")</f>
        <v>0</v>
      </c>
      <c r="L228">
        <f>IF('Working Sheet'!B346="ITEM",'Working Sheet'!K346,"")</f>
        <v>0</v>
      </c>
      <c r="M228" s="33">
        <f>IFERROR(Table2[[#This Row],[Value(1000$) 2022]]/Table2[[#This Row],[Volume(1000) 2022]],0)</f>
        <v>0</v>
      </c>
      <c r="N228" s="33">
        <f>IFERROR(Table2[[#This Row],[Value(1000$) 2023]]/Table2[[#This Row],[Volume(1000) 2023]],0)</f>
        <v>0</v>
      </c>
      <c r="O228" s="33">
        <f>IFERROR(Table2[[#This Row],[Value(1000$) 2024]]/Table2[[#This Row],[Volume(1000) 2024]],0)</f>
        <v>0</v>
      </c>
      <c r="P228" s="33">
        <f>SUM(Table2[[#This Row],[Value(1000$) 2022]:[Value(1000$) 2024]])</f>
        <v>0</v>
      </c>
      <c r="Q228" s="33">
        <f>SUM(Table2[[#This Row],[Volume(1000) 2022]:[Volume(1000) 2024]])</f>
        <v>0</v>
      </c>
      <c r="R228" s="33">
        <f>AVERAGE(Table2[[#This Row],[Average Price(2022)]:[Average Price(2024)]])</f>
        <v>0</v>
      </c>
    </row>
    <row r="229" spans="1:18" x14ac:dyDescent="0.3">
      <c r="A229" t="s">
        <v>290</v>
      </c>
      <c r="B229" t="s">
        <v>759</v>
      </c>
      <c r="C229" t="s">
        <v>289</v>
      </c>
      <c r="D229" t="s">
        <v>9</v>
      </c>
      <c r="E229" t="s">
        <v>10</v>
      </c>
      <c r="F229" s="27" t="str">
        <f>IF('Working Sheet'!B349="ITEM",'Working Sheet'!E349,"")</f>
        <v>15</v>
      </c>
      <c r="G229" s="27">
        <f>IF('Working Sheet'!B349="ITEM",'Working Sheet'!F349,"")</f>
        <v>1.1900000000000001E-2</v>
      </c>
      <c r="H229" s="27">
        <f>IF('Working Sheet'!B349="ITEM",'Working Sheet'!G349,"")</f>
        <v>0</v>
      </c>
      <c r="I229" s="27">
        <f>IF('Working Sheet'!B349="ITEM",'Working Sheet'!H349,"")</f>
        <v>0</v>
      </c>
      <c r="J229">
        <f>IF('Working Sheet'!B349="ITEM",'Working Sheet'!I349,"")</f>
        <v>0.14000000000000001</v>
      </c>
      <c r="K229">
        <f>IF('Working Sheet'!B349="ITEM",'Working Sheet'!J349,"")</f>
        <v>0</v>
      </c>
      <c r="L229">
        <f>IF('Working Sheet'!B349="ITEM",'Working Sheet'!K349,"")</f>
        <v>0</v>
      </c>
      <c r="M229" s="33">
        <f>IFERROR(Table2[[#This Row],[Value(1000$) 2022]]/Table2[[#This Row],[Volume(1000) 2022]],0)</f>
        <v>8.4999999999999992E-2</v>
      </c>
      <c r="N229" s="33">
        <f>IFERROR(Table2[[#This Row],[Value(1000$) 2023]]/Table2[[#This Row],[Volume(1000) 2023]],0)</f>
        <v>0</v>
      </c>
      <c r="O229" s="33">
        <f>IFERROR(Table2[[#This Row],[Value(1000$) 2024]]/Table2[[#This Row],[Volume(1000) 2024]],0)</f>
        <v>0</v>
      </c>
      <c r="P229" s="33">
        <f>SUM(Table2[[#This Row],[Value(1000$) 2022]:[Value(1000$) 2024]])</f>
        <v>1.1900000000000001E-2</v>
      </c>
      <c r="Q229" s="33">
        <f>SUM(Table2[[#This Row],[Volume(1000) 2022]:[Volume(1000) 2024]])</f>
        <v>0.14000000000000001</v>
      </c>
      <c r="R229" s="33">
        <f>AVERAGE(Table2[[#This Row],[Average Price(2022)]:[Average Price(2024)]])</f>
        <v>2.8333333333333332E-2</v>
      </c>
    </row>
    <row r="230" spans="1:18" x14ac:dyDescent="0.3">
      <c r="A230" t="s">
        <v>291</v>
      </c>
      <c r="B230" t="s">
        <v>759</v>
      </c>
      <c r="C230" t="s">
        <v>289</v>
      </c>
      <c r="D230" t="s">
        <v>9</v>
      </c>
      <c r="E230" t="s">
        <v>20</v>
      </c>
      <c r="F230" s="27" t="str">
        <f>IF('Working Sheet'!B350="ITEM",'Working Sheet'!E350,"")</f>
        <v>80</v>
      </c>
      <c r="G230" s="27">
        <f>IF('Working Sheet'!B350="ITEM",'Working Sheet'!F350,"")</f>
        <v>0</v>
      </c>
      <c r="H230" s="27">
        <f>IF('Working Sheet'!B350="ITEM",'Working Sheet'!G350,"")</f>
        <v>0</v>
      </c>
      <c r="I230" s="27">
        <f>IF('Working Sheet'!B350="ITEM",'Working Sheet'!H350,"")</f>
        <v>0</v>
      </c>
      <c r="J230">
        <f>IF('Working Sheet'!B350="ITEM",'Working Sheet'!I350,"")</f>
        <v>0</v>
      </c>
      <c r="K230">
        <f>IF('Working Sheet'!B350="ITEM",'Working Sheet'!J350,"")</f>
        <v>0</v>
      </c>
      <c r="L230">
        <f>IF('Working Sheet'!B350="ITEM",'Working Sheet'!K350,"")</f>
        <v>0</v>
      </c>
      <c r="M230" s="33">
        <f>IFERROR(Table2[[#This Row],[Value(1000$) 2022]]/Table2[[#This Row],[Volume(1000) 2022]],0)</f>
        <v>0</v>
      </c>
      <c r="N230" s="33">
        <f>IFERROR(Table2[[#This Row],[Value(1000$) 2023]]/Table2[[#This Row],[Volume(1000) 2023]],0)</f>
        <v>0</v>
      </c>
      <c r="O230" s="33">
        <f>IFERROR(Table2[[#This Row],[Value(1000$) 2024]]/Table2[[#This Row],[Volume(1000) 2024]],0)</f>
        <v>0</v>
      </c>
      <c r="P230" s="33">
        <f>SUM(Table2[[#This Row],[Value(1000$) 2022]:[Value(1000$) 2024]])</f>
        <v>0</v>
      </c>
      <c r="Q230" s="33">
        <f>SUM(Table2[[#This Row],[Volume(1000) 2022]:[Volume(1000) 2024]])</f>
        <v>0</v>
      </c>
      <c r="R230" s="33">
        <f>AVERAGE(Table2[[#This Row],[Average Price(2022)]:[Average Price(2024)]])</f>
        <v>0</v>
      </c>
    </row>
    <row r="231" spans="1:18" x14ac:dyDescent="0.3">
      <c r="A231" t="s">
        <v>293</v>
      </c>
      <c r="B231" t="s">
        <v>760</v>
      </c>
      <c r="C231" t="s">
        <v>292</v>
      </c>
      <c r="D231" t="s">
        <v>9</v>
      </c>
      <c r="E231" t="s">
        <v>20</v>
      </c>
      <c r="F231" s="27" t="str">
        <f>IF('Working Sheet'!B353="ITEM",'Working Sheet'!E353,"")</f>
        <v>40</v>
      </c>
      <c r="G231" s="27">
        <f>IF('Working Sheet'!B353="ITEM",'Working Sheet'!F353,"")</f>
        <v>0</v>
      </c>
      <c r="H231" s="27">
        <f>IF('Working Sheet'!B353="ITEM",'Working Sheet'!G353,"")</f>
        <v>0</v>
      </c>
      <c r="I231" s="27">
        <f>IF('Working Sheet'!B353="ITEM",'Working Sheet'!H353,"")</f>
        <v>0.69599999999999995</v>
      </c>
      <c r="J231">
        <f>IF('Working Sheet'!B353="ITEM",'Working Sheet'!I353,"")</f>
        <v>0</v>
      </c>
      <c r="K231">
        <f>IF('Working Sheet'!B353="ITEM",'Working Sheet'!J353,"")</f>
        <v>0</v>
      </c>
      <c r="L231">
        <f>IF('Working Sheet'!B353="ITEM",'Working Sheet'!K353,"")</f>
        <v>11.551500000000001</v>
      </c>
      <c r="M231" s="33">
        <f>IFERROR(Table2[[#This Row],[Value(1000$) 2022]]/Table2[[#This Row],[Volume(1000) 2022]],0)</f>
        <v>0</v>
      </c>
      <c r="N231" s="33">
        <f>IFERROR(Table2[[#This Row],[Value(1000$) 2023]]/Table2[[#This Row],[Volume(1000) 2023]],0)</f>
        <v>0</v>
      </c>
      <c r="O231" s="33">
        <f>IFERROR(Table2[[#This Row],[Value(1000$) 2024]]/Table2[[#This Row],[Volume(1000) 2024]],0)</f>
        <v>6.0251915335670682E-2</v>
      </c>
      <c r="P231" s="33">
        <f>SUM(Table2[[#This Row],[Value(1000$) 2022]:[Value(1000$) 2024]])</f>
        <v>0.69599999999999995</v>
      </c>
      <c r="Q231" s="33">
        <f>SUM(Table2[[#This Row],[Volume(1000) 2022]:[Volume(1000) 2024]])</f>
        <v>11.551500000000001</v>
      </c>
      <c r="R231" s="33">
        <f>AVERAGE(Table2[[#This Row],[Average Price(2022)]:[Average Price(2024)]])</f>
        <v>2.0083971778556895E-2</v>
      </c>
    </row>
    <row r="232" spans="1:18" x14ac:dyDescent="0.3">
      <c r="A232" t="s">
        <v>294</v>
      </c>
      <c r="B232" t="s">
        <v>760</v>
      </c>
      <c r="C232" t="s">
        <v>292</v>
      </c>
      <c r="D232" t="s">
        <v>9</v>
      </c>
      <c r="E232" t="s">
        <v>20</v>
      </c>
      <c r="F232" s="27" t="str">
        <f>IF('Working Sheet'!B354="ITEM",'Working Sheet'!E354,"")</f>
        <v>90</v>
      </c>
      <c r="G232" s="27">
        <f>IF('Working Sheet'!B354="ITEM",'Working Sheet'!F354,"")</f>
        <v>0.33289999999999997</v>
      </c>
      <c r="H232" s="27">
        <f>IF('Working Sheet'!B354="ITEM",'Working Sheet'!G354,"")</f>
        <v>2.7199999999999998E-2</v>
      </c>
      <c r="I232" s="27">
        <f>IF('Working Sheet'!B354="ITEM",'Working Sheet'!H354,"")</f>
        <v>0.74419999999999997</v>
      </c>
      <c r="J232">
        <f>IF('Working Sheet'!B354="ITEM",'Working Sheet'!I354,"")</f>
        <v>16.585699999999999</v>
      </c>
      <c r="K232">
        <f>IF('Working Sheet'!B354="ITEM",'Working Sheet'!J354,"")</f>
        <v>2.2242999999999999</v>
      </c>
      <c r="L232">
        <f>IF('Working Sheet'!B354="ITEM",'Working Sheet'!K354,"")</f>
        <v>24.0091</v>
      </c>
      <c r="M232" s="33">
        <f>IFERROR(Table2[[#This Row],[Value(1000$) 2022]]/Table2[[#This Row],[Volume(1000) 2022]],0)</f>
        <v>2.0071507382865963E-2</v>
      </c>
      <c r="N232" s="33">
        <f>IFERROR(Table2[[#This Row],[Value(1000$) 2023]]/Table2[[#This Row],[Volume(1000) 2023]],0)</f>
        <v>1.2228566290518364E-2</v>
      </c>
      <c r="O232" s="33">
        <f>IFERROR(Table2[[#This Row],[Value(1000$) 2024]]/Table2[[#This Row],[Volume(1000) 2024]],0)</f>
        <v>3.0996580463241021E-2</v>
      </c>
      <c r="P232" s="33">
        <f>SUM(Table2[[#This Row],[Value(1000$) 2022]:[Value(1000$) 2024]])</f>
        <v>1.1042999999999998</v>
      </c>
      <c r="Q232" s="33">
        <f>SUM(Table2[[#This Row],[Volume(1000) 2022]:[Volume(1000) 2024]])</f>
        <v>42.819099999999999</v>
      </c>
      <c r="R232" s="33">
        <f>AVERAGE(Table2[[#This Row],[Average Price(2022)]:[Average Price(2024)]])</f>
        <v>2.1098884712208447E-2</v>
      </c>
    </row>
    <row r="233" spans="1:18" x14ac:dyDescent="0.3">
      <c r="A233" t="s">
        <v>296</v>
      </c>
      <c r="B233" t="s">
        <v>761</v>
      </c>
      <c r="C233" t="s">
        <v>295</v>
      </c>
      <c r="D233" t="s">
        <v>9</v>
      </c>
      <c r="E233" t="s">
        <v>20</v>
      </c>
      <c r="F233" s="27" t="str">
        <f>IF('Working Sheet'!B357="ITEM",'Working Sheet'!E357,"")</f>
        <v>120</v>
      </c>
      <c r="G233" s="27">
        <f>IF('Working Sheet'!B357="ITEM",'Working Sheet'!F357,"")</f>
        <v>0</v>
      </c>
      <c r="H233" s="27">
        <f>IF('Working Sheet'!B357="ITEM",'Working Sheet'!G357,"")</f>
        <v>3.2099999999999997E-2</v>
      </c>
      <c r="I233" s="27">
        <f>IF('Working Sheet'!B357="ITEM",'Working Sheet'!H357,"")</f>
        <v>0.19070000000000001</v>
      </c>
      <c r="J233">
        <f>IF('Working Sheet'!B357="ITEM",'Working Sheet'!I357,"")</f>
        <v>0</v>
      </c>
      <c r="K233">
        <f>IF('Working Sheet'!B357="ITEM",'Working Sheet'!J357,"")</f>
        <v>1.7567999999999999</v>
      </c>
      <c r="L233">
        <f>IF('Working Sheet'!B357="ITEM",'Working Sheet'!K357,"")</f>
        <v>7.8956</v>
      </c>
      <c r="M233" s="33">
        <f>IFERROR(Table2[[#This Row],[Value(1000$) 2022]]/Table2[[#This Row],[Volume(1000) 2022]],0)</f>
        <v>0</v>
      </c>
      <c r="N233" s="33">
        <f>IFERROR(Table2[[#This Row],[Value(1000$) 2023]]/Table2[[#This Row],[Volume(1000) 2023]],0)</f>
        <v>1.8271857923497267E-2</v>
      </c>
      <c r="O233" s="33">
        <f>IFERROR(Table2[[#This Row],[Value(1000$) 2024]]/Table2[[#This Row],[Volume(1000) 2024]],0)</f>
        <v>2.4152692638938145E-2</v>
      </c>
      <c r="P233" s="33">
        <f>SUM(Table2[[#This Row],[Value(1000$) 2022]:[Value(1000$) 2024]])</f>
        <v>0.2228</v>
      </c>
      <c r="Q233" s="33">
        <f>SUM(Table2[[#This Row],[Volume(1000) 2022]:[Volume(1000) 2024]])</f>
        <v>9.6524000000000001</v>
      </c>
      <c r="R233" s="33">
        <f>AVERAGE(Table2[[#This Row],[Average Price(2022)]:[Average Price(2024)]])</f>
        <v>1.4141516854145136E-2</v>
      </c>
    </row>
    <row r="234" spans="1:18" x14ac:dyDescent="0.3">
      <c r="A234" t="s">
        <v>297</v>
      </c>
      <c r="B234" t="s">
        <v>761</v>
      </c>
      <c r="C234" t="s">
        <v>295</v>
      </c>
      <c r="D234" t="s">
        <v>9</v>
      </c>
      <c r="E234" t="s">
        <v>30</v>
      </c>
      <c r="F234" s="27" t="str">
        <f>IF('Working Sheet'!B358="ITEM",'Working Sheet'!E358,"")</f>
        <v>70</v>
      </c>
      <c r="G234" s="27">
        <f>IF('Working Sheet'!B358="ITEM",'Working Sheet'!F358,"")</f>
        <v>0</v>
      </c>
      <c r="H234" s="27">
        <f>IF('Working Sheet'!B358="ITEM",'Working Sheet'!G358,"")</f>
        <v>0</v>
      </c>
      <c r="I234" s="27">
        <f>IF('Working Sheet'!B358="ITEM",'Working Sheet'!H358,"")</f>
        <v>2.2185000000000001</v>
      </c>
      <c r="J234">
        <f>IF('Working Sheet'!B358="ITEM",'Working Sheet'!I358,"")</f>
        <v>0</v>
      </c>
      <c r="K234">
        <f>IF('Working Sheet'!B358="ITEM",'Working Sheet'!J358,"")</f>
        <v>0</v>
      </c>
      <c r="L234">
        <f>IF('Working Sheet'!B358="ITEM",'Working Sheet'!K358,"")</f>
        <v>128.51750000000001</v>
      </c>
      <c r="M234" s="33">
        <f>IFERROR(Table2[[#This Row],[Value(1000$) 2022]]/Table2[[#This Row],[Volume(1000) 2022]],0)</f>
        <v>0</v>
      </c>
      <c r="N234" s="33">
        <f>IFERROR(Table2[[#This Row],[Value(1000$) 2023]]/Table2[[#This Row],[Volume(1000) 2023]],0)</f>
        <v>0</v>
      </c>
      <c r="O234" s="33">
        <f>IFERROR(Table2[[#This Row],[Value(1000$) 2024]]/Table2[[#This Row],[Volume(1000) 2024]],0)</f>
        <v>1.7262240550897739E-2</v>
      </c>
      <c r="P234" s="33">
        <f>SUM(Table2[[#This Row],[Value(1000$) 2022]:[Value(1000$) 2024]])</f>
        <v>2.2185000000000001</v>
      </c>
      <c r="Q234" s="33">
        <f>SUM(Table2[[#This Row],[Volume(1000) 2022]:[Volume(1000) 2024]])</f>
        <v>128.51750000000001</v>
      </c>
      <c r="R234" s="33">
        <f>AVERAGE(Table2[[#This Row],[Average Price(2022)]:[Average Price(2024)]])</f>
        <v>5.7540801836325796E-3</v>
      </c>
    </row>
    <row r="235" spans="1:18" x14ac:dyDescent="0.3">
      <c r="A235" t="s">
        <v>298</v>
      </c>
      <c r="B235" t="s">
        <v>761</v>
      </c>
      <c r="C235" t="s">
        <v>295</v>
      </c>
      <c r="D235" t="s">
        <v>9</v>
      </c>
      <c r="E235" t="s">
        <v>20</v>
      </c>
      <c r="F235" s="27" t="str">
        <f>IF('Working Sheet'!B359="ITEM",'Working Sheet'!E359,"")</f>
        <v>70</v>
      </c>
      <c r="G235" s="27">
        <f>IF('Working Sheet'!B359="ITEM",'Working Sheet'!F359,"")</f>
        <v>0</v>
      </c>
      <c r="H235" s="27">
        <f>IF('Working Sheet'!B359="ITEM",'Working Sheet'!G359,"")</f>
        <v>7.0191999999999997</v>
      </c>
      <c r="I235" s="27">
        <f>IF('Working Sheet'!B359="ITEM",'Working Sheet'!H359,"")</f>
        <v>7.8216999999999999</v>
      </c>
      <c r="J235">
        <f>IF('Working Sheet'!B359="ITEM",'Working Sheet'!I359,"")</f>
        <v>0</v>
      </c>
      <c r="K235">
        <f>IF('Working Sheet'!B359="ITEM",'Working Sheet'!J359,"")</f>
        <v>471.142</v>
      </c>
      <c r="L235">
        <f>IF('Working Sheet'!B359="ITEM",'Working Sheet'!K359,"")</f>
        <v>503.7824</v>
      </c>
      <c r="M235" s="33">
        <f>IFERROR(Table2[[#This Row],[Value(1000$) 2022]]/Table2[[#This Row],[Volume(1000) 2022]],0)</f>
        <v>0</v>
      </c>
      <c r="N235" s="33">
        <f>IFERROR(Table2[[#This Row],[Value(1000$) 2023]]/Table2[[#This Row],[Volume(1000) 2023]],0)</f>
        <v>1.4898268462586651E-2</v>
      </c>
      <c r="O235" s="33">
        <f>IFERROR(Table2[[#This Row],[Value(1000$) 2024]]/Table2[[#This Row],[Volume(1000) 2024]],0)</f>
        <v>1.5525949298744854E-2</v>
      </c>
      <c r="P235" s="33">
        <f>SUM(Table2[[#This Row],[Value(1000$) 2022]:[Value(1000$) 2024]])</f>
        <v>14.8409</v>
      </c>
      <c r="Q235" s="33">
        <f>SUM(Table2[[#This Row],[Volume(1000) 2022]:[Volume(1000) 2024]])</f>
        <v>974.92439999999999</v>
      </c>
      <c r="R235" s="33">
        <f>AVERAGE(Table2[[#This Row],[Average Price(2022)]:[Average Price(2024)]])</f>
        <v>1.0141405920443835E-2</v>
      </c>
    </row>
    <row r="236" spans="1:18" x14ac:dyDescent="0.3">
      <c r="A236" t="s">
        <v>299</v>
      </c>
      <c r="B236" t="s">
        <v>761</v>
      </c>
      <c r="C236" t="s">
        <v>295</v>
      </c>
      <c r="D236" t="s">
        <v>9</v>
      </c>
      <c r="E236" t="s">
        <v>20</v>
      </c>
      <c r="F236" s="27" t="str">
        <f>IF('Working Sheet'!B360="ITEM",'Working Sheet'!E360,"")</f>
        <v>72</v>
      </c>
      <c r="G236" s="27">
        <f>IF('Working Sheet'!B360="ITEM",'Working Sheet'!F360,"")</f>
        <v>8.5007999999999999</v>
      </c>
      <c r="H236" s="27">
        <f>IF('Working Sheet'!B360="ITEM",'Working Sheet'!G360,"")</f>
        <v>1.8512999999999999</v>
      </c>
      <c r="I236" s="27">
        <f>IF('Working Sheet'!B360="ITEM",'Working Sheet'!H360,"")</f>
        <v>0.35020000000000001</v>
      </c>
      <c r="J236">
        <f>IF('Working Sheet'!B360="ITEM",'Working Sheet'!I360,"")</f>
        <v>288.41750000000002</v>
      </c>
      <c r="K236">
        <f>IF('Working Sheet'!B360="ITEM",'Working Sheet'!J360,"")</f>
        <v>66.691299999999998</v>
      </c>
      <c r="L236">
        <f>IF('Working Sheet'!B360="ITEM",'Working Sheet'!K360,"")</f>
        <v>13.4161</v>
      </c>
      <c r="M236" s="33">
        <f>IFERROR(Table2[[#This Row],[Value(1000$) 2022]]/Table2[[#This Row],[Volume(1000) 2022]],0)</f>
        <v>2.9473939688125717E-2</v>
      </c>
      <c r="N236" s="33">
        <f>IFERROR(Table2[[#This Row],[Value(1000$) 2023]]/Table2[[#This Row],[Volume(1000) 2023]],0)</f>
        <v>2.7759242959726382E-2</v>
      </c>
      <c r="O236" s="33">
        <f>IFERROR(Table2[[#This Row],[Value(1000$) 2024]]/Table2[[#This Row],[Volume(1000) 2024]],0)</f>
        <v>2.6102965839550987E-2</v>
      </c>
      <c r="P236" s="33">
        <f>SUM(Table2[[#This Row],[Value(1000$) 2022]:[Value(1000$) 2024]])</f>
        <v>10.702299999999999</v>
      </c>
      <c r="Q236" s="33">
        <f>SUM(Table2[[#This Row],[Volume(1000) 2022]:[Volume(1000) 2024]])</f>
        <v>368.5249</v>
      </c>
      <c r="R236" s="33">
        <f>AVERAGE(Table2[[#This Row],[Average Price(2022)]:[Average Price(2024)]])</f>
        <v>2.7778716162467697E-2</v>
      </c>
    </row>
    <row r="237" spans="1:18" x14ac:dyDescent="0.3">
      <c r="A237" t="s">
        <v>300</v>
      </c>
      <c r="B237" t="s">
        <v>761</v>
      </c>
      <c r="C237" t="s">
        <v>295</v>
      </c>
      <c r="D237" t="s">
        <v>9</v>
      </c>
      <c r="E237" t="s">
        <v>20</v>
      </c>
      <c r="F237" s="27" t="str">
        <f>IF('Working Sheet'!B361="ITEM",'Working Sheet'!E361,"")</f>
        <v>72</v>
      </c>
      <c r="G237" s="27">
        <f>IF('Working Sheet'!B361="ITEM",'Working Sheet'!F361,"")</f>
        <v>32.951099999999997</v>
      </c>
      <c r="H237" s="27">
        <f>IF('Working Sheet'!B361="ITEM",'Working Sheet'!G361,"")</f>
        <v>14.947100000000001</v>
      </c>
      <c r="I237" s="27">
        <f>IF('Working Sheet'!B361="ITEM",'Working Sheet'!H361,"")</f>
        <v>4.2103999999999999</v>
      </c>
      <c r="J237">
        <f>IF('Working Sheet'!B361="ITEM",'Working Sheet'!I361,"")</f>
        <v>1259.2874999999999</v>
      </c>
      <c r="K237">
        <f>IF('Working Sheet'!B361="ITEM",'Working Sheet'!J361,"")</f>
        <v>556.85670000000005</v>
      </c>
      <c r="L237">
        <f>IF('Working Sheet'!B361="ITEM",'Working Sheet'!K361,"")</f>
        <v>163.69149999999999</v>
      </c>
      <c r="M237" s="33">
        <f>IFERROR(Table2[[#This Row],[Value(1000$) 2022]]/Table2[[#This Row],[Volume(1000) 2022]],0)</f>
        <v>2.6166463178583128E-2</v>
      </c>
      <c r="N237" s="33">
        <f>IFERROR(Table2[[#This Row],[Value(1000$) 2023]]/Table2[[#This Row],[Volume(1000) 2023]],0)</f>
        <v>2.684191462543236E-2</v>
      </c>
      <c r="O237" s="33">
        <f>IFERROR(Table2[[#This Row],[Value(1000$) 2024]]/Table2[[#This Row],[Volume(1000) 2024]],0)</f>
        <v>2.572155548699841E-2</v>
      </c>
      <c r="P237" s="33">
        <f>SUM(Table2[[#This Row],[Value(1000$) 2022]:[Value(1000$) 2024]])</f>
        <v>52.108599999999996</v>
      </c>
      <c r="Q237" s="33">
        <f>SUM(Table2[[#This Row],[Volume(1000) 2022]:[Volume(1000) 2024]])</f>
        <v>1979.8356999999999</v>
      </c>
      <c r="R237" s="33">
        <f>AVERAGE(Table2[[#This Row],[Average Price(2022)]:[Average Price(2024)]])</f>
        <v>2.6243311097004632E-2</v>
      </c>
    </row>
    <row r="238" spans="1:18" x14ac:dyDescent="0.3">
      <c r="A238" t="s">
        <v>823</v>
      </c>
      <c r="B238" t="s">
        <v>762</v>
      </c>
      <c r="C238" t="s">
        <v>301</v>
      </c>
      <c r="D238" t="s">
        <v>9</v>
      </c>
      <c r="E238" t="s">
        <v>30</v>
      </c>
      <c r="F238" s="27" t="str">
        <f>IF('Working Sheet'!B364="ITEM",'Working Sheet'!E364,"")</f>
        <v>24</v>
      </c>
      <c r="G238" s="27">
        <f>IF('Working Sheet'!B364="ITEM",'Working Sheet'!F364,"")</f>
        <v>0</v>
      </c>
      <c r="H238" s="27">
        <f>IF('Working Sheet'!B364="ITEM",'Working Sheet'!G364,"")</f>
        <v>0</v>
      </c>
      <c r="I238" s="27">
        <f>IF('Working Sheet'!B364="ITEM",'Working Sheet'!H364,"")</f>
        <v>0</v>
      </c>
      <c r="J238">
        <f>IF('Working Sheet'!B364="ITEM",'Working Sheet'!I364,"")</f>
        <v>0</v>
      </c>
      <c r="K238">
        <f>IF('Working Sheet'!B364="ITEM",'Working Sheet'!J364,"")</f>
        <v>0</v>
      </c>
      <c r="L238">
        <f>IF('Working Sheet'!B364="ITEM",'Working Sheet'!K364,"")</f>
        <v>0</v>
      </c>
      <c r="M238" s="33">
        <f>IFERROR(Table2[[#This Row],[Value(1000$) 2022]]/Table2[[#This Row],[Volume(1000) 2022]],0)</f>
        <v>0</v>
      </c>
      <c r="N238" s="33">
        <f>IFERROR(Table2[[#This Row],[Value(1000$) 2023]]/Table2[[#This Row],[Volume(1000) 2023]],0)</f>
        <v>0</v>
      </c>
      <c r="O238" s="33">
        <f>IFERROR(Table2[[#This Row],[Value(1000$) 2024]]/Table2[[#This Row],[Volume(1000) 2024]],0)</f>
        <v>0</v>
      </c>
      <c r="P238" s="33">
        <f>SUM(Table2[[#This Row],[Value(1000$) 2022]:[Value(1000$) 2024]])</f>
        <v>0</v>
      </c>
      <c r="Q238" s="33">
        <f>SUM(Table2[[#This Row],[Volume(1000) 2022]:[Volume(1000) 2024]])</f>
        <v>0</v>
      </c>
      <c r="R238" s="33">
        <f>AVERAGE(Table2[[#This Row],[Average Price(2022)]:[Average Price(2024)]])</f>
        <v>0</v>
      </c>
    </row>
    <row r="239" spans="1:18" x14ac:dyDescent="0.3">
      <c r="A239" t="s">
        <v>302</v>
      </c>
      <c r="B239" t="s">
        <v>762</v>
      </c>
      <c r="C239" t="s">
        <v>301</v>
      </c>
      <c r="D239" t="s">
        <v>9</v>
      </c>
      <c r="E239" t="s">
        <v>30</v>
      </c>
      <c r="F239" s="27" t="str">
        <f>IF('Working Sheet'!B365="ITEM",'Working Sheet'!E365,"")</f>
        <v>56</v>
      </c>
      <c r="G239" s="27">
        <f>IF('Working Sheet'!B365="ITEM",'Working Sheet'!F365,"")</f>
        <v>53.822000000000003</v>
      </c>
      <c r="H239" s="27">
        <f>IF('Working Sheet'!B365="ITEM",'Working Sheet'!G365,"")</f>
        <v>66.983199999999997</v>
      </c>
      <c r="I239" s="27">
        <f>IF('Working Sheet'!B365="ITEM",'Working Sheet'!H365,"")</f>
        <v>42.143000000000001</v>
      </c>
      <c r="J239">
        <f>IF('Working Sheet'!B365="ITEM",'Working Sheet'!I365,"")</f>
        <v>1325.5655999999999</v>
      </c>
      <c r="K239">
        <f>IF('Working Sheet'!B365="ITEM",'Working Sheet'!J365,"")</f>
        <v>1594.76</v>
      </c>
      <c r="L239">
        <f>IF('Working Sheet'!B365="ITEM",'Working Sheet'!K365,"")</f>
        <v>1015.3249</v>
      </c>
      <c r="M239" s="33">
        <f>IFERROR(Table2[[#This Row],[Value(1000$) 2022]]/Table2[[#This Row],[Volume(1000) 2022]],0)</f>
        <v>4.0603045220847622E-2</v>
      </c>
      <c r="N239" s="33">
        <f>IFERROR(Table2[[#This Row],[Value(1000$) 2023]]/Table2[[#This Row],[Volume(1000) 2023]],0)</f>
        <v>4.2002056735809777E-2</v>
      </c>
      <c r="O239" s="33">
        <f>IFERROR(Table2[[#This Row],[Value(1000$) 2024]]/Table2[[#This Row],[Volume(1000) 2024]],0)</f>
        <v>4.1506910743546233E-2</v>
      </c>
      <c r="P239" s="33">
        <f>SUM(Table2[[#This Row],[Value(1000$) 2022]:[Value(1000$) 2024]])</f>
        <v>162.94819999999999</v>
      </c>
      <c r="Q239" s="33">
        <f>SUM(Table2[[#This Row],[Volume(1000) 2022]:[Volume(1000) 2024]])</f>
        <v>3935.6505000000002</v>
      </c>
      <c r="R239" s="33">
        <f>AVERAGE(Table2[[#This Row],[Average Price(2022)]:[Average Price(2024)]])</f>
        <v>4.137067090006788E-2</v>
      </c>
    </row>
    <row r="240" spans="1:18" x14ac:dyDescent="0.3">
      <c r="A240" t="s">
        <v>303</v>
      </c>
      <c r="B240" t="s">
        <v>762</v>
      </c>
      <c r="C240" t="s">
        <v>301</v>
      </c>
      <c r="D240" t="s">
        <v>9</v>
      </c>
      <c r="E240" t="s">
        <v>30</v>
      </c>
      <c r="F240" s="27" t="str">
        <f>IF('Working Sheet'!B366="ITEM",'Working Sheet'!E366,"")</f>
        <v>56</v>
      </c>
      <c r="G240" s="27">
        <f>IF('Working Sheet'!B366="ITEM",'Working Sheet'!F366,"")</f>
        <v>81.760300000000001</v>
      </c>
      <c r="H240" s="27">
        <f>IF('Working Sheet'!B366="ITEM",'Working Sheet'!G366,"")</f>
        <v>83.135000000000005</v>
      </c>
      <c r="I240" s="27">
        <f>IF('Working Sheet'!B366="ITEM",'Working Sheet'!H366,"")</f>
        <v>53.412599999999998</v>
      </c>
      <c r="J240">
        <f>IF('Working Sheet'!B366="ITEM",'Working Sheet'!I366,"")</f>
        <v>1959.0420999999999</v>
      </c>
      <c r="K240">
        <f>IF('Working Sheet'!B366="ITEM",'Working Sheet'!J366,"")</f>
        <v>1973.6881000000001</v>
      </c>
      <c r="L240">
        <f>IF('Working Sheet'!B366="ITEM",'Working Sheet'!K366,"")</f>
        <v>1284.8007</v>
      </c>
      <c r="M240" s="33">
        <f>IFERROR(Table2[[#This Row],[Value(1000$) 2022]]/Table2[[#This Row],[Volume(1000) 2022]],0)</f>
        <v>4.1734835611751279E-2</v>
      </c>
      <c r="N240" s="33">
        <f>IFERROR(Table2[[#This Row],[Value(1000$) 2023]]/Table2[[#This Row],[Volume(1000) 2023]],0)</f>
        <v>4.2121650325601091E-2</v>
      </c>
      <c r="O240" s="33">
        <f>IFERROR(Table2[[#This Row],[Value(1000$) 2024]]/Table2[[#This Row],[Volume(1000) 2024]],0)</f>
        <v>4.1572673489359085E-2</v>
      </c>
      <c r="P240" s="33">
        <f>SUM(Table2[[#This Row],[Value(1000$) 2022]:[Value(1000$) 2024]])</f>
        <v>218.30790000000002</v>
      </c>
      <c r="Q240" s="33">
        <f>SUM(Table2[[#This Row],[Volume(1000) 2022]:[Volume(1000) 2024]])</f>
        <v>5217.5308999999997</v>
      </c>
      <c r="R240" s="33">
        <f>AVERAGE(Table2[[#This Row],[Average Price(2022)]:[Average Price(2024)]])</f>
        <v>4.1809719808903821E-2</v>
      </c>
    </row>
    <row r="241" spans="1:18" x14ac:dyDescent="0.3">
      <c r="A241" t="s">
        <v>304</v>
      </c>
      <c r="B241" t="s">
        <v>762</v>
      </c>
      <c r="C241" t="s">
        <v>301</v>
      </c>
      <c r="D241" t="s">
        <v>9</v>
      </c>
      <c r="E241" t="s">
        <v>30</v>
      </c>
      <c r="F241" s="27" t="str">
        <f>IF('Working Sheet'!B367="ITEM",'Working Sheet'!E367,"")</f>
        <v>56</v>
      </c>
      <c r="G241" s="27">
        <f>IF('Working Sheet'!B367="ITEM",'Working Sheet'!F367,"")</f>
        <v>24.3629</v>
      </c>
      <c r="H241" s="27">
        <f>IF('Working Sheet'!B367="ITEM",'Working Sheet'!G367,"")</f>
        <v>18.871200000000002</v>
      </c>
      <c r="I241" s="27">
        <f>IF('Working Sheet'!B367="ITEM",'Working Sheet'!H367,"")</f>
        <v>0.95489999999999997</v>
      </c>
      <c r="J241">
        <f>IF('Working Sheet'!B367="ITEM",'Working Sheet'!I367,"")</f>
        <v>571.42309999999998</v>
      </c>
      <c r="K241">
        <f>IF('Working Sheet'!B367="ITEM",'Working Sheet'!J367,"")</f>
        <v>430.0342</v>
      </c>
      <c r="L241">
        <f>IF('Working Sheet'!B367="ITEM",'Working Sheet'!K367,"")</f>
        <v>21.356300000000001</v>
      </c>
      <c r="M241" s="33">
        <f>IFERROR(Table2[[#This Row],[Value(1000$) 2022]]/Table2[[#This Row],[Volume(1000) 2022]],0)</f>
        <v>4.2635483234751977E-2</v>
      </c>
      <c r="N241" s="33">
        <f>IFERROR(Table2[[#This Row],[Value(1000$) 2023]]/Table2[[#This Row],[Volume(1000) 2023]],0)</f>
        <v>4.3883021396902852E-2</v>
      </c>
      <c r="O241" s="33">
        <f>IFERROR(Table2[[#This Row],[Value(1000$) 2024]]/Table2[[#This Row],[Volume(1000) 2024]],0)</f>
        <v>4.4712801374769968E-2</v>
      </c>
      <c r="P241" s="33">
        <f>SUM(Table2[[#This Row],[Value(1000$) 2022]:[Value(1000$) 2024]])</f>
        <v>44.189</v>
      </c>
      <c r="Q241" s="33">
        <f>SUM(Table2[[#This Row],[Volume(1000) 2022]:[Volume(1000) 2024]])</f>
        <v>1022.8136000000001</v>
      </c>
      <c r="R241" s="33">
        <f>AVERAGE(Table2[[#This Row],[Average Price(2022)]:[Average Price(2024)]])</f>
        <v>4.3743768668808268E-2</v>
      </c>
    </row>
    <row r="242" spans="1:18" x14ac:dyDescent="0.3">
      <c r="A242" t="s">
        <v>305</v>
      </c>
      <c r="B242" t="s">
        <v>762</v>
      </c>
      <c r="C242" t="s">
        <v>301</v>
      </c>
      <c r="D242" t="s">
        <v>9</v>
      </c>
      <c r="E242" t="s">
        <v>30</v>
      </c>
      <c r="F242" s="27" t="str">
        <f>IF('Working Sheet'!B368="ITEM",'Working Sheet'!E368,"")</f>
        <v>56</v>
      </c>
      <c r="G242" s="27">
        <f>IF('Working Sheet'!B368="ITEM",'Working Sheet'!F368,"")</f>
        <v>0</v>
      </c>
      <c r="H242" s="27">
        <f>IF('Working Sheet'!B368="ITEM",'Working Sheet'!G368,"")</f>
        <v>0</v>
      </c>
      <c r="I242" s="27">
        <f>IF('Working Sheet'!B368="ITEM",'Working Sheet'!H368,"")</f>
        <v>0</v>
      </c>
      <c r="J242">
        <f>IF('Working Sheet'!B368="ITEM",'Working Sheet'!I368,"")</f>
        <v>0</v>
      </c>
      <c r="K242">
        <f>IF('Working Sheet'!B368="ITEM",'Working Sheet'!J368,"")</f>
        <v>0</v>
      </c>
      <c r="L242">
        <f>IF('Working Sheet'!B368="ITEM",'Working Sheet'!K368,"")</f>
        <v>0</v>
      </c>
      <c r="M242" s="33">
        <f>IFERROR(Table2[[#This Row],[Value(1000$) 2022]]/Table2[[#This Row],[Volume(1000) 2022]],0)</f>
        <v>0</v>
      </c>
      <c r="N242" s="33">
        <f>IFERROR(Table2[[#This Row],[Value(1000$) 2023]]/Table2[[#This Row],[Volume(1000) 2023]],0)</f>
        <v>0</v>
      </c>
      <c r="O242" s="33">
        <f>IFERROR(Table2[[#This Row],[Value(1000$) 2024]]/Table2[[#This Row],[Volume(1000) 2024]],0)</f>
        <v>0</v>
      </c>
      <c r="P242" s="33">
        <f>SUM(Table2[[#This Row],[Value(1000$) 2022]:[Value(1000$) 2024]])</f>
        <v>0</v>
      </c>
      <c r="Q242" s="33">
        <f>SUM(Table2[[#This Row],[Volume(1000) 2022]:[Volume(1000) 2024]])</f>
        <v>0</v>
      </c>
      <c r="R242" s="33">
        <f>AVERAGE(Table2[[#This Row],[Average Price(2022)]:[Average Price(2024)]])</f>
        <v>0</v>
      </c>
    </row>
    <row r="243" spans="1:18" x14ac:dyDescent="0.3">
      <c r="A243" t="s">
        <v>306</v>
      </c>
      <c r="B243" t="s">
        <v>762</v>
      </c>
      <c r="C243" t="s">
        <v>301</v>
      </c>
      <c r="D243" t="s">
        <v>9</v>
      </c>
      <c r="E243" t="s">
        <v>10</v>
      </c>
      <c r="F243" s="27" t="str">
        <f>IF('Working Sheet'!B369="ITEM",'Working Sheet'!E369,"")</f>
        <v>56</v>
      </c>
      <c r="G243" s="27">
        <f>IF('Working Sheet'!B369="ITEM",'Working Sheet'!F369,"")</f>
        <v>6.2572999999999999</v>
      </c>
      <c r="H243" s="27">
        <f>IF('Working Sheet'!B369="ITEM",'Working Sheet'!G369,"")</f>
        <v>18.031600000000001</v>
      </c>
      <c r="I243" s="27">
        <f>IF('Working Sheet'!B369="ITEM",'Working Sheet'!H369,"")</f>
        <v>4.2451999999999996</v>
      </c>
      <c r="J243">
        <f>IF('Working Sheet'!B369="ITEM",'Working Sheet'!I369,"")</f>
        <v>140.29249999999999</v>
      </c>
      <c r="K243">
        <f>IF('Working Sheet'!B369="ITEM",'Working Sheet'!J369,"")</f>
        <v>398.21929999999998</v>
      </c>
      <c r="L243">
        <f>IF('Working Sheet'!B369="ITEM",'Working Sheet'!K369,"")</f>
        <v>95.220100000000002</v>
      </c>
      <c r="M243" s="33">
        <f>IFERROR(Table2[[#This Row],[Value(1000$) 2022]]/Table2[[#This Row],[Volume(1000) 2022]],0)</f>
        <v>4.460181406703851E-2</v>
      </c>
      <c r="N243" s="33">
        <f>IFERROR(Table2[[#This Row],[Value(1000$) 2023]]/Table2[[#This Row],[Volume(1000) 2023]],0)</f>
        <v>4.5280577812275805E-2</v>
      </c>
      <c r="O243" s="33">
        <f>IFERROR(Table2[[#This Row],[Value(1000$) 2024]]/Table2[[#This Row],[Volume(1000) 2024]],0)</f>
        <v>4.4583023962377684E-2</v>
      </c>
      <c r="P243" s="33">
        <f>SUM(Table2[[#This Row],[Value(1000$) 2022]:[Value(1000$) 2024]])</f>
        <v>28.534100000000002</v>
      </c>
      <c r="Q243" s="33">
        <f>SUM(Table2[[#This Row],[Volume(1000) 2022]:[Volume(1000) 2024]])</f>
        <v>633.7319</v>
      </c>
      <c r="R243" s="33">
        <f>AVERAGE(Table2[[#This Row],[Average Price(2022)]:[Average Price(2024)]])</f>
        <v>4.4821805280564002E-2</v>
      </c>
    </row>
    <row r="244" spans="1:18" x14ac:dyDescent="0.3">
      <c r="A244" t="s">
        <v>307</v>
      </c>
      <c r="B244" t="s">
        <v>762</v>
      </c>
      <c r="C244" t="s">
        <v>301</v>
      </c>
      <c r="D244" t="s">
        <v>9</v>
      </c>
      <c r="E244" t="s">
        <v>20</v>
      </c>
      <c r="F244" s="27" t="str">
        <f>IF('Working Sheet'!B370="ITEM",'Working Sheet'!E370,"")</f>
        <v>64</v>
      </c>
      <c r="G244" s="27">
        <f>IF('Working Sheet'!B370="ITEM",'Working Sheet'!F370,"")</f>
        <v>0</v>
      </c>
      <c r="H244" s="27">
        <f>IF('Working Sheet'!B370="ITEM",'Working Sheet'!G370,"")</f>
        <v>0</v>
      </c>
      <c r="I244" s="27">
        <f>IF('Working Sheet'!B370="ITEM",'Working Sheet'!H370,"")</f>
        <v>0.16520000000000001</v>
      </c>
      <c r="J244">
        <f>IF('Working Sheet'!B370="ITEM",'Working Sheet'!I370,"")</f>
        <v>0</v>
      </c>
      <c r="K244">
        <f>IF('Working Sheet'!B370="ITEM",'Working Sheet'!J370,"")</f>
        <v>0</v>
      </c>
      <c r="L244">
        <f>IF('Working Sheet'!B370="ITEM",'Working Sheet'!K370,"")</f>
        <v>4.4053000000000004</v>
      </c>
      <c r="M244" s="33">
        <f>IFERROR(Table2[[#This Row],[Value(1000$) 2022]]/Table2[[#This Row],[Volume(1000) 2022]],0)</f>
        <v>0</v>
      </c>
      <c r="N244" s="33">
        <f>IFERROR(Table2[[#This Row],[Value(1000$) 2023]]/Table2[[#This Row],[Volume(1000) 2023]],0)</f>
        <v>0</v>
      </c>
      <c r="O244" s="33">
        <f>IFERROR(Table2[[#This Row],[Value(1000$) 2024]]/Table2[[#This Row],[Volume(1000) 2024]],0)</f>
        <v>3.7500283749120379E-2</v>
      </c>
      <c r="P244" s="33">
        <f>SUM(Table2[[#This Row],[Value(1000$) 2022]:[Value(1000$) 2024]])</f>
        <v>0.16520000000000001</v>
      </c>
      <c r="Q244" s="33">
        <f>SUM(Table2[[#This Row],[Volume(1000) 2022]:[Volume(1000) 2024]])</f>
        <v>4.4053000000000004</v>
      </c>
      <c r="R244" s="33">
        <f>AVERAGE(Table2[[#This Row],[Average Price(2022)]:[Average Price(2024)]])</f>
        <v>1.2500094583040126E-2</v>
      </c>
    </row>
    <row r="245" spans="1:18" x14ac:dyDescent="0.3">
      <c r="A245" t="s">
        <v>308</v>
      </c>
      <c r="B245" t="s">
        <v>762</v>
      </c>
      <c r="C245" t="s">
        <v>301</v>
      </c>
      <c r="D245" t="s">
        <v>9</v>
      </c>
      <c r="E245" t="s">
        <v>10</v>
      </c>
      <c r="F245" s="27" t="str">
        <f>IF('Working Sheet'!B371="ITEM",'Working Sheet'!E371,"")</f>
        <v>64</v>
      </c>
      <c r="G245" s="27">
        <f>IF('Working Sheet'!B371="ITEM",'Working Sheet'!F371,"")</f>
        <v>2.9600000000000001E-2</v>
      </c>
      <c r="H245" s="27">
        <f>IF('Working Sheet'!B371="ITEM",'Working Sheet'!G371,"")</f>
        <v>0</v>
      </c>
      <c r="I245" s="27">
        <f>IF('Working Sheet'!B371="ITEM",'Working Sheet'!H371,"")</f>
        <v>0</v>
      </c>
      <c r="J245">
        <f>IF('Working Sheet'!B371="ITEM",'Working Sheet'!I371,"")</f>
        <v>0.8246</v>
      </c>
      <c r="K245">
        <f>IF('Working Sheet'!B371="ITEM",'Working Sheet'!J371,"")</f>
        <v>0</v>
      </c>
      <c r="L245">
        <f>IF('Working Sheet'!B371="ITEM",'Working Sheet'!K371,"")</f>
        <v>0</v>
      </c>
      <c r="M245" s="33">
        <f>IFERROR(Table2[[#This Row],[Value(1000$) 2022]]/Table2[[#This Row],[Volume(1000) 2022]],0)</f>
        <v>3.5896192093136069E-2</v>
      </c>
      <c r="N245" s="33">
        <f>IFERROR(Table2[[#This Row],[Value(1000$) 2023]]/Table2[[#This Row],[Volume(1000) 2023]],0)</f>
        <v>0</v>
      </c>
      <c r="O245" s="33">
        <f>IFERROR(Table2[[#This Row],[Value(1000$) 2024]]/Table2[[#This Row],[Volume(1000) 2024]],0)</f>
        <v>0</v>
      </c>
      <c r="P245" s="33">
        <f>SUM(Table2[[#This Row],[Value(1000$) 2022]:[Value(1000$) 2024]])</f>
        <v>2.9600000000000001E-2</v>
      </c>
      <c r="Q245" s="33">
        <f>SUM(Table2[[#This Row],[Volume(1000) 2022]:[Volume(1000) 2024]])</f>
        <v>0.8246</v>
      </c>
      <c r="R245" s="33">
        <f>AVERAGE(Table2[[#This Row],[Average Price(2022)]:[Average Price(2024)]])</f>
        <v>1.196539736437869E-2</v>
      </c>
    </row>
    <row r="246" spans="1:18" x14ac:dyDescent="0.3">
      <c r="A246" t="s">
        <v>309</v>
      </c>
      <c r="B246" t="s">
        <v>762</v>
      </c>
      <c r="C246" t="s">
        <v>301</v>
      </c>
      <c r="D246" t="s">
        <v>9</v>
      </c>
      <c r="E246" t="s">
        <v>10</v>
      </c>
      <c r="F246" s="27" t="str">
        <f>IF('Working Sheet'!B372="ITEM",'Working Sheet'!E372,"")</f>
        <v>64</v>
      </c>
      <c r="G246" s="27">
        <f>IF('Working Sheet'!B372="ITEM",'Working Sheet'!F372,"")</f>
        <v>0</v>
      </c>
      <c r="H246" s="27">
        <f>IF('Working Sheet'!B372="ITEM",'Working Sheet'!G372,"")</f>
        <v>0</v>
      </c>
      <c r="I246" s="27">
        <f>IF('Working Sheet'!B372="ITEM",'Working Sheet'!H372,"")</f>
        <v>0</v>
      </c>
      <c r="J246">
        <f>IF('Working Sheet'!B372="ITEM",'Working Sheet'!I372,"")</f>
        <v>0</v>
      </c>
      <c r="K246">
        <f>IF('Working Sheet'!B372="ITEM",'Working Sheet'!J372,"")</f>
        <v>0</v>
      </c>
      <c r="L246">
        <f>IF('Working Sheet'!B372="ITEM",'Working Sheet'!K372,"")</f>
        <v>0</v>
      </c>
      <c r="M246" s="33">
        <f>IFERROR(Table2[[#This Row],[Value(1000$) 2022]]/Table2[[#This Row],[Volume(1000) 2022]],0)</f>
        <v>0</v>
      </c>
      <c r="N246" s="33">
        <f>IFERROR(Table2[[#This Row],[Value(1000$) 2023]]/Table2[[#This Row],[Volume(1000) 2023]],0)</f>
        <v>0</v>
      </c>
      <c r="O246" s="33">
        <f>IFERROR(Table2[[#This Row],[Value(1000$) 2024]]/Table2[[#This Row],[Volume(1000) 2024]],0)</f>
        <v>0</v>
      </c>
      <c r="P246" s="33">
        <f>SUM(Table2[[#This Row],[Value(1000$) 2022]:[Value(1000$) 2024]])</f>
        <v>0</v>
      </c>
      <c r="Q246" s="33">
        <f>SUM(Table2[[#This Row],[Volume(1000) 2022]:[Volume(1000) 2024]])</f>
        <v>0</v>
      </c>
      <c r="R246" s="33">
        <f>AVERAGE(Table2[[#This Row],[Average Price(2022)]:[Average Price(2024)]])</f>
        <v>0</v>
      </c>
    </row>
    <row r="247" spans="1:18" x14ac:dyDescent="0.3">
      <c r="A247" t="s">
        <v>310</v>
      </c>
      <c r="B247" t="s">
        <v>762</v>
      </c>
      <c r="C247" t="s">
        <v>301</v>
      </c>
      <c r="D247" t="s">
        <v>9</v>
      </c>
      <c r="E247" t="s">
        <v>10</v>
      </c>
      <c r="F247" s="27" t="str">
        <f>IF('Working Sheet'!B373="ITEM",'Working Sheet'!E373,"")</f>
        <v>72</v>
      </c>
      <c r="G247" s="27">
        <f>IF('Working Sheet'!B373="ITEM",'Working Sheet'!F373,"")</f>
        <v>2.3472</v>
      </c>
      <c r="H247" s="27">
        <f>IF('Working Sheet'!B373="ITEM",'Working Sheet'!G373,"")</f>
        <v>0.8044</v>
      </c>
      <c r="I247" s="27">
        <f>IF('Working Sheet'!B373="ITEM",'Working Sheet'!H373,"")</f>
        <v>0</v>
      </c>
      <c r="J247">
        <f>IF('Working Sheet'!B373="ITEM",'Working Sheet'!I373,"")</f>
        <v>54.641800000000003</v>
      </c>
      <c r="K247">
        <f>IF('Working Sheet'!B373="ITEM",'Working Sheet'!J373,"")</f>
        <v>24.183599999999998</v>
      </c>
      <c r="L247">
        <f>IF('Working Sheet'!B373="ITEM",'Working Sheet'!K373,"")</f>
        <v>0</v>
      </c>
      <c r="M247" s="33">
        <f>IFERROR(Table2[[#This Row],[Value(1000$) 2022]]/Table2[[#This Row],[Volume(1000) 2022]],0)</f>
        <v>4.2956125164251541E-2</v>
      </c>
      <c r="N247" s="33">
        <f>IFERROR(Table2[[#This Row],[Value(1000$) 2023]]/Table2[[#This Row],[Volume(1000) 2023]],0)</f>
        <v>3.3262210754395546E-2</v>
      </c>
      <c r="O247" s="33">
        <f>IFERROR(Table2[[#This Row],[Value(1000$) 2024]]/Table2[[#This Row],[Volume(1000) 2024]],0)</f>
        <v>0</v>
      </c>
      <c r="P247" s="33">
        <f>SUM(Table2[[#This Row],[Value(1000$) 2022]:[Value(1000$) 2024]])</f>
        <v>3.1516000000000002</v>
      </c>
      <c r="Q247" s="33">
        <f>SUM(Table2[[#This Row],[Volume(1000) 2022]:[Volume(1000) 2024]])</f>
        <v>78.825400000000002</v>
      </c>
      <c r="R247" s="33">
        <f>AVERAGE(Table2[[#This Row],[Average Price(2022)]:[Average Price(2024)]])</f>
        <v>2.5406111972882364E-2</v>
      </c>
    </row>
    <row r="248" spans="1:18" x14ac:dyDescent="0.3">
      <c r="A248" t="s">
        <v>312</v>
      </c>
      <c r="B248" t="s">
        <v>763</v>
      </c>
      <c r="C248" t="s">
        <v>311</v>
      </c>
      <c r="D248" t="s">
        <v>9</v>
      </c>
      <c r="E248" t="s">
        <v>30</v>
      </c>
      <c r="F248" s="27" t="str">
        <f>IF('Working Sheet'!B376="ITEM",'Working Sheet'!E376,"")</f>
        <v>70</v>
      </c>
      <c r="G248" s="27">
        <f>IF('Working Sheet'!B376="ITEM",'Working Sheet'!F376,"")</f>
        <v>5.9740000000000002</v>
      </c>
      <c r="H248" s="27">
        <f>IF('Working Sheet'!B376="ITEM",'Working Sheet'!G376,"")</f>
        <v>0</v>
      </c>
      <c r="I248" s="27">
        <f>IF('Working Sheet'!B376="ITEM",'Working Sheet'!H376,"")</f>
        <v>0</v>
      </c>
      <c r="J248">
        <f>IF('Working Sheet'!B376="ITEM",'Working Sheet'!I376,"")</f>
        <v>416.80889999999999</v>
      </c>
      <c r="K248">
        <f>IF('Working Sheet'!B376="ITEM",'Working Sheet'!J376,"")</f>
        <v>0</v>
      </c>
      <c r="L248">
        <f>IF('Working Sheet'!B376="ITEM",'Working Sheet'!K376,"")</f>
        <v>0</v>
      </c>
      <c r="M248" s="33">
        <f>IFERROR(Table2[[#This Row],[Value(1000$) 2022]]/Table2[[#This Row],[Volume(1000) 2022]],0)</f>
        <v>1.4332707387006371E-2</v>
      </c>
      <c r="N248" s="33">
        <f>IFERROR(Table2[[#This Row],[Value(1000$) 2023]]/Table2[[#This Row],[Volume(1000) 2023]],0)</f>
        <v>0</v>
      </c>
      <c r="O248" s="33">
        <f>IFERROR(Table2[[#This Row],[Value(1000$) 2024]]/Table2[[#This Row],[Volume(1000) 2024]],0)</f>
        <v>0</v>
      </c>
      <c r="P248" s="33">
        <f>SUM(Table2[[#This Row],[Value(1000$) 2022]:[Value(1000$) 2024]])</f>
        <v>5.9740000000000002</v>
      </c>
      <c r="Q248" s="33">
        <f>SUM(Table2[[#This Row],[Volume(1000) 2022]:[Volume(1000) 2024]])</f>
        <v>416.80889999999999</v>
      </c>
      <c r="R248" s="33">
        <f>AVERAGE(Table2[[#This Row],[Average Price(2022)]:[Average Price(2024)]])</f>
        <v>4.7775691290021238E-3</v>
      </c>
    </row>
    <row r="249" spans="1:18" x14ac:dyDescent="0.3">
      <c r="A249" t="s">
        <v>313</v>
      </c>
      <c r="B249" t="s">
        <v>763</v>
      </c>
      <c r="C249" t="s">
        <v>311</v>
      </c>
      <c r="D249" t="s">
        <v>9</v>
      </c>
      <c r="E249" t="s">
        <v>20</v>
      </c>
      <c r="F249" s="27" t="str">
        <f>IF('Working Sheet'!B377="ITEM",'Working Sheet'!E377,"")</f>
        <v>80</v>
      </c>
      <c r="G249" s="27">
        <f>IF('Working Sheet'!B377="ITEM",'Working Sheet'!F377,"")</f>
        <v>0.1293</v>
      </c>
      <c r="H249" s="27">
        <f>IF('Working Sheet'!B377="ITEM",'Working Sheet'!G377,"")</f>
        <v>8.2299999999999998E-2</v>
      </c>
      <c r="I249" s="27">
        <f>IF('Working Sheet'!B377="ITEM",'Working Sheet'!H377,"")</f>
        <v>0</v>
      </c>
      <c r="J249">
        <f>IF('Working Sheet'!B377="ITEM",'Working Sheet'!I377,"")</f>
        <v>5.4459999999999997</v>
      </c>
      <c r="K249">
        <f>IF('Working Sheet'!B377="ITEM",'Working Sheet'!J377,"")</f>
        <v>3.4649000000000001</v>
      </c>
      <c r="L249">
        <f>IF('Working Sheet'!B377="ITEM",'Working Sheet'!K377,"")</f>
        <v>0</v>
      </c>
      <c r="M249" s="33">
        <f>IFERROR(Table2[[#This Row],[Value(1000$) 2022]]/Table2[[#This Row],[Volume(1000) 2022]],0)</f>
        <v>2.3742196107234669E-2</v>
      </c>
      <c r="N249" s="33">
        <f>IFERROR(Table2[[#This Row],[Value(1000$) 2023]]/Table2[[#This Row],[Volume(1000) 2023]],0)</f>
        <v>2.3752489249328983E-2</v>
      </c>
      <c r="O249" s="33">
        <f>IFERROR(Table2[[#This Row],[Value(1000$) 2024]]/Table2[[#This Row],[Volume(1000) 2024]],0)</f>
        <v>0</v>
      </c>
      <c r="P249" s="33">
        <f>SUM(Table2[[#This Row],[Value(1000$) 2022]:[Value(1000$) 2024]])</f>
        <v>0.21160000000000001</v>
      </c>
      <c r="Q249" s="33">
        <f>SUM(Table2[[#This Row],[Volume(1000) 2022]:[Volume(1000) 2024]])</f>
        <v>8.9108999999999998</v>
      </c>
      <c r="R249" s="33">
        <f>AVERAGE(Table2[[#This Row],[Average Price(2022)]:[Average Price(2024)]])</f>
        <v>1.5831561785521215E-2</v>
      </c>
    </row>
    <row r="250" spans="1:18" x14ac:dyDescent="0.3">
      <c r="A250" t="s">
        <v>315</v>
      </c>
      <c r="B250" t="s">
        <v>764</v>
      </c>
      <c r="C250" t="s">
        <v>314</v>
      </c>
      <c r="D250" t="s">
        <v>9</v>
      </c>
      <c r="E250" t="s">
        <v>30</v>
      </c>
      <c r="F250" s="27" t="str">
        <f>IF('Working Sheet'!B380="ITEM",'Working Sheet'!E380,"")</f>
        <v>72</v>
      </c>
      <c r="G250" s="27">
        <f>IF('Working Sheet'!B380="ITEM",'Working Sheet'!F380,"")</f>
        <v>11.181699999999999</v>
      </c>
      <c r="H250" s="27">
        <f>IF('Working Sheet'!B380="ITEM",'Working Sheet'!G380,"")</f>
        <v>15.1816</v>
      </c>
      <c r="I250" s="27">
        <f>IF('Working Sheet'!B380="ITEM",'Working Sheet'!H380,"")</f>
        <v>9.6165000000000003</v>
      </c>
      <c r="J250">
        <f>IF('Working Sheet'!B380="ITEM",'Working Sheet'!I380,"")</f>
        <v>586.38080000000002</v>
      </c>
      <c r="K250">
        <f>IF('Working Sheet'!B380="ITEM",'Working Sheet'!J380,"")</f>
        <v>752.94479999999999</v>
      </c>
      <c r="L250">
        <f>IF('Working Sheet'!B380="ITEM",'Working Sheet'!K380,"")</f>
        <v>438.76389999999998</v>
      </c>
      <c r="M250" s="33">
        <f>IFERROR(Table2[[#This Row],[Value(1000$) 2022]]/Table2[[#This Row],[Volume(1000) 2022]],0)</f>
        <v>1.9069007716487306E-2</v>
      </c>
      <c r="N250" s="33">
        <f>IFERROR(Table2[[#This Row],[Value(1000$) 2023]]/Table2[[#This Row],[Volume(1000) 2023]],0)</f>
        <v>2.0162965465728697E-2</v>
      </c>
      <c r="O250" s="33">
        <f>IFERROR(Table2[[#This Row],[Value(1000$) 2024]]/Table2[[#This Row],[Volume(1000) 2024]],0)</f>
        <v>2.1917254359349072E-2</v>
      </c>
      <c r="P250" s="33">
        <f>SUM(Table2[[#This Row],[Value(1000$) 2022]:[Value(1000$) 2024]])</f>
        <v>35.979799999999997</v>
      </c>
      <c r="Q250" s="33">
        <f>SUM(Table2[[#This Row],[Volume(1000) 2022]:[Volume(1000) 2024]])</f>
        <v>1778.0895</v>
      </c>
      <c r="R250" s="33">
        <f>AVERAGE(Table2[[#This Row],[Average Price(2022)]:[Average Price(2024)]])</f>
        <v>2.0383075847188358E-2</v>
      </c>
    </row>
    <row r="251" spans="1:18" x14ac:dyDescent="0.3">
      <c r="A251" t="s">
        <v>317</v>
      </c>
      <c r="B251" t="s">
        <v>765</v>
      </c>
      <c r="C251" t="s">
        <v>316</v>
      </c>
      <c r="D251" t="s">
        <v>9</v>
      </c>
      <c r="E251" t="s">
        <v>69</v>
      </c>
      <c r="F251" s="27" t="str">
        <f>IF('Working Sheet'!B383="ITEM",'Working Sheet'!E383,"")</f>
        <v>25</v>
      </c>
      <c r="G251" s="27">
        <f>IF('Working Sheet'!B383="ITEM",'Working Sheet'!F383,"")</f>
        <v>8.2699999999999996E-2</v>
      </c>
      <c r="H251" s="27">
        <f>IF('Working Sheet'!B383="ITEM",'Working Sheet'!G383,"")</f>
        <v>4.5199999999999997E-2</v>
      </c>
      <c r="I251" s="27">
        <f>IF('Working Sheet'!B383="ITEM",'Working Sheet'!H383,"")</f>
        <v>5.4999999999999997E-3</v>
      </c>
      <c r="J251">
        <f>IF('Working Sheet'!B383="ITEM",'Working Sheet'!I383,"")</f>
        <v>0.35360000000000003</v>
      </c>
      <c r="K251">
        <f>IF('Working Sheet'!B383="ITEM",'Working Sheet'!J383,"")</f>
        <v>0.2</v>
      </c>
      <c r="L251">
        <f>IF('Working Sheet'!B383="ITEM",'Working Sheet'!K383,"")</f>
        <v>2.5000000000000001E-2</v>
      </c>
      <c r="M251" s="33">
        <f>IFERROR(Table2[[#This Row],[Value(1000$) 2022]]/Table2[[#This Row],[Volume(1000) 2022]],0)</f>
        <v>0.23388009049773753</v>
      </c>
      <c r="N251" s="33">
        <f>IFERROR(Table2[[#This Row],[Value(1000$) 2023]]/Table2[[#This Row],[Volume(1000) 2023]],0)</f>
        <v>0.22599999999999998</v>
      </c>
      <c r="O251" s="33">
        <f>IFERROR(Table2[[#This Row],[Value(1000$) 2024]]/Table2[[#This Row],[Volume(1000) 2024]],0)</f>
        <v>0.21999999999999997</v>
      </c>
      <c r="P251" s="33">
        <f>SUM(Table2[[#This Row],[Value(1000$) 2022]:[Value(1000$) 2024]])</f>
        <v>0.13339999999999999</v>
      </c>
      <c r="Q251" s="33">
        <f>SUM(Table2[[#This Row],[Volume(1000) 2022]:[Volume(1000) 2024]])</f>
        <v>0.57860000000000011</v>
      </c>
      <c r="R251" s="33">
        <f>AVERAGE(Table2[[#This Row],[Average Price(2022)]:[Average Price(2024)]])</f>
        <v>0.22662669683257916</v>
      </c>
    </row>
    <row r="252" spans="1:18" x14ac:dyDescent="0.3">
      <c r="A252" t="s">
        <v>318</v>
      </c>
      <c r="B252" t="s">
        <v>765</v>
      </c>
      <c r="C252" t="s">
        <v>316</v>
      </c>
      <c r="D252" t="s">
        <v>9</v>
      </c>
      <c r="E252" t="s">
        <v>69</v>
      </c>
      <c r="F252" s="27" t="str">
        <f>IF('Working Sheet'!B384="ITEM",'Working Sheet'!E384,"")</f>
        <v>25</v>
      </c>
      <c r="G252" s="27">
        <f>IF('Working Sheet'!B384="ITEM",'Working Sheet'!F384,"")</f>
        <v>2.0510000000000002</v>
      </c>
      <c r="H252" s="27">
        <f>IF('Working Sheet'!B384="ITEM",'Working Sheet'!G384,"")</f>
        <v>2.5941999999999998</v>
      </c>
      <c r="I252" s="27">
        <f>IF('Working Sheet'!B384="ITEM",'Working Sheet'!H384,"")</f>
        <v>0.76219999999999999</v>
      </c>
      <c r="J252">
        <f>IF('Working Sheet'!B384="ITEM",'Working Sheet'!I384,"")</f>
        <v>8.6088000000000005</v>
      </c>
      <c r="K252">
        <f>IF('Working Sheet'!B384="ITEM",'Working Sheet'!J384,"")</f>
        <v>11.446400000000001</v>
      </c>
      <c r="L252">
        <f>IF('Working Sheet'!B384="ITEM",'Working Sheet'!K384,"")</f>
        <v>3.6349999999999998</v>
      </c>
      <c r="M252" s="33">
        <f>IFERROR(Table2[[#This Row],[Value(1000$) 2022]]/Table2[[#This Row],[Volume(1000) 2022]],0)</f>
        <v>0.23824458693429978</v>
      </c>
      <c r="N252" s="33">
        <f>IFERROR(Table2[[#This Row],[Value(1000$) 2023]]/Table2[[#This Row],[Volume(1000) 2023]],0)</f>
        <v>0.22663894324853226</v>
      </c>
      <c r="O252" s="33">
        <f>IFERROR(Table2[[#This Row],[Value(1000$) 2024]]/Table2[[#This Row],[Volume(1000) 2024]],0)</f>
        <v>0.20968363136176066</v>
      </c>
      <c r="P252" s="33">
        <f>SUM(Table2[[#This Row],[Value(1000$) 2022]:[Value(1000$) 2024]])</f>
        <v>5.4074</v>
      </c>
      <c r="Q252" s="33">
        <f>SUM(Table2[[#This Row],[Volume(1000) 2022]:[Volume(1000) 2024]])</f>
        <v>23.690199999999997</v>
      </c>
      <c r="R252" s="33">
        <f>AVERAGE(Table2[[#This Row],[Average Price(2022)]:[Average Price(2024)]])</f>
        <v>0.22485572051486424</v>
      </c>
    </row>
    <row r="253" spans="1:18" x14ac:dyDescent="0.3">
      <c r="A253" t="s">
        <v>319</v>
      </c>
      <c r="B253" t="s">
        <v>765</v>
      </c>
      <c r="C253" t="s">
        <v>316</v>
      </c>
      <c r="D253" t="s">
        <v>9</v>
      </c>
      <c r="E253" t="s">
        <v>69</v>
      </c>
      <c r="F253" s="27" t="str">
        <f>IF('Working Sheet'!B385="ITEM",'Working Sheet'!E385,"")</f>
        <v>50</v>
      </c>
      <c r="G253" s="27">
        <f>IF('Working Sheet'!B385="ITEM",'Working Sheet'!F385,"")</f>
        <v>10.297499999999999</v>
      </c>
      <c r="H253" s="27">
        <f>IF('Working Sheet'!B385="ITEM",'Working Sheet'!G385,"")</f>
        <v>4.8240999999999996</v>
      </c>
      <c r="I253" s="27">
        <f>IF('Working Sheet'!B385="ITEM",'Working Sheet'!H385,"")</f>
        <v>4.976</v>
      </c>
      <c r="J253">
        <f>IF('Working Sheet'!B385="ITEM",'Working Sheet'!I385,"")</f>
        <v>49.665700000000001</v>
      </c>
      <c r="K253">
        <f>IF('Working Sheet'!B385="ITEM",'Working Sheet'!J385,"")</f>
        <v>27.7622</v>
      </c>
      <c r="L253">
        <f>IF('Working Sheet'!B385="ITEM",'Working Sheet'!K385,"")</f>
        <v>22.308599999999998</v>
      </c>
      <c r="M253" s="33">
        <f>IFERROR(Table2[[#This Row],[Value(1000$) 2022]]/Table2[[#This Row],[Volume(1000) 2022]],0)</f>
        <v>0.20733625016862742</v>
      </c>
      <c r="N253" s="33">
        <f>IFERROR(Table2[[#This Row],[Value(1000$) 2023]]/Table2[[#This Row],[Volume(1000) 2023]],0)</f>
        <v>0.17376504743860355</v>
      </c>
      <c r="O253" s="33">
        <f>IFERROR(Table2[[#This Row],[Value(1000$) 2024]]/Table2[[#This Row],[Volume(1000) 2024]],0)</f>
        <v>0.22305299301614626</v>
      </c>
      <c r="P253" s="33">
        <f>SUM(Table2[[#This Row],[Value(1000$) 2022]:[Value(1000$) 2024]])</f>
        <v>20.0976</v>
      </c>
      <c r="Q253" s="33">
        <f>SUM(Table2[[#This Row],[Volume(1000) 2022]:[Volume(1000) 2024]])</f>
        <v>99.736499999999992</v>
      </c>
      <c r="R253" s="33">
        <f>AVERAGE(Table2[[#This Row],[Average Price(2022)]:[Average Price(2024)]])</f>
        <v>0.20138476354112575</v>
      </c>
    </row>
    <row r="254" spans="1:18" x14ac:dyDescent="0.3">
      <c r="A254" t="s">
        <v>320</v>
      </c>
      <c r="B254" t="s">
        <v>765</v>
      </c>
      <c r="C254" t="s">
        <v>316</v>
      </c>
      <c r="D254" t="s">
        <v>9</v>
      </c>
      <c r="E254" t="s">
        <v>69</v>
      </c>
      <c r="F254" s="27" t="str">
        <f>IF('Working Sheet'!B386="ITEM",'Working Sheet'!E386,"")</f>
        <v>50</v>
      </c>
      <c r="G254" s="27">
        <f>IF('Working Sheet'!B386="ITEM",'Working Sheet'!F386,"")</f>
        <v>0.2089</v>
      </c>
      <c r="H254" s="27">
        <f>IF('Working Sheet'!B386="ITEM",'Working Sheet'!G386,"")</f>
        <v>0</v>
      </c>
      <c r="I254" s="27">
        <f>IF('Working Sheet'!B386="ITEM",'Working Sheet'!H386,"")</f>
        <v>0</v>
      </c>
      <c r="J254">
        <f>IF('Working Sheet'!B386="ITEM",'Working Sheet'!I386,"")</f>
        <v>1.25</v>
      </c>
      <c r="K254">
        <f>IF('Working Sheet'!B386="ITEM",'Working Sheet'!J386,"")</f>
        <v>0</v>
      </c>
      <c r="L254">
        <f>IF('Working Sheet'!B386="ITEM",'Working Sheet'!K386,"")</f>
        <v>0</v>
      </c>
      <c r="M254" s="33">
        <f>IFERROR(Table2[[#This Row],[Value(1000$) 2022]]/Table2[[#This Row],[Volume(1000) 2022]],0)</f>
        <v>0.16711999999999999</v>
      </c>
      <c r="N254" s="33">
        <f>IFERROR(Table2[[#This Row],[Value(1000$) 2023]]/Table2[[#This Row],[Volume(1000) 2023]],0)</f>
        <v>0</v>
      </c>
      <c r="O254" s="33">
        <f>IFERROR(Table2[[#This Row],[Value(1000$) 2024]]/Table2[[#This Row],[Volume(1000) 2024]],0)</f>
        <v>0</v>
      </c>
      <c r="P254" s="33">
        <f>SUM(Table2[[#This Row],[Value(1000$) 2022]:[Value(1000$) 2024]])</f>
        <v>0.2089</v>
      </c>
      <c r="Q254" s="33">
        <f>SUM(Table2[[#This Row],[Volume(1000) 2022]:[Volume(1000) 2024]])</f>
        <v>1.25</v>
      </c>
      <c r="R254" s="33">
        <f>AVERAGE(Table2[[#This Row],[Average Price(2022)]:[Average Price(2024)]])</f>
        <v>5.5706666666666661E-2</v>
      </c>
    </row>
    <row r="255" spans="1:18" x14ac:dyDescent="0.3">
      <c r="A255" t="s">
        <v>321</v>
      </c>
      <c r="B255" t="s">
        <v>765</v>
      </c>
      <c r="C255" t="s">
        <v>316</v>
      </c>
      <c r="D255" t="s">
        <v>9</v>
      </c>
      <c r="E255" t="s">
        <v>10</v>
      </c>
      <c r="F255" s="27" t="str">
        <f>IF('Working Sheet'!B387="ITEM",'Working Sheet'!E387,"")</f>
        <v>60</v>
      </c>
      <c r="G255" s="27">
        <f>IF('Working Sheet'!B387="ITEM",'Working Sheet'!F387,"")</f>
        <v>0</v>
      </c>
      <c r="H255" s="27">
        <f>IF('Working Sheet'!B387="ITEM",'Working Sheet'!G387,"")</f>
        <v>0</v>
      </c>
      <c r="I255" s="27">
        <f>IF('Working Sheet'!B387="ITEM",'Working Sheet'!H387,"")</f>
        <v>0.18790000000000001</v>
      </c>
      <c r="J255">
        <f>IF('Working Sheet'!B387="ITEM",'Working Sheet'!I387,"")</f>
        <v>0</v>
      </c>
      <c r="K255">
        <f>IF('Working Sheet'!B387="ITEM",'Working Sheet'!J387,"")</f>
        <v>0</v>
      </c>
      <c r="L255">
        <f>IF('Working Sheet'!B387="ITEM",'Working Sheet'!K387,"")</f>
        <v>1.0885</v>
      </c>
      <c r="M255" s="33">
        <f>IFERROR(Table2[[#This Row],[Value(1000$) 2022]]/Table2[[#This Row],[Volume(1000) 2022]],0)</f>
        <v>0</v>
      </c>
      <c r="N255" s="33">
        <f>IFERROR(Table2[[#This Row],[Value(1000$) 2023]]/Table2[[#This Row],[Volume(1000) 2023]],0)</f>
        <v>0</v>
      </c>
      <c r="O255" s="33">
        <f>IFERROR(Table2[[#This Row],[Value(1000$) 2024]]/Table2[[#This Row],[Volume(1000) 2024]],0)</f>
        <v>0.17262287551676619</v>
      </c>
      <c r="P255" s="33">
        <f>SUM(Table2[[#This Row],[Value(1000$) 2022]:[Value(1000$) 2024]])</f>
        <v>0.18790000000000001</v>
      </c>
      <c r="Q255" s="33">
        <f>SUM(Table2[[#This Row],[Volume(1000) 2022]:[Volume(1000) 2024]])</f>
        <v>1.0885</v>
      </c>
      <c r="R255" s="33">
        <f>AVERAGE(Table2[[#This Row],[Average Price(2022)]:[Average Price(2024)]])</f>
        <v>5.7540958505588734E-2</v>
      </c>
    </row>
    <row r="256" spans="1:18" x14ac:dyDescent="0.3">
      <c r="A256" t="s">
        <v>322</v>
      </c>
      <c r="B256" t="s">
        <v>765</v>
      </c>
      <c r="C256" t="s">
        <v>316</v>
      </c>
      <c r="D256" t="s">
        <v>9</v>
      </c>
      <c r="E256" t="s">
        <v>10</v>
      </c>
      <c r="F256" s="27" t="str">
        <f>IF('Working Sheet'!B388="ITEM",'Working Sheet'!E388,"")</f>
        <v>70</v>
      </c>
      <c r="G256" s="27">
        <f>IF('Working Sheet'!B388="ITEM",'Working Sheet'!F388,"")</f>
        <v>1.4366000000000001</v>
      </c>
      <c r="H256" s="27">
        <f>IF('Working Sheet'!B388="ITEM",'Working Sheet'!G388,"")</f>
        <v>2.8525</v>
      </c>
      <c r="I256" s="27">
        <f>IF('Working Sheet'!B388="ITEM",'Working Sheet'!H388,"")</f>
        <v>1.1071</v>
      </c>
      <c r="J256">
        <f>IF('Working Sheet'!B388="ITEM",'Working Sheet'!I388,"")</f>
        <v>10.09</v>
      </c>
      <c r="K256">
        <f>IF('Working Sheet'!B388="ITEM",'Working Sheet'!J388,"")</f>
        <v>20.329999999999998</v>
      </c>
      <c r="L256">
        <f>IF('Working Sheet'!B388="ITEM",'Working Sheet'!K388,"")</f>
        <v>7.64</v>
      </c>
      <c r="M256" s="33">
        <f>IFERROR(Table2[[#This Row],[Value(1000$) 2022]]/Table2[[#This Row],[Volume(1000) 2022]],0)</f>
        <v>0.14237859266600597</v>
      </c>
      <c r="N256" s="33">
        <f>IFERROR(Table2[[#This Row],[Value(1000$) 2023]]/Table2[[#This Row],[Volume(1000) 2023]],0)</f>
        <v>0.14030988686669948</v>
      </c>
      <c r="O256" s="33">
        <f>IFERROR(Table2[[#This Row],[Value(1000$) 2024]]/Table2[[#This Row],[Volume(1000) 2024]],0)</f>
        <v>0.14490837696335079</v>
      </c>
      <c r="P256" s="33">
        <f>SUM(Table2[[#This Row],[Value(1000$) 2022]:[Value(1000$) 2024]])</f>
        <v>5.3962000000000003</v>
      </c>
      <c r="Q256" s="33">
        <f>SUM(Table2[[#This Row],[Volume(1000) 2022]:[Volume(1000) 2024]])</f>
        <v>38.059999999999995</v>
      </c>
      <c r="R256" s="33">
        <f>AVERAGE(Table2[[#This Row],[Average Price(2022)]:[Average Price(2024)]])</f>
        <v>0.14253228549868543</v>
      </c>
    </row>
    <row r="257" spans="1:18" x14ac:dyDescent="0.3">
      <c r="A257" t="s">
        <v>323</v>
      </c>
      <c r="B257" t="s">
        <v>765</v>
      </c>
      <c r="C257" t="s">
        <v>316</v>
      </c>
      <c r="D257" t="s">
        <v>9</v>
      </c>
      <c r="E257" t="s">
        <v>69</v>
      </c>
      <c r="F257" s="27" t="str">
        <f>IF('Working Sheet'!B389="ITEM",'Working Sheet'!E389,"")</f>
        <v>70</v>
      </c>
      <c r="G257" s="27">
        <f>IF('Working Sheet'!B389="ITEM",'Working Sheet'!F389,"")</f>
        <v>6.5038999999999998</v>
      </c>
      <c r="H257" s="27">
        <f>IF('Working Sheet'!B389="ITEM",'Working Sheet'!G389,"")</f>
        <v>6.5046999999999997</v>
      </c>
      <c r="I257" s="27">
        <f>IF('Working Sheet'!B389="ITEM",'Working Sheet'!H389,"")</f>
        <v>1.2238</v>
      </c>
      <c r="J257">
        <f>IF('Working Sheet'!B389="ITEM",'Working Sheet'!I389,"")</f>
        <v>46.08</v>
      </c>
      <c r="K257">
        <f>IF('Working Sheet'!B389="ITEM",'Working Sheet'!J389,"")</f>
        <v>47.101700000000001</v>
      </c>
      <c r="L257">
        <f>IF('Working Sheet'!B389="ITEM",'Working Sheet'!K389,"")</f>
        <v>9.65</v>
      </c>
      <c r="M257" s="33">
        <f>IFERROR(Table2[[#This Row],[Value(1000$) 2022]]/Table2[[#This Row],[Volume(1000) 2022]],0)</f>
        <v>0.14114366319444444</v>
      </c>
      <c r="N257" s="33">
        <f>IFERROR(Table2[[#This Row],[Value(1000$) 2023]]/Table2[[#This Row],[Volume(1000) 2023]],0)</f>
        <v>0.13809904950352109</v>
      </c>
      <c r="O257" s="33">
        <f>IFERROR(Table2[[#This Row],[Value(1000$) 2024]]/Table2[[#This Row],[Volume(1000) 2024]],0)</f>
        <v>0.12681865284974092</v>
      </c>
      <c r="P257" s="33">
        <f>SUM(Table2[[#This Row],[Value(1000$) 2022]:[Value(1000$) 2024]])</f>
        <v>14.2324</v>
      </c>
      <c r="Q257" s="33">
        <f>SUM(Table2[[#This Row],[Volume(1000) 2022]:[Volume(1000) 2024]])</f>
        <v>102.83170000000001</v>
      </c>
      <c r="R257" s="33">
        <f>AVERAGE(Table2[[#This Row],[Average Price(2022)]:[Average Price(2024)]])</f>
        <v>0.13535378851590216</v>
      </c>
    </row>
    <row r="258" spans="1:18" x14ac:dyDescent="0.3">
      <c r="A258" t="s">
        <v>324</v>
      </c>
      <c r="B258" t="s">
        <v>765</v>
      </c>
      <c r="C258" t="s">
        <v>316</v>
      </c>
      <c r="D258" t="s">
        <v>9</v>
      </c>
      <c r="E258" t="s">
        <v>30</v>
      </c>
      <c r="F258" s="27" t="str">
        <f>IF('Working Sheet'!B390="ITEM",'Working Sheet'!E390,"")</f>
        <v>70</v>
      </c>
      <c r="G258" s="27">
        <f>IF('Working Sheet'!B390="ITEM",'Working Sheet'!F390,"")</f>
        <v>0</v>
      </c>
      <c r="H258" s="27">
        <f>IF('Working Sheet'!B390="ITEM",'Working Sheet'!G390,"")</f>
        <v>6.5199999999999994E-2</v>
      </c>
      <c r="I258" s="27">
        <f>IF('Working Sheet'!B390="ITEM",'Working Sheet'!H390,"")</f>
        <v>0</v>
      </c>
      <c r="J258">
        <f>IF('Working Sheet'!B390="ITEM",'Working Sheet'!I390,"")</f>
        <v>0</v>
      </c>
      <c r="K258">
        <f>IF('Working Sheet'!B390="ITEM",'Working Sheet'!J390,"")</f>
        <v>0.35370000000000001</v>
      </c>
      <c r="L258">
        <f>IF('Working Sheet'!B390="ITEM",'Working Sheet'!K390,"")</f>
        <v>0</v>
      </c>
      <c r="M258" s="33">
        <f>IFERROR(Table2[[#This Row],[Value(1000$) 2022]]/Table2[[#This Row],[Volume(1000) 2022]],0)</f>
        <v>0</v>
      </c>
      <c r="N258" s="33">
        <f>IFERROR(Table2[[#This Row],[Value(1000$) 2023]]/Table2[[#This Row],[Volume(1000) 2023]],0)</f>
        <v>0.18433700876448966</v>
      </c>
      <c r="O258" s="33">
        <f>IFERROR(Table2[[#This Row],[Value(1000$) 2024]]/Table2[[#This Row],[Volume(1000) 2024]],0)</f>
        <v>0</v>
      </c>
      <c r="P258" s="33">
        <f>SUM(Table2[[#This Row],[Value(1000$) 2022]:[Value(1000$) 2024]])</f>
        <v>6.5199999999999994E-2</v>
      </c>
      <c r="Q258" s="33">
        <f>SUM(Table2[[#This Row],[Volume(1000) 2022]:[Volume(1000) 2024]])</f>
        <v>0.35370000000000001</v>
      </c>
      <c r="R258" s="33">
        <f>AVERAGE(Table2[[#This Row],[Average Price(2022)]:[Average Price(2024)]])</f>
        <v>6.1445669588163221E-2</v>
      </c>
    </row>
    <row r="259" spans="1:18" x14ac:dyDescent="0.3">
      <c r="A259" t="s">
        <v>326</v>
      </c>
      <c r="B259" t="s">
        <v>766</v>
      </c>
      <c r="C259" t="s">
        <v>325</v>
      </c>
      <c r="D259" t="s">
        <v>9</v>
      </c>
      <c r="E259" t="s">
        <v>30</v>
      </c>
      <c r="F259" s="27" t="str">
        <f>IF('Working Sheet'!B393="ITEM",'Working Sheet'!E393,"")</f>
        <v>80</v>
      </c>
      <c r="G259" s="27">
        <f>IF('Working Sheet'!B393="ITEM",'Working Sheet'!F393,"")</f>
        <v>7.0000000000000001E-3</v>
      </c>
      <c r="H259" s="27">
        <f>IF('Working Sheet'!B393="ITEM",'Working Sheet'!G393,"")</f>
        <v>0</v>
      </c>
      <c r="I259" s="27">
        <f>IF('Working Sheet'!B393="ITEM",'Working Sheet'!H393,"")</f>
        <v>0</v>
      </c>
      <c r="J259">
        <f>IF('Working Sheet'!B393="ITEM",'Working Sheet'!I393,"")</f>
        <v>0.08</v>
      </c>
      <c r="K259">
        <f>IF('Working Sheet'!B393="ITEM",'Working Sheet'!J393,"")</f>
        <v>0</v>
      </c>
      <c r="L259">
        <f>IF('Working Sheet'!B393="ITEM",'Working Sheet'!K393,"")</f>
        <v>0</v>
      </c>
      <c r="M259" s="33">
        <f>IFERROR(Table2[[#This Row],[Value(1000$) 2022]]/Table2[[#This Row],[Volume(1000) 2022]],0)</f>
        <v>8.7499999999999994E-2</v>
      </c>
      <c r="N259" s="33">
        <f>IFERROR(Table2[[#This Row],[Value(1000$) 2023]]/Table2[[#This Row],[Volume(1000) 2023]],0)</f>
        <v>0</v>
      </c>
      <c r="O259" s="33">
        <f>IFERROR(Table2[[#This Row],[Value(1000$) 2024]]/Table2[[#This Row],[Volume(1000) 2024]],0)</f>
        <v>0</v>
      </c>
      <c r="P259" s="33">
        <f>SUM(Table2[[#This Row],[Value(1000$) 2022]:[Value(1000$) 2024]])</f>
        <v>7.0000000000000001E-3</v>
      </c>
      <c r="Q259" s="33">
        <f>SUM(Table2[[#This Row],[Volume(1000) 2022]:[Volume(1000) 2024]])</f>
        <v>0.08</v>
      </c>
      <c r="R259" s="33">
        <f>AVERAGE(Table2[[#This Row],[Average Price(2022)]:[Average Price(2024)]])</f>
        <v>2.9166666666666664E-2</v>
      </c>
    </row>
    <row r="260" spans="1:18" x14ac:dyDescent="0.3">
      <c r="A260" t="s">
        <v>328</v>
      </c>
      <c r="B260" t="s">
        <v>767</v>
      </c>
      <c r="C260" t="s">
        <v>327</v>
      </c>
      <c r="D260" t="s">
        <v>9</v>
      </c>
      <c r="E260" t="s">
        <v>30</v>
      </c>
      <c r="F260" s="27" t="str">
        <f>IF('Working Sheet'!B396="ITEM",'Working Sheet'!E396,"")</f>
        <v>100</v>
      </c>
      <c r="G260" s="27">
        <f>IF('Working Sheet'!B396="ITEM",'Working Sheet'!F396,"")</f>
        <v>0</v>
      </c>
      <c r="H260" s="27">
        <f>IF('Working Sheet'!B396="ITEM",'Working Sheet'!G396,"")</f>
        <v>0</v>
      </c>
      <c r="I260" s="27">
        <f>IF('Working Sheet'!B396="ITEM",'Working Sheet'!H396,"")</f>
        <v>0.80289999999999995</v>
      </c>
      <c r="J260">
        <f>IF('Working Sheet'!B396="ITEM",'Working Sheet'!I396,"")</f>
        <v>0</v>
      </c>
      <c r="K260">
        <f>IF('Working Sheet'!B396="ITEM",'Working Sheet'!J396,"")</f>
        <v>0</v>
      </c>
      <c r="L260">
        <f>IF('Working Sheet'!B396="ITEM",'Working Sheet'!K396,"")</f>
        <v>36.833599999999997</v>
      </c>
      <c r="M260" s="33">
        <f>IFERROR(Table2[[#This Row],[Value(1000$) 2022]]/Table2[[#This Row],[Volume(1000) 2022]],0)</f>
        <v>0</v>
      </c>
      <c r="N260" s="33">
        <f>IFERROR(Table2[[#This Row],[Value(1000$) 2023]]/Table2[[#This Row],[Volume(1000) 2023]],0)</f>
        <v>0</v>
      </c>
      <c r="O260" s="33">
        <f>IFERROR(Table2[[#This Row],[Value(1000$) 2024]]/Table2[[#This Row],[Volume(1000) 2024]],0)</f>
        <v>2.1798032231440858E-2</v>
      </c>
      <c r="P260" s="33">
        <f>SUM(Table2[[#This Row],[Value(1000$) 2022]:[Value(1000$) 2024]])</f>
        <v>0.80289999999999995</v>
      </c>
      <c r="Q260" s="33">
        <f>SUM(Table2[[#This Row],[Volume(1000) 2022]:[Volume(1000) 2024]])</f>
        <v>36.833599999999997</v>
      </c>
      <c r="R260" s="33">
        <f>AVERAGE(Table2[[#This Row],[Average Price(2022)]:[Average Price(2024)]])</f>
        <v>7.266010743813619E-3</v>
      </c>
    </row>
    <row r="261" spans="1:18" x14ac:dyDescent="0.3">
      <c r="A261" t="s">
        <v>329</v>
      </c>
      <c r="B261" t="s">
        <v>767</v>
      </c>
      <c r="C261" t="s">
        <v>327</v>
      </c>
      <c r="D261" t="s">
        <v>9</v>
      </c>
      <c r="E261" t="s">
        <v>20</v>
      </c>
      <c r="F261" s="27" t="str">
        <f>IF('Working Sheet'!B397="ITEM",'Working Sheet'!E397,"")</f>
        <v>100</v>
      </c>
      <c r="G261" s="27">
        <f>IF('Working Sheet'!B397="ITEM",'Working Sheet'!F397,"")</f>
        <v>9.9892000000000003</v>
      </c>
      <c r="H261" s="27">
        <f>IF('Working Sheet'!B397="ITEM",'Working Sheet'!G397,"")</f>
        <v>8.1153999999999993</v>
      </c>
      <c r="I261" s="27">
        <f>IF('Working Sheet'!B397="ITEM",'Working Sheet'!H397,"")</f>
        <v>3.5836999999999999</v>
      </c>
      <c r="J261">
        <f>IF('Working Sheet'!B397="ITEM",'Working Sheet'!I397,"")</f>
        <v>492.51530000000002</v>
      </c>
      <c r="K261">
        <f>IF('Working Sheet'!B397="ITEM",'Working Sheet'!J397,"")</f>
        <v>366.96510000000001</v>
      </c>
      <c r="L261">
        <f>IF('Working Sheet'!B397="ITEM",'Working Sheet'!K397,"")</f>
        <v>145.6557</v>
      </c>
      <c r="M261" s="33">
        <f>IFERROR(Table2[[#This Row],[Value(1000$) 2022]]/Table2[[#This Row],[Volume(1000) 2022]],0)</f>
        <v>2.0282009513207001E-2</v>
      </c>
      <c r="N261" s="33">
        <f>IFERROR(Table2[[#This Row],[Value(1000$) 2023]]/Table2[[#This Row],[Volume(1000) 2023]],0)</f>
        <v>2.2114909564969528E-2</v>
      </c>
      <c r="O261" s="33">
        <f>IFERROR(Table2[[#This Row],[Value(1000$) 2024]]/Table2[[#This Row],[Volume(1000) 2024]],0)</f>
        <v>2.4603911827686797E-2</v>
      </c>
      <c r="P261" s="33">
        <f>SUM(Table2[[#This Row],[Value(1000$) 2022]:[Value(1000$) 2024]])</f>
        <v>21.688299999999998</v>
      </c>
      <c r="Q261" s="33">
        <f>SUM(Table2[[#This Row],[Volume(1000) 2022]:[Volume(1000) 2024]])</f>
        <v>1005.1361000000001</v>
      </c>
      <c r="R261" s="33">
        <f>AVERAGE(Table2[[#This Row],[Average Price(2022)]:[Average Price(2024)]])</f>
        <v>2.2333610301954441E-2</v>
      </c>
    </row>
    <row r="262" spans="1:18" x14ac:dyDescent="0.3">
      <c r="A262" t="s">
        <v>330</v>
      </c>
      <c r="B262" t="s">
        <v>767</v>
      </c>
      <c r="C262" t="s">
        <v>327</v>
      </c>
      <c r="D262" t="s">
        <v>9</v>
      </c>
      <c r="E262" t="s">
        <v>30</v>
      </c>
      <c r="F262" s="27" t="str">
        <f>IF('Working Sheet'!B398="ITEM",'Working Sheet'!E398,"")</f>
        <v>100</v>
      </c>
      <c r="G262" s="27">
        <f>IF('Working Sheet'!B398="ITEM",'Working Sheet'!F398,"")</f>
        <v>2.3199999999999998E-2</v>
      </c>
      <c r="H262" s="27">
        <f>IF('Working Sheet'!B398="ITEM",'Working Sheet'!G398,"")</f>
        <v>2.375</v>
      </c>
      <c r="I262" s="27">
        <f>IF('Working Sheet'!B398="ITEM",'Working Sheet'!H398,"")</f>
        <v>2.0299</v>
      </c>
      <c r="J262">
        <f>IF('Working Sheet'!B398="ITEM",'Working Sheet'!I398,"")</f>
        <v>1.054</v>
      </c>
      <c r="K262">
        <f>IF('Working Sheet'!B398="ITEM",'Working Sheet'!J398,"")</f>
        <v>113.97580000000001</v>
      </c>
      <c r="L262">
        <f>IF('Working Sheet'!B398="ITEM",'Working Sheet'!K398,"")</f>
        <v>89.836200000000005</v>
      </c>
      <c r="M262" s="33">
        <f>IFERROR(Table2[[#This Row],[Value(1000$) 2022]]/Table2[[#This Row],[Volume(1000) 2022]],0)</f>
        <v>2.2011385199240983E-2</v>
      </c>
      <c r="N262" s="33">
        <f>IFERROR(Table2[[#This Row],[Value(1000$) 2023]]/Table2[[#This Row],[Volume(1000) 2023]],0)</f>
        <v>2.0837756786967056E-2</v>
      </c>
      <c r="O262" s="33">
        <f>IFERROR(Table2[[#This Row],[Value(1000$) 2024]]/Table2[[#This Row],[Volume(1000) 2024]],0)</f>
        <v>2.2595568378894031E-2</v>
      </c>
      <c r="P262" s="33">
        <f>SUM(Table2[[#This Row],[Value(1000$) 2022]:[Value(1000$) 2024]])</f>
        <v>4.4281000000000006</v>
      </c>
      <c r="Q262" s="33">
        <f>SUM(Table2[[#This Row],[Volume(1000) 2022]:[Volume(1000) 2024]])</f>
        <v>204.86600000000001</v>
      </c>
      <c r="R262" s="33">
        <f>AVERAGE(Table2[[#This Row],[Average Price(2022)]:[Average Price(2024)]])</f>
        <v>2.1814903455034024E-2</v>
      </c>
    </row>
    <row r="263" spans="1:18" x14ac:dyDescent="0.3">
      <c r="A263" t="s">
        <v>331</v>
      </c>
      <c r="B263" t="s">
        <v>767</v>
      </c>
      <c r="C263" t="s">
        <v>327</v>
      </c>
      <c r="D263" t="s">
        <v>9</v>
      </c>
      <c r="E263" t="s">
        <v>20</v>
      </c>
      <c r="F263" s="27" t="str">
        <f>IF('Working Sheet'!B399="ITEM",'Working Sheet'!E399,"")</f>
        <v>100</v>
      </c>
      <c r="G263" s="27">
        <f>IF('Working Sheet'!B399="ITEM",'Working Sheet'!F399,"")</f>
        <v>12.8912</v>
      </c>
      <c r="H263" s="27">
        <f>IF('Working Sheet'!B399="ITEM",'Working Sheet'!G399,"")</f>
        <v>14.945399999999999</v>
      </c>
      <c r="I263" s="27">
        <f>IF('Working Sheet'!B399="ITEM",'Working Sheet'!H399,"")</f>
        <v>2.4279000000000002</v>
      </c>
      <c r="J263">
        <f>IF('Working Sheet'!B399="ITEM",'Working Sheet'!I399,"")</f>
        <v>607.44449999999995</v>
      </c>
      <c r="K263">
        <f>IF('Working Sheet'!B399="ITEM",'Working Sheet'!J399,"")</f>
        <v>678.69550000000004</v>
      </c>
      <c r="L263">
        <f>IF('Working Sheet'!B399="ITEM",'Working Sheet'!K399,"")</f>
        <v>103.8368</v>
      </c>
      <c r="M263" s="33">
        <f>IFERROR(Table2[[#This Row],[Value(1000$) 2022]]/Table2[[#This Row],[Volume(1000) 2022]],0)</f>
        <v>2.1222021106454995E-2</v>
      </c>
      <c r="N263" s="33">
        <f>IFERROR(Table2[[#This Row],[Value(1000$) 2023]]/Table2[[#This Row],[Volume(1000) 2023]],0)</f>
        <v>2.2020773675381668E-2</v>
      </c>
      <c r="O263" s="33">
        <f>IFERROR(Table2[[#This Row],[Value(1000$) 2024]]/Table2[[#This Row],[Volume(1000) 2024]],0)</f>
        <v>2.3381883879318319E-2</v>
      </c>
      <c r="P263" s="33">
        <f>SUM(Table2[[#This Row],[Value(1000$) 2022]:[Value(1000$) 2024]])</f>
        <v>30.264499999999998</v>
      </c>
      <c r="Q263" s="33">
        <f>SUM(Table2[[#This Row],[Volume(1000) 2022]:[Volume(1000) 2024]])</f>
        <v>1389.9767999999999</v>
      </c>
      <c r="R263" s="33">
        <f>AVERAGE(Table2[[#This Row],[Average Price(2022)]:[Average Price(2024)]])</f>
        <v>2.2208226220384996E-2</v>
      </c>
    </row>
    <row r="264" spans="1:18" x14ac:dyDescent="0.3">
      <c r="A264" t="s">
        <v>332</v>
      </c>
      <c r="B264" t="s">
        <v>767</v>
      </c>
      <c r="C264" t="s">
        <v>327</v>
      </c>
      <c r="D264" t="s">
        <v>9</v>
      </c>
      <c r="E264" t="s">
        <v>10</v>
      </c>
      <c r="F264" s="27" t="str">
        <f>IF('Working Sheet'!B400="ITEM",'Working Sheet'!E400,"")</f>
        <v>100</v>
      </c>
      <c r="G264" s="27">
        <f>IF('Working Sheet'!B400="ITEM",'Working Sheet'!F400,"")</f>
        <v>0</v>
      </c>
      <c r="H264" s="27">
        <f>IF('Working Sheet'!B400="ITEM",'Working Sheet'!G400,"")</f>
        <v>0.01</v>
      </c>
      <c r="I264" s="27">
        <f>IF('Working Sheet'!B400="ITEM",'Working Sheet'!H400,"")</f>
        <v>1.5183</v>
      </c>
      <c r="J264">
        <f>IF('Working Sheet'!B400="ITEM",'Working Sheet'!I400,"")</f>
        <v>0</v>
      </c>
      <c r="K264">
        <f>IF('Working Sheet'!B400="ITEM",'Working Sheet'!J400,"")</f>
        <v>0.48130000000000001</v>
      </c>
      <c r="L264">
        <f>IF('Working Sheet'!B400="ITEM",'Working Sheet'!K400,"")</f>
        <v>68.4452</v>
      </c>
      <c r="M264" s="33">
        <f>IFERROR(Table2[[#This Row],[Value(1000$) 2022]]/Table2[[#This Row],[Volume(1000) 2022]],0)</f>
        <v>0</v>
      </c>
      <c r="N264" s="33">
        <f>IFERROR(Table2[[#This Row],[Value(1000$) 2023]]/Table2[[#This Row],[Volume(1000) 2023]],0)</f>
        <v>2.0777062123415749E-2</v>
      </c>
      <c r="O264" s="33">
        <f>IFERROR(Table2[[#This Row],[Value(1000$) 2024]]/Table2[[#This Row],[Volume(1000) 2024]],0)</f>
        <v>2.2182709671386743E-2</v>
      </c>
      <c r="P264" s="33">
        <f>SUM(Table2[[#This Row],[Value(1000$) 2022]:[Value(1000$) 2024]])</f>
        <v>1.5283</v>
      </c>
      <c r="Q264" s="33">
        <f>SUM(Table2[[#This Row],[Volume(1000) 2022]:[Volume(1000) 2024]])</f>
        <v>68.926500000000004</v>
      </c>
      <c r="R264" s="33">
        <f>AVERAGE(Table2[[#This Row],[Average Price(2022)]:[Average Price(2024)]])</f>
        <v>1.4319923931600831E-2</v>
      </c>
    </row>
    <row r="265" spans="1:18" x14ac:dyDescent="0.3">
      <c r="A265" t="s">
        <v>333</v>
      </c>
      <c r="B265" t="s">
        <v>767</v>
      </c>
      <c r="C265" t="s">
        <v>327</v>
      </c>
      <c r="D265" t="s">
        <v>9</v>
      </c>
      <c r="E265" t="s">
        <v>30</v>
      </c>
      <c r="F265" s="27" t="str">
        <f>IF('Working Sheet'!B401="ITEM",'Working Sheet'!E401,"")</f>
        <v>100</v>
      </c>
      <c r="G265" s="27">
        <f>IF('Working Sheet'!B401="ITEM",'Working Sheet'!F401,"")</f>
        <v>32.355400000000003</v>
      </c>
      <c r="H265" s="27">
        <f>IF('Working Sheet'!B401="ITEM",'Working Sheet'!G401,"")</f>
        <v>38.555399999999999</v>
      </c>
      <c r="I265" s="27">
        <f>IF('Working Sheet'!B401="ITEM",'Working Sheet'!H401,"")</f>
        <v>28.667999999999999</v>
      </c>
      <c r="J265">
        <f>IF('Working Sheet'!B401="ITEM",'Working Sheet'!I401,"")</f>
        <v>1339.7692</v>
      </c>
      <c r="K265">
        <f>IF('Working Sheet'!B401="ITEM",'Working Sheet'!J401,"")</f>
        <v>1517.8848</v>
      </c>
      <c r="L265">
        <f>IF('Working Sheet'!B401="ITEM",'Working Sheet'!K401,"")</f>
        <v>1147.3356000000001</v>
      </c>
      <c r="M265" s="33">
        <f>IFERROR(Table2[[#This Row],[Value(1000$) 2022]]/Table2[[#This Row],[Volume(1000) 2022]],0)</f>
        <v>2.4149980459320906E-2</v>
      </c>
      <c r="N265" s="33">
        <f>IFERROR(Table2[[#This Row],[Value(1000$) 2023]]/Table2[[#This Row],[Volume(1000) 2023]],0)</f>
        <v>2.5400741874482172E-2</v>
      </c>
      <c r="O265" s="33">
        <f>IFERROR(Table2[[#This Row],[Value(1000$) 2024]]/Table2[[#This Row],[Volume(1000) 2024]],0)</f>
        <v>2.4986586313542433E-2</v>
      </c>
      <c r="P265" s="33">
        <f>SUM(Table2[[#This Row],[Value(1000$) 2022]:[Value(1000$) 2024]])</f>
        <v>99.578800000000001</v>
      </c>
      <c r="Q265" s="33">
        <f>SUM(Table2[[#This Row],[Volume(1000) 2022]:[Volume(1000) 2024]])</f>
        <v>4004.9895999999999</v>
      </c>
      <c r="R265" s="33">
        <f>AVERAGE(Table2[[#This Row],[Average Price(2022)]:[Average Price(2024)]])</f>
        <v>2.484576954911517E-2</v>
      </c>
    </row>
    <row r="266" spans="1:18" x14ac:dyDescent="0.3">
      <c r="A266" t="s">
        <v>334</v>
      </c>
      <c r="B266" t="s">
        <v>767</v>
      </c>
      <c r="C266" t="s">
        <v>327</v>
      </c>
      <c r="D266" t="s">
        <v>9</v>
      </c>
      <c r="E266" t="s">
        <v>20</v>
      </c>
      <c r="F266" s="27" t="str">
        <f>IF('Working Sheet'!B402="ITEM",'Working Sheet'!E402,"")</f>
        <v>120</v>
      </c>
      <c r="G266" s="27">
        <f>IF('Working Sheet'!B402="ITEM",'Working Sheet'!F402,"")</f>
        <v>39.0503</v>
      </c>
      <c r="H266" s="27">
        <f>IF('Working Sheet'!B402="ITEM",'Working Sheet'!G402,"")</f>
        <v>53.6008</v>
      </c>
      <c r="I266" s="27">
        <f>IF('Working Sheet'!B402="ITEM",'Working Sheet'!H402,"")</f>
        <v>45.671900000000001</v>
      </c>
      <c r="J266">
        <f>IF('Working Sheet'!B402="ITEM",'Working Sheet'!I402,"")</f>
        <v>2028.7261000000001</v>
      </c>
      <c r="K266">
        <f>IF('Working Sheet'!B402="ITEM",'Working Sheet'!J402,"")</f>
        <v>2727.4971999999998</v>
      </c>
      <c r="L266">
        <f>IF('Working Sheet'!B402="ITEM",'Working Sheet'!K402,"")</f>
        <v>2409.5587999999998</v>
      </c>
      <c r="M266" s="33">
        <f>IFERROR(Table2[[#This Row],[Value(1000$) 2022]]/Table2[[#This Row],[Volume(1000) 2022]],0)</f>
        <v>1.9248680243232438E-2</v>
      </c>
      <c r="N266" s="33">
        <f>IFERROR(Table2[[#This Row],[Value(1000$) 2023]]/Table2[[#This Row],[Volume(1000) 2023]],0)</f>
        <v>1.9652009175298146E-2</v>
      </c>
      <c r="O266" s="33">
        <f>IFERROR(Table2[[#This Row],[Value(1000$) 2024]]/Table2[[#This Row],[Volume(1000) 2024]],0)</f>
        <v>1.8954465854910868E-2</v>
      </c>
      <c r="P266" s="33">
        <f>SUM(Table2[[#This Row],[Value(1000$) 2022]:[Value(1000$) 2024]])</f>
        <v>138.32300000000001</v>
      </c>
      <c r="Q266" s="33">
        <f>SUM(Table2[[#This Row],[Volume(1000) 2022]:[Volume(1000) 2024]])</f>
        <v>7165.7820999999994</v>
      </c>
      <c r="R266" s="33">
        <f>AVERAGE(Table2[[#This Row],[Average Price(2022)]:[Average Price(2024)]])</f>
        <v>1.928505175781382E-2</v>
      </c>
    </row>
    <row r="267" spans="1:18" x14ac:dyDescent="0.3">
      <c r="A267" t="s">
        <v>335</v>
      </c>
      <c r="B267" t="s">
        <v>767</v>
      </c>
      <c r="C267" t="s">
        <v>327</v>
      </c>
      <c r="D267" t="s">
        <v>9</v>
      </c>
      <c r="E267" t="s">
        <v>30</v>
      </c>
      <c r="F267" s="27" t="str">
        <f>IF('Working Sheet'!B403="ITEM",'Working Sheet'!E403,"")</f>
        <v>120</v>
      </c>
      <c r="G267" s="27">
        <f>IF('Working Sheet'!B403="ITEM",'Working Sheet'!F403,"")</f>
        <v>18.061</v>
      </c>
      <c r="H267" s="27">
        <f>IF('Working Sheet'!B403="ITEM",'Working Sheet'!G403,"")</f>
        <v>20.3689</v>
      </c>
      <c r="I267" s="27">
        <f>IF('Working Sheet'!B403="ITEM",'Working Sheet'!H403,"")</f>
        <v>25.3782</v>
      </c>
      <c r="J267">
        <f>IF('Working Sheet'!B403="ITEM",'Working Sheet'!I403,"")</f>
        <v>997.27200000000005</v>
      </c>
      <c r="K267">
        <f>IF('Working Sheet'!B403="ITEM",'Working Sheet'!J403,"")</f>
        <v>1129.9784999999999</v>
      </c>
      <c r="L267">
        <f>IF('Working Sheet'!B403="ITEM",'Working Sheet'!K403,"")</f>
        <v>1401.0871999999999</v>
      </c>
      <c r="M267" s="33">
        <f>IFERROR(Table2[[#This Row],[Value(1000$) 2022]]/Table2[[#This Row],[Volume(1000) 2022]],0)</f>
        <v>1.811040518534562E-2</v>
      </c>
      <c r="N267" s="33">
        <f>IFERROR(Table2[[#This Row],[Value(1000$) 2023]]/Table2[[#This Row],[Volume(1000) 2023]],0)</f>
        <v>1.8025918192248792E-2</v>
      </c>
      <c r="O267" s="33">
        <f>IFERROR(Table2[[#This Row],[Value(1000$) 2024]]/Table2[[#This Row],[Volume(1000) 2024]],0)</f>
        <v>1.8113219505538271E-2</v>
      </c>
      <c r="P267" s="33">
        <f>SUM(Table2[[#This Row],[Value(1000$) 2022]:[Value(1000$) 2024]])</f>
        <v>63.808100000000003</v>
      </c>
      <c r="Q267" s="33">
        <f>SUM(Table2[[#This Row],[Volume(1000) 2022]:[Volume(1000) 2024]])</f>
        <v>3528.3377</v>
      </c>
      <c r="R267" s="33">
        <f>AVERAGE(Table2[[#This Row],[Average Price(2022)]:[Average Price(2024)]])</f>
        <v>1.8083180961044228E-2</v>
      </c>
    </row>
    <row r="268" spans="1:18" x14ac:dyDescent="0.3">
      <c r="A268" t="s">
        <v>336</v>
      </c>
      <c r="B268" t="s">
        <v>767</v>
      </c>
      <c r="C268" t="s">
        <v>327</v>
      </c>
      <c r="D268" t="s">
        <v>9</v>
      </c>
      <c r="E268" t="s">
        <v>20</v>
      </c>
      <c r="F268" s="27" t="str">
        <f>IF('Working Sheet'!B404="ITEM",'Working Sheet'!E404,"")</f>
        <v>120</v>
      </c>
      <c r="G268" s="27">
        <f>IF('Working Sheet'!B404="ITEM",'Working Sheet'!F404,"")</f>
        <v>60.256900000000002</v>
      </c>
      <c r="H268" s="27">
        <f>IF('Working Sheet'!B404="ITEM",'Working Sheet'!G404,"")</f>
        <v>59.171300000000002</v>
      </c>
      <c r="I268" s="27">
        <f>IF('Working Sheet'!B404="ITEM",'Working Sheet'!H404,"")</f>
        <v>46.391500000000001</v>
      </c>
      <c r="J268">
        <f>IF('Working Sheet'!B404="ITEM",'Working Sheet'!I404,"")</f>
        <v>3003.9076</v>
      </c>
      <c r="K268">
        <f>IF('Working Sheet'!B404="ITEM",'Working Sheet'!J404,"")</f>
        <v>2862.6754999999998</v>
      </c>
      <c r="L268">
        <f>IF('Working Sheet'!B404="ITEM",'Working Sheet'!K404,"")</f>
        <v>2309.9086000000002</v>
      </c>
      <c r="M268" s="33">
        <f>IFERROR(Table2[[#This Row],[Value(1000$) 2022]]/Table2[[#This Row],[Volume(1000) 2022]],0)</f>
        <v>2.0059505159213287E-2</v>
      </c>
      <c r="N268" s="33">
        <f>IFERROR(Table2[[#This Row],[Value(1000$) 2023]]/Table2[[#This Row],[Volume(1000) 2023]],0)</f>
        <v>2.0669929232286371E-2</v>
      </c>
      <c r="O268" s="33">
        <f>IFERROR(Table2[[#This Row],[Value(1000$) 2024]]/Table2[[#This Row],[Volume(1000) 2024]],0)</f>
        <v>2.0083695086463592E-2</v>
      </c>
      <c r="P268" s="33">
        <f>SUM(Table2[[#This Row],[Value(1000$) 2022]:[Value(1000$) 2024]])</f>
        <v>165.81970000000001</v>
      </c>
      <c r="Q268" s="33">
        <f>SUM(Table2[[#This Row],[Volume(1000) 2022]:[Volume(1000) 2024]])</f>
        <v>8176.4917000000005</v>
      </c>
      <c r="R268" s="33">
        <f>AVERAGE(Table2[[#This Row],[Average Price(2022)]:[Average Price(2024)]])</f>
        <v>2.0271043159321083E-2</v>
      </c>
    </row>
    <row r="269" spans="1:18" x14ac:dyDescent="0.3">
      <c r="A269" t="s">
        <v>337</v>
      </c>
      <c r="B269" t="s">
        <v>767</v>
      </c>
      <c r="C269" t="s">
        <v>327</v>
      </c>
      <c r="D269" t="s">
        <v>9</v>
      </c>
      <c r="E269" t="s">
        <v>20</v>
      </c>
      <c r="F269" s="27" t="str">
        <f>IF('Working Sheet'!B405="ITEM",'Working Sheet'!E405,"")</f>
        <v>120</v>
      </c>
      <c r="G269" s="27">
        <f>IF('Working Sheet'!B405="ITEM",'Working Sheet'!F405,"")</f>
        <v>20.0168</v>
      </c>
      <c r="H269" s="27">
        <f>IF('Working Sheet'!B405="ITEM",'Working Sheet'!G405,"")</f>
        <v>19.4117</v>
      </c>
      <c r="I269" s="27">
        <f>IF('Working Sheet'!B405="ITEM",'Working Sheet'!H405,"")</f>
        <v>16.676400000000001</v>
      </c>
      <c r="J269">
        <f>IF('Working Sheet'!B405="ITEM",'Working Sheet'!I405,"")</f>
        <v>1086.6414</v>
      </c>
      <c r="K269">
        <f>IF('Working Sheet'!B405="ITEM",'Working Sheet'!J405,"")</f>
        <v>1089.1328000000001</v>
      </c>
      <c r="L269">
        <f>IF('Working Sheet'!B405="ITEM",'Working Sheet'!K405,"")</f>
        <v>913.75469999999996</v>
      </c>
      <c r="M269" s="33">
        <f>IFERROR(Table2[[#This Row],[Value(1000$) 2022]]/Table2[[#This Row],[Volume(1000) 2022]],0)</f>
        <v>1.8420796409928795E-2</v>
      </c>
      <c r="N269" s="33">
        <f>IFERROR(Table2[[#This Row],[Value(1000$) 2023]]/Table2[[#This Row],[Volume(1000) 2023]],0)</f>
        <v>1.782307905886224E-2</v>
      </c>
      <c r="O269" s="33">
        <f>IFERROR(Table2[[#This Row],[Value(1000$) 2024]]/Table2[[#This Row],[Volume(1000) 2024]],0)</f>
        <v>1.8250412282421094E-2</v>
      </c>
      <c r="P269" s="33">
        <f>SUM(Table2[[#This Row],[Value(1000$) 2022]:[Value(1000$) 2024]])</f>
        <v>56.104900000000001</v>
      </c>
      <c r="Q269" s="33">
        <f>SUM(Table2[[#This Row],[Volume(1000) 2022]:[Volume(1000) 2024]])</f>
        <v>3089.5288999999998</v>
      </c>
      <c r="R269" s="33">
        <f>AVERAGE(Table2[[#This Row],[Average Price(2022)]:[Average Price(2024)]])</f>
        <v>1.8164762583737375E-2</v>
      </c>
    </row>
    <row r="270" spans="1:18" x14ac:dyDescent="0.3">
      <c r="A270" t="s">
        <v>338</v>
      </c>
      <c r="B270" t="s">
        <v>767</v>
      </c>
      <c r="C270" t="s">
        <v>327</v>
      </c>
      <c r="D270" t="s">
        <v>9</v>
      </c>
      <c r="E270" t="s">
        <v>20</v>
      </c>
      <c r="F270" s="27" t="str">
        <f>IF('Working Sheet'!B406="ITEM",'Working Sheet'!E406,"")</f>
        <v>120</v>
      </c>
      <c r="G270" s="27">
        <f>IF('Working Sheet'!B406="ITEM",'Working Sheet'!F406,"")</f>
        <v>15.4658</v>
      </c>
      <c r="H270" s="27">
        <f>IF('Working Sheet'!B406="ITEM",'Working Sheet'!G406,"")</f>
        <v>23.898299999999999</v>
      </c>
      <c r="I270" s="27">
        <f>IF('Working Sheet'!B406="ITEM",'Working Sheet'!H406,"")</f>
        <v>20.8841</v>
      </c>
      <c r="J270">
        <f>IF('Working Sheet'!B406="ITEM",'Working Sheet'!I406,"")</f>
        <v>835.59469999999999</v>
      </c>
      <c r="K270">
        <f>IF('Working Sheet'!B406="ITEM",'Working Sheet'!J406,"")</f>
        <v>1304.8905999999999</v>
      </c>
      <c r="L270">
        <f>IF('Working Sheet'!B406="ITEM",'Working Sheet'!K406,"")</f>
        <v>1122.8086000000001</v>
      </c>
      <c r="M270" s="33">
        <f>IFERROR(Table2[[#This Row],[Value(1000$) 2022]]/Table2[[#This Row],[Volume(1000) 2022]],0)</f>
        <v>1.8508733959179013E-2</v>
      </c>
      <c r="N270" s="33">
        <f>IFERROR(Table2[[#This Row],[Value(1000$) 2023]]/Table2[[#This Row],[Volume(1000) 2023]],0)</f>
        <v>1.8314408886078267E-2</v>
      </c>
      <c r="O270" s="33">
        <f>IFERROR(Table2[[#This Row],[Value(1000$) 2024]]/Table2[[#This Row],[Volume(1000) 2024]],0)</f>
        <v>1.8599875348300678E-2</v>
      </c>
      <c r="P270" s="33">
        <f>SUM(Table2[[#This Row],[Value(1000$) 2022]:[Value(1000$) 2024]])</f>
        <v>60.248199999999997</v>
      </c>
      <c r="Q270" s="33">
        <f>SUM(Table2[[#This Row],[Volume(1000) 2022]:[Volume(1000) 2024]])</f>
        <v>3263.2938999999997</v>
      </c>
      <c r="R270" s="33">
        <f>AVERAGE(Table2[[#This Row],[Average Price(2022)]:[Average Price(2024)]])</f>
        <v>1.8474339397852656E-2</v>
      </c>
    </row>
    <row r="271" spans="1:18" x14ac:dyDescent="0.3">
      <c r="A271" t="s">
        <v>339</v>
      </c>
      <c r="B271" t="s">
        <v>767</v>
      </c>
      <c r="C271" t="s">
        <v>327</v>
      </c>
      <c r="D271" t="s">
        <v>9</v>
      </c>
      <c r="E271" t="s">
        <v>10</v>
      </c>
      <c r="F271" s="27" t="str">
        <f>IF('Working Sheet'!B407="ITEM",'Working Sheet'!E407,"")</f>
        <v>120</v>
      </c>
      <c r="G271" s="27">
        <f>IF('Working Sheet'!B407="ITEM",'Working Sheet'!F407,"")</f>
        <v>17.192699999999999</v>
      </c>
      <c r="H271" s="27">
        <f>IF('Working Sheet'!B407="ITEM",'Working Sheet'!G407,"")</f>
        <v>14.837400000000001</v>
      </c>
      <c r="I271" s="27">
        <f>IF('Working Sheet'!B407="ITEM",'Working Sheet'!H407,"")</f>
        <v>10.0755</v>
      </c>
      <c r="J271">
        <f>IF('Working Sheet'!B407="ITEM",'Working Sheet'!I407,"")</f>
        <v>845.18690000000004</v>
      </c>
      <c r="K271">
        <f>IF('Working Sheet'!B407="ITEM",'Working Sheet'!J407,"")</f>
        <v>818.97209999999995</v>
      </c>
      <c r="L271">
        <f>IF('Working Sheet'!B407="ITEM",'Working Sheet'!K407,"")</f>
        <v>554.23329999999999</v>
      </c>
      <c r="M271" s="33">
        <f>IFERROR(Table2[[#This Row],[Value(1000$) 2022]]/Table2[[#This Row],[Volume(1000) 2022]],0)</f>
        <v>2.034189124322679E-2</v>
      </c>
      <c r="N271" s="33">
        <f>IFERROR(Table2[[#This Row],[Value(1000$) 2023]]/Table2[[#This Row],[Volume(1000) 2023]],0)</f>
        <v>1.8117100692441174E-2</v>
      </c>
      <c r="O271" s="33">
        <f>IFERROR(Table2[[#This Row],[Value(1000$) 2024]]/Table2[[#This Row],[Volume(1000) 2024]],0)</f>
        <v>1.8179167509422476E-2</v>
      </c>
      <c r="P271" s="33">
        <f>SUM(Table2[[#This Row],[Value(1000$) 2022]:[Value(1000$) 2024]])</f>
        <v>42.105599999999995</v>
      </c>
      <c r="Q271" s="33">
        <f>SUM(Table2[[#This Row],[Volume(1000) 2022]:[Volume(1000) 2024]])</f>
        <v>2218.3923</v>
      </c>
      <c r="R271" s="33">
        <f>AVERAGE(Table2[[#This Row],[Average Price(2022)]:[Average Price(2024)]])</f>
        <v>1.8879386481696816E-2</v>
      </c>
    </row>
    <row r="272" spans="1:18" x14ac:dyDescent="0.3">
      <c r="A272" t="s">
        <v>340</v>
      </c>
      <c r="B272" t="s">
        <v>767</v>
      </c>
      <c r="C272" t="s">
        <v>327</v>
      </c>
      <c r="D272" t="s">
        <v>9</v>
      </c>
      <c r="E272" t="s">
        <v>30</v>
      </c>
      <c r="F272" s="27" t="str">
        <f>IF('Working Sheet'!B408="ITEM",'Working Sheet'!E408,"")</f>
        <v>120</v>
      </c>
      <c r="G272" s="27">
        <f>IF('Working Sheet'!B408="ITEM",'Working Sheet'!F408,"")</f>
        <v>12.4558</v>
      </c>
      <c r="H272" s="27">
        <f>IF('Working Sheet'!B408="ITEM",'Working Sheet'!G408,"")</f>
        <v>19.5045</v>
      </c>
      <c r="I272" s="27">
        <f>IF('Working Sheet'!B408="ITEM",'Working Sheet'!H408,"")</f>
        <v>19.680399999999999</v>
      </c>
      <c r="J272">
        <f>IF('Working Sheet'!B408="ITEM",'Working Sheet'!I408,"")</f>
        <v>695.70420000000001</v>
      </c>
      <c r="K272">
        <f>IF('Working Sheet'!B408="ITEM",'Working Sheet'!J408,"")</f>
        <v>1080.8305</v>
      </c>
      <c r="L272">
        <f>IF('Working Sheet'!B408="ITEM",'Working Sheet'!K408,"")</f>
        <v>1068.2409</v>
      </c>
      <c r="M272" s="33">
        <f>IFERROR(Table2[[#This Row],[Value(1000$) 2022]]/Table2[[#This Row],[Volume(1000) 2022]],0)</f>
        <v>1.7903873514059566E-2</v>
      </c>
      <c r="N272" s="33">
        <f>IFERROR(Table2[[#This Row],[Value(1000$) 2023]]/Table2[[#This Row],[Volume(1000) 2023]],0)</f>
        <v>1.804584530136779E-2</v>
      </c>
      <c r="O272" s="33">
        <f>IFERROR(Table2[[#This Row],[Value(1000$) 2024]]/Table2[[#This Row],[Volume(1000) 2024]],0)</f>
        <v>1.8423185257183092E-2</v>
      </c>
      <c r="P272" s="33">
        <f>SUM(Table2[[#This Row],[Value(1000$) 2022]:[Value(1000$) 2024]])</f>
        <v>51.640699999999995</v>
      </c>
      <c r="Q272" s="33">
        <f>SUM(Table2[[#This Row],[Volume(1000) 2022]:[Volume(1000) 2024]])</f>
        <v>2844.7755999999999</v>
      </c>
      <c r="R272" s="33">
        <f>AVERAGE(Table2[[#This Row],[Average Price(2022)]:[Average Price(2024)]])</f>
        <v>1.8124301357536815E-2</v>
      </c>
    </row>
    <row r="273" spans="1:18" x14ac:dyDescent="0.3">
      <c r="A273" t="s">
        <v>341</v>
      </c>
      <c r="B273" t="s">
        <v>767</v>
      </c>
      <c r="C273" t="s">
        <v>327</v>
      </c>
      <c r="D273" t="s">
        <v>9</v>
      </c>
      <c r="E273" t="s">
        <v>30</v>
      </c>
      <c r="F273" s="27" t="str">
        <f>IF('Working Sheet'!B409="ITEM",'Working Sheet'!E409,"")</f>
        <v>120</v>
      </c>
      <c r="G273" s="27">
        <f>IF('Working Sheet'!B409="ITEM",'Working Sheet'!F409,"")</f>
        <v>29.7578</v>
      </c>
      <c r="H273" s="27">
        <f>IF('Working Sheet'!B409="ITEM",'Working Sheet'!G409,"")</f>
        <v>42.059199999999997</v>
      </c>
      <c r="I273" s="27">
        <f>IF('Working Sheet'!B409="ITEM",'Working Sheet'!H409,"")</f>
        <v>37.9373</v>
      </c>
      <c r="J273">
        <f>IF('Working Sheet'!B409="ITEM",'Working Sheet'!I409,"")</f>
        <v>1513.1635000000001</v>
      </c>
      <c r="K273">
        <f>IF('Working Sheet'!B409="ITEM",'Working Sheet'!J409,"")</f>
        <v>2139.8314999999998</v>
      </c>
      <c r="L273">
        <f>IF('Working Sheet'!B409="ITEM",'Working Sheet'!K409,"")</f>
        <v>1997.7666999999999</v>
      </c>
      <c r="M273" s="33">
        <f>IFERROR(Table2[[#This Row],[Value(1000$) 2022]]/Table2[[#This Row],[Volume(1000) 2022]],0)</f>
        <v>1.9665951498301405E-2</v>
      </c>
      <c r="N273" s="33">
        <f>IFERROR(Table2[[#This Row],[Value(1000$) 2023]]/Table2[[#This Row],[Volume(1000) 2023]],0)</f>
        <v>1.9655379407210335E-2</v>
      </c>
      <c r="O273" s="33">
        <f>IFERROR(Table2[[#This Row],[Value(1000$) 2024]]/Table2[[#This Row],[Volume(1000) 2024]],0)</f>
        <v>1.898985502160988E-2</v>
      </c>
      <c r="P273" s="33">
        <f>SUM(Table2[[#This Row],[Value(1000$) 2022]:[Value(1000$) 2024]])</f>
        <v>109.7543</v>
      </c>
      <c r="Q273" s="33">
        <f>SUM(Table2[[#This Row],[Volume(1000) 2022]:[Volume(1000) 2024]])</f>
        <v>5650.7617</v>
      </c>
      <c r="R273" s="33">
        <f>AVERAGE(Table2[[#This Row],[Average Price(2022)]:[Average Price(2024)]])</f>
        <v>1.9437061975707205E-2</v>
      </c>
    </row>
    <row r="274" spans="1:18" x14ac:dyDescent="0.3">
      <c r="A274" t="s">
        <v>342</v>
      </c>
      <c r="B274" t="s">
        <v>767</v>
      </c>
      <c r="C274" t="s">
        <v>327</v>
      </c>
      <c r="D274" t="s">
        <v>9</v>
      </c>
      <c r="E274" t="s">
        <v>20</v>
      </c>
      <c r="F274" s="27" t="str">
        <f>IF('Working Sheet'!B410="ITEM",'Working Sheet'!E410,"")</f>
        <v>20</v>
      </c>
      <c r="G274" s="27">
        <f>IF('Working Sheet'!B410="ITEM",'Working Sheet'!F410,"")</f>
        <v>12.4033</v>
      </c>
      <c r="H274" s="27">
        <f>IF('Working Sheet'!B410="ITEM",'Working Sheet'!G410,"")</f>
        <v>7.0781999999999998</v>
      </c>
      <c r="I274" s="27">
        <f>IF('Working Sheet'!B410="ITEM",'Working Sheet'!H410,"")</f>
        <v>1.7199</v>
      </c>
      <c r="J274">
        <f>IF('Working Sheet'!B410="ITEM",'Working Sheet'!I410,"")</f>
        <v>294.48759999999999</v>
      </c>
      <c r="K274">
        <f>IF('Working Sheet'!B410="ITEM",'Working Sheet'!J410,"")</f>
        <v>150.97989999999999</v>
      </c>
      <c r="L274">
        <f>IF('Working Sheet'!B410="ITEM",'Working Sheet'!K410,"")</f>
        <v>36.068199999999997</v>
      </c>
      <c r="M274" s="33">
        <f>IFERROR(Table2[[#This Row],[Value(1000$) 2022]]/Table2[[#This Row],[Volume(1000) 2022]],0)</f>
        <v>4.211824199049468E-2</v>
      </c>
      <c r="N274" s="33">
        <f>IFERROR(Table2[[#This Row],[Value(1000$) 2023]]/Table2[[#This Row],[Volume(1000) 2023]],0)</f>
        <v>4.6881737237870737E-2</v>
      </c>
      <c r="O274" s="33">
        <f>IFERROR(Table2[[#This Row],[Value(1000$) 2024]]/Table2[[#This Row],[Volume(1000) 2024]],0)</f>
        <v>4.7684664053099408E-2</v>
      </c>
      <c r="P274" s="33">
        <f>SUM(Table2[[#This Row],[Value(1000$) 2022]:[Value(1000$) 2024]])</f>
        <v>21.2014</v>
      </c>
      <c r="Q274" s="33">
        <f>SUM(Table2[[#This Row],[Volume(1000) 2022]:[Volume(1000) 2024]])</f>
        <v>481.53569999999996</v>
      </c>
      <c r="R274" s="33">
        <f>AVERAGE(Table2[[#This Row],[Average Price(2022)]:[Average Price(2024)]])</f>
        <v>4.556154776048827E-2</v>
      </c>
    </row>
    <row r="275" spans="1:18" x14ac:dyDescent="0.3">
      <c r="A275" t="s">
        <v>343</v>
      </c>
      <c r="B275" t="s">
        <v>767</v>
      </c>
      <c r="C275" t="s">
        <v>327</v>
      </c>
      <c r="D275" t="s">
        <v>9</v>
      </c>
      <c r="E275" t="s">
        <v>30</v>
      </c>
      <c r="F275" s="27" t="str">
        <f>IF('Working Sheet'!B411="ITEM",'Working Sheet'!E411,"")</f>
        <v>40</v>
      </c>
      <c r="G275" s="27">
        <f>IF('Working Sheet'!B411="ITEM",'Working Sheet'!F411,"")</f>
        <v>1.6268</v>
      </c>
      <c r="H275" s="27">
        <f>IF('Working Sheet'!B411="ITEM",'Working Sheet'!G411,"")</f>
        <v>0</v>
      </c>
      <c r="I275" s="27">
        <f>IF('Working Sheet'!B411="ITEM",'Working Sheet'!H411,"")</f>
        <v>0</v>
      </c>
      <c r="J275">
        <f>IF('Working Sheet'!B411="ITEM",'Working Sheet'!I411,"")</f>
        <v>65.1297</v>
      </c>
      <c r="K275">
        <f>IF('Working Sheet'!B411="ITEM",'Working Sheet'!J411,"")</f>
        <v>0</v>
      </c>
      <c r="L275">
        <f>IF('Working Sheet'!B411="ITEM",'Working Sheet'!K411,"")</f>
        <v>0</v>
      </c>
      <c r="M275" s="33">
        <f>IFERROR(Table2[[#This Row],[Value(1000$) 2022]]/Table2[[#This Row],[Volume(1000) 2022]],0)</f>
        <v>2.4977851886313004E-2</v>
      </c>
      <c r="N275" s="33">
        <f>IFERROR(Table2[[#This Row],[Value(1000$) 2023]]/Table2[[#This Row],[Volume(1000) 2023]],0)</f>
        <v>0</v>
      </c>
      <c r="O275" s="33">
        <f>IFERROR(Table2[[#This Row],[Value(1000$) 2024]]/Table2[[#This Row],[Volume(1000) 2024]],0)</f>
        <v>0</v>
      </c>
      <c r="P275" s="33">
        <f>SUM(Table2[[#This Row],[Value(1000$) 2022]:[Value(1000$) 2024]])</f>
        <v>1.6268</v>
      </c>
      <c r="Q275" s="33">
        <f>SUM(Table2[[#This Row],[Volume(1000) 2022]:[Volume(1000) 2024]])</f>
        <v>65.1297</v>
      </c>
      <c r="R275" s="33">
        <f>AVERAGE(Table2[[#This Row],[Average Price(2022)]:[Average Price(2024)]])</f>
        <v>8.3259506287710009E-3</v>
      </c>
    </row>
    <row r="276" spans="1:18" x14ac:dyDescent="0.3">
      <c r="A276" t="s">
        <v>344</v>
      </c>
      <c r="B276" t="s">
        <v>767</v>
      </c>
      <c r="C276" t="s">
        <v>327</v>
      </c>
      <c r="D276" t="s">
        <v>9</v>
      </c>
      <c r="E276" t="s">
        <v>30</v>
      </c>
      <c r="F276" s="27" t="str">
        <f>IF('Working Sheet'!B412="ITEM",'Working Sheet'!E412,"")</f>
        <v>40</v>
      </c>
      <c r="G276" s="27">
        <f>IF('Working Sheet'!B412="ITEM",'Working Sheet'!F412,"")</f>
        <v>2.5358999999999998</v>
      </c>
      <c r="H276" s="27">
        <f>IF('Working Sheet'!B412="ITEM",'Working Sheet'!G412,"")</f>
        <v>0</v>
      </c>
      <c r="I276" s="27">
        <f>IF('Working Sheet'!B412="ITEM",'Working Sheet'!H412,"")</f>
        <v>0</v>
      </c>
      <c r="J276">
        <f>IF('Working Sheet'!B412="ITEM",'Working Sheet'!I412,"")</f>
        <v>101.7274</v>
      </c>
      <c r="K276">
        <f>IF('Working Sheet'!B412="ITEM",'Working Sheet'!J412,"")</f>
        <v>0</v>
      </c>
      <c r="L276">
        <f>IF('Working Sheet'!B412="ITEM",'Working Sheet'!K412,"")</f>
        <v>0</v>
      </c>
      <c r="M276" s="33">
        <f>IFERROR(Table2[[#This Row],[Value(1000$) 2022]]/Table2[[#This Row],[Volume(1000) 2022]],0)</f>
        <v>2.4928387042232474E-2</v>
      </c>
      <c r="N276" s="33">
        <f>IFERROR(Table2[[#This Row],[Value(1000$) 2023]]/Table2[[#This Row],[Volume(1000) 2023]],0)</f>
        <v>0</v>
      </c>
      <c r="O276" s="33">
        <f>IFERROR(Table2[[#This Row],[Value(1000$) 2024]]/Table2[[#This Row],[Volume(1000) 2024]],0)</f>
        <v>0</v>
      </c>
      <c r="P276" s="33">
        <f>SUM(Table2[[#This Row],[Value(1000$) 2022]:[Value(1000$) 2024]])</f>
        <v>2.5358999999999998</v>
      </c>
      <c r="Q276" s="33">
        <f>SUM(Table2[[#This Row],[Volume(1000) 2022]:[Volume(1000) 2024]])</f>
        <v>101.7274</v>
      </c>
      <c r="R276" s="33">
        <f>AVERAGE(Table2[[#This Row],[Average Price(2022)]:[Average Price(2024)]])</f>
        <v>8.3094623474108242E-3</v>
      </c>
    </row>
    <row r="277" spans="1:18" x14ac:dyDescent="0.3">
      <c r="A277" t="s">
        <v>345</v>
      </c>
      <c r="B277" t="s">
        <v>767</v>
      </c>
      <c r="C277" t="s">
        <v>327</v>
      </c>
      <c r="D277" t="s">
        <v>9</v>
      </c>
      <c r="E277" t="s">
        <v>10</v>
      </c>
      <c r="F277" s="27" t="str">
        <f>IF('Working Sheet'!B413="ITEM",'Working Sheet'!E413,"")</f>
        <v>60</v>
      </c>
      <c r="G277" s="27">
        <f>IF('Working Sheet'!B413="ITEM",'Working Sheet'!F413,"")</f>
        <v>0</v>
      </c>
      <c r="H277" s="27">
        <f>IF('Working Sheet'!B413="ITEM",'Working Sheet'!G413,"")</f>
        <v>0</v>
      </c>
      <c r="I277" s="27">
        <f>IF('Working Sheet'!B413="ITEM",'Working Sheet'!H413,"")</f>
        <v>3.6318999999999999</v>
      </c>
      <c r="J277">
        <f>IF('Working Sheet'!B413="ITEM",'Working Sheet'!I413,"")</f>
        <v>0</v>
      </c>
      <c r="K277">
        <f>IF('Working Sheet'!B413="ITEM",'Working Sheet'!J413,"")</f>
        <v>0</v>
      </c>
      <c r="L277">
        <f>IF('Working Sheet'!B413="ITEM",'Working Sheet'!K413,"")</f>
        <v>71.160700000000006</v>
      </c>
      <c r="M277" s="33">
        <f>IFERROR(Table2[[#This Row],[Value(1000$) 2022]]/Table2[[#This Row],[Volume(1000) 2022]],0)</f>
        <v>0</v>
      </c>
      <c r="N277" s="33">
        <f>IFERROR(Table2[[#This Row],[Value(1000$) 2023]]/Table2[[#This Row],[Volume(1000) 2023]],0)</f>
        <v>0</v>
      </c>
      <c r="O277" s="33">
        <f>IFERROR(Table2[[#This Row],[Value(1000$) 2024]]/Table2[[#This Row],[Volume(1000) 2024]],0)</f>
        <v>5.1038002717792262E-2</v>
      </c>
      <c r="P277" s="33">
        <f>SUM(Table2[[#This Row],[Value(1000$) 2022]:[Value(1000$) 2024]])</f>
        <v>3.6318999999999999</v>
      </c>
      <c r="Q277" s="33">
        <f>SUM(Table2[[#This Row],[Volume(1000) 2022]:[Volume(1000) 2024]])</f>
        <v>71.160700000000006</v>
      </c>
      <c r="R277" s="33">
        <f>AVERAGE(Table2[[#This Row],[Average Price(2022)]:[Average Price(2024)]])</f>
        <v>1.701266757259742E-2</v>
      </c>
    </row>
    <row r="278" spans="1:18" x14ac:dyDescent="0.3">
      <c r="A278" t="s">
        <v>346</v>
      </c>
      <c r="B278" t="s">
        <v>767</v>
      </c>
      <c r="C278" t="s">
        <v>327</v>
      </c>
      <c r="D278" t="s">
        <v>9</v>
      </c>
      <c r="E278" t="s">
        <v>10</v>
      </c>
      <c r="F278" s="27" t="str">
        <f>IF('Working Sheet'!B414="ITEM",'Working Sheet'!E414,"")</f>
        <v>72</v>
      </c>
      <c r="G278" s="27">
        <f>IF('Working Sheet'!B414="ITEM",'Working Sheet'!F414,"")</f>
        <v>17.9986</v>
      </c>
      <c r="H278" s="27">
        <f>IF('Working Sheet'!B414="ITEM",'Working Sheet'!G414,"")</f>
        <v>13.0489</v>
      </c>
      <c r="I278" s="27">
        <f>IF('Working Sheet'!B414="ITEM",'Working Sheet'!H414,"")</f>
        <v>10.643000000000001</v>
      </c>
      <c r="J278">
        <f>IF('Working Sheet'!B414="ITEM",'Working Sheet'!I414,"")</f>
        <v>650.62580000000003</v>
      </c>
      <c r="K278">
        <f>IF('Working Sheet'!B414="ITEM",'Working Sheet'!J414,"")</f>
        <v>424.79559999999998</v>
      </c>
      <c r="L278">
        <f>IF('Working Sheet'!B414="ITEM",'Working Sheet'!K414,"")</f>
        <v>323.3997</v>
      </c>
      <c r="M278" s="33">
        <f>IFERROR(Table2[[#This Row],[Value(1000$) 2022]]/Table2[[#This Row],[Volume(1000) 2022]],0)</f>
        <v>2.7663520260032725E-2</v>
      </c>
      <c r="N278" s="33">
        <f>IFERROR(Table2[[#This Row],[Value(1000$) 2023]]/Table2[[#This Row],[Volume(1000) 2023]],0)</f>
        <v>3.071806770126621E-2</v>
      </c>
      <c r="O278" s="33">
        <f>IFERROR(Table2[[#This Row],[Value(1000$) 2024]]/Table2[[#This Row],[Volume(1000) 2024]],0)</f>
        <v>3.2909739866796413E-2</v>
      </c>
      <c r="P278" s="33">
        <f>SUM(Table2[[#This Row],[Value(1000$) 2022]:[Value(1000$) 2024]])</f>
        <v>41.6905</v>
      </c>
      <c r="Q278" s="33">
        <f>SUM(Table2[[#This Row],[Volume(1000) 2022]:[Volume(1000) 2024]])</f>
        <v>1398.8210999999999</v>
      </c>
      <c r="R278" s="33">
        <f>AVERAGE(Table2[[#This Row],[Average Price(2022)]:[Average Price(2024)]])</f>
        <v>3.0430442609365116E-2</v>
      </c>
    </row>
    <row r="279" spans="1:18" x14ac:dyDescent="0.3">
      <c r="A279" t="s">
        <v>347</v>
      </c>
      <c r="B279" t="s">
        <v>767</v>
      </c>
      <c r="C279" t="s">
        <v>327</v>
      </c>
      <c r="D279" t="s">
        <v>9</v>
      </c>
      <c r="E279" t="s">
        <v>64</v>
      </c>
      <c r="F279" s="27" t="str">
        <f>IF('Working Sheet'!B415="ITEM",'Working Sheet'!E415,"")</f>
        <v>72</v>
      </c>
      <c r="G279" s="27">
        <f>IF('Working Sheet'!B415="ITEM",'Working Sheet'!F415,"")</f>
        <v>18.099399999999999</v>
      </c>
      <c r="H279" s="27">
        <f>IF('Working Sheet'!B415="ITEM",'Working Sheet'!G415,"")</f>
        <v>12.3561</v>
      </c>
      <c r="I279" s="27">
        <f>IF('Working Sheet'!B415="ITEM",'Working Sheet'!H415,"")</f>
        <v>12.3432</v>
      </c>
      <c r="J279">
        <f>IF('Working Sheet'!B415="ITEM",'Working Sheet'!I415,"")</f>
        <v>1018.4675999999999</v>
      </c>
      <c r="K279">
        <f>IF('Working Sheet'!B415="ITEM",'Working Sheet'!J415,"")</f>
        <v>683.55870000000004</v>
      </c>
      <c r="L279">
        <f>IF('Working Sheet'!B415="ITEM",'Working Sheet'!K415,"")</f>
        <v>606.59050000000002</v>
      </c>
      <c r="M279" s="33">
        <f>IFERROR(Table2[[#This Row],[Value(1000$) 2022]]/Table2[[#This Row],[Volume(1000) 2022]],0)</f>
        <v>1.7771208431176407E-2</v>
      </c>
      <c r="N279" s="33">
        <f>IFERROR(Table2[[#This Row],[Value(1000$) 2023]]/Table2[[#This Row],[Volume(1000) 2023]],0)</f>
        <v>1.8076135963158685E-2</v>
      </c>
      <c r="O279" s="33">
        <f>IFERROR(Table2[[#This Row],[Value(1000$) 2024]]/Table2[[#This Row],[Volume(1000) 2024]],0)</f>
        <v>2.0348488807523362E-2</v>
      </c>
      <c r="P279" s="33">
        <f>SUM(Table2[[#This Row],[Value(1000$) 2022]:[Value(1000$) 2024]])</f>
        <v>42.798699999999997</v>
      </c>
      <c r="Q279" s="33">
        <f>SUM(Table2[[#This Row],[Volume(1000) 2022]:[Volume(1000) 2024]])</f>
        <v>2308.6167999999998</v>
      </c>
      <c r="R279" s="33">
        <f>AVERAGE(Table2[[#This Row],[Average Price(2022)]:[Average Price(2024)]])</f>
        <v>1.8731944400619486E-2</v>
      </c>
    </row>
    <row r="280" spans="1:18" x14ac:dyDescent="0.3">
      <c r="A280" t="s">
        <v>348</v>
      </c>
      <c r="B280" t="s">
        <v>767</v>
      </c>
      <c r="C280" t="s">
        <v>327</v>
      </c>
      <c r="D280" t="s">
        <v>9</v>
      </c>
      <c r="E280" t="s">
        <v>10</v>
      </c>
      <c r="F280" s="27" t="str">
        <f>IF('Working Sheet'!B416="ITEM",'Working Sheet'!E416,"")</f>
        <v>72</v>
      </c>
      <c r="G280" s="27">
        <f>IF('Working Sheet'!B416="ITEM",'Working Sheet'!F416,"")</f>
        <v>13.9643</v>
      </c>
      <c r="H280" s="27">
        <f>IF('Working Sheet'!B416="ITEM",'Working Sheet'!G416,"")</f>
        <v>11.9328</v>
      </c>
      <c r="I280" s="27">
        <f>IF('Working Sheet'!B416="ITEM",'Working Sheet'!H416,"")</f>
        <v>7.4202000000000004</v>
      </c>
      <c r="J280">
        <f>IF('Working Sheet'!B416="ITEM",'Working Sheet'!I416,"")</f>
        <v>510.25119999999998</v>
      </c>
      <c r="K280">
        <f>IF('Working Sheet'!B416="ITEM",'Working Sheet'!J416,"")</f>
        <v>382.31479999999999</v>
      </c>
      <c r="L280">
        <f>IF('Working Sheet'!B416="ITEM",'Working Sheet'!K416,"")</f>
        <v>215.15559999999999</v>
      </c>
      <c r="M280" s="33">
        <f>IFERROR(Table2[[#This Row],[Value(1000$) 2022]]/Table2[[#This Row],[Volume(1000) 2022]],0)</f>
        <v>2.7367500556588598E-2</v>
      </c>
      <c r="N280" s="33">
        <f>IFERROR(Table2[[#This Row],[Value(1000$) 2023]]/Table2[[#This Row],[Volume(1000) 2023]],0)</f>
        <v>3.1211975053019137E-2</v>
      </c>
      <c r="O280" s="33">
        <f>IFERROR(Table2[[#This Row],[Value(1000$) 2024]]/Table2[[#This Row],[Volume(1000) 2024]],0)</f>
        <v>3.4487598742491486E-2</v>
      </c>
      <c r="P280" s="33">
        <f>SUM(Table2[[#This Row],[Value(1000$) 2022]:[Value(1000$) 2024]])</f>
        <v>33.317300000000003</v>
      </c>
      <c r="Q280" s="33">
        <f>SUM(Table2[[#This Row],[Volume(1000) 2022]:[Volume(1000) 2024]])</f>
        <v>1107.7216000000001</v>
      </c>
      <c r="R280" s="33">
        <f>AVERAGE(Table2[[#This Row],[Average Price(2022)]:[Average Price(2024)]])</f>
        <v>3.1022358117366405E-2</v>
      </c>
    </row>
    <row r="281" spans="1:18" x14ac:dyDescent="0.3">
      <c r="A281" t="s">
        <v>349</v>
      </c>
      <c r="B281" t="s">
        <v>767</v>
      </c>
      <c r="C281" t="s">
        <v>327</v>
      </c>
      <c r="D281" t="s">
        <v>9</v>
      </c>
      <c r="E281" t="s">
        <v>20</v>
      </c>
      <c r="F281" s="27" t="str">
        <f>IF('Working Sheet'!B417="ITEM",'Working Sheet'!E417,"")</f>
        <v>72</v>
      </c>
      <c r="G281" s="27">
        <f>IF('Working Sheet'!B417="ITEM",'Working Sheet'!F417,"")</f>
        <v>0</v>
      </c>
      <c r="H281" s="27">
        <f>IF('Working Sheet'!B417="ITEM",'Working Sheet'!G417,"")</f>
        <v>0.56559999999999999</v>
      </c>
      <c r="I281" s="27">
        <f>IF('Working Sheet'!B417="ITEM",'Working Sheet'!H417,"")</f>
        <v>0.19719999999999999</v>
      </c>
      <c r="J281">
        <f>IF('Working Sheet'!B417="ITEM",'Working Sheet'!I417,"")</f>
        <v>0</v>
      </c>
      <c r="K281">
        <f>IF('Working Sheet'!B417="ITEM",'Working Sheet'!J417,"")</f>
        <v>6.4855</v>
      </c>
      <c r="L281">
        <f>IF('Working Sheet'!B417="ITEM",'Working Sheet'!K417,"")</f>
        <v>8.6998999999999995</v>
      </c>
      <c r="M281" s="33">
        <f>IFERROR(Table2[[#This Row],[Value(1000$) 2022]]/Table2[[#This Row],[Volume(1000) 2022]],0)</f>
        <v>0</v>
      </c>
      <c r="N281" s="33">
        <f>IFERROR(Table2[[#This Row],[Value(1000$) 2023]]/Table2[[#This Row],[Volume(1000) 2023]],0)</f>
        <v>8.7209929843497028E-2</v>
      </c>
      <c r="O281" s="33">
        <f>IFERROR(Table2[[#This Row],[Value(1000$) 2024]]/Table2[[#This Row],[Volume(1000) 2024]],0)</f>
        <v>2.2666927206059839E-2</v>
      </c>
      <c r="P281" s="33">
        <f>SUM(Table2[[#This Row],[Value(1000$) 2022]:[Value(1000$) 2024]])</f>
        <v>0.76279999999999992</v>
      </c>
      <c r="Q281" s="33">
        <f>SUM(Table2[[#This Row],[Volume(1000) 2022]:[Volume(1000) 2024]])</f>
        <v>15.1854</v>
      </c>
      <c r="R281" s="33">
        <f>AVERAGE(Table2[[#This Row],[Average Price(2022)]:[Average Price(2024)]])</f>
        <v>3.6625619016518958E-2</v>
      </c>
    </row>
    <row r="282" spans="1:18" x14ac:dyDescent="0.3">
      <c r="A282" t="s">
        <v>350</v>
      </c>
      <c r="B282" t="s">
        <v>767</v>
      </c>
      <c r="C282" t="s">
        <v>327</v>
      </c>
      <c r="D282" t="s">
        <v>9</v>
      </c>
      <c r="E282" t="s">
        <v>20</v>
      </c>
      <c r="F282" s="27" t="str">
        <f>IF('Working Sheet'!B418="ITEM",'Working Sheet'!E418,"")</f>
        <v>72</v>
      </c>
      <c r="G282" s="27">
        <f>IF('Working Sheet'!B418="ITEM",'Working Sheet'!F418,"")</f>
        <v>11.936500000000001</v>
      </c>
      <c r="H282" s="27">
        <f>IF('Working Sheet'!B418="ITEM",'Working Sheet'!G418,"")</f>
        <v>11.3424</v>
      </c>
      <c r="I282" s="27">
        <f>IF('Working Sheet'!B418="ITEM",'Working Sheet'!H418,"")</f>
        <v>2.8279999999999998</v>
      </c>
      <c r="J282">
        <f>IF('Working Sheet'!B418="ITEM",'Working Sheet'!I418,"")</f>
        <v>494.98500000000001</v>
      </c>
      <c r="K282">
        <f>IF('Working Sheet'!B418="ITEM",'Working Sheet'!J418,"")</f>
        <v>456.52679999999998</v>
      </c>
      <c r="L282">
        <f>IF('Working Sheet'!B418="ITEM",'Working Sheet'!K418,"")</f>
        <v>127.90179999999999</v>
      </c>
      <c r="M282" s="33">
        <f>IFERROR(Table2[[#This Row],[Value(1000$) 2022]]/Table2[[#This Row],[Volume(1000) 2022]],0)</f>
        <v>2.4114872167843471E-2</v>
      </c>
      <c r="N282" s="33">
        <f>IFERROR(Table2[[#This Row],[Value(1000$) 2023]]/Table2[[#This Row],[Volume(1000) 2023]],0)</f>
        <v>2.4844981718488379E-2</v>
      </c>
      <c r="O282" s="33">
        <f>IFERROR(Table2[[#This Row],[Value(1000$) 2024]]/Table2[[#This Row],[Volume(1000) 2024]],0)</f>
        <v>2.2110713062677773E-2</v>
      </c>
      <c r="P282" s="33">
        <f>SUM(Table2[[#This Row],[Value(1000$) 2022]:[Value(1000$) 2024]])</f>
        <v>26.1069</v>
      </c>
      <c r="Q282" s="33">
        <f>SUM(Table2[[#This Row],[Volume(1000) 2022]:[Volume(1000) 2024]])</f>
        <v>1079.4136000000001</v>
      </c>
      <c r="R282" s="33">
        <f>AVERAGE(Table2[[#This Row],[Average Price(2022)]:[Average Price(2024)]])</f>
        <v>2.3690188983003208E-2</v>
      </c>
    </row>
    <row r="283" spans="1:18" x14ac:dyDescent="0.3">
      <c r="A283" t="s">
        <v>351</v>
      </c>
      <c r="B283" t="s">
        <v>767</v>
      </c>
      <c r="C283" t="s">
        <v>327</v>
      </c>
      <c r="D283" t="s">
        <v>9</v>
      </c>
      <c r="E283" t="s">
        <v>30</v>
      </c>
      <c r="F283" s="27" t="str">
        <f>IF('Working Sheet'!B419="ITEM",'Working Sheet'!E419,"")</f>
        <v>72</v>
      </c>
      <c r="G283" s="27">
        <f>IF('Working Sheet'!B419="ITEM",'Working Sheet'!F419,"")</f>
        <v>16.799600000000002</v>
      </c>
      <c r="H283" s="27">
        <f>IF('Working Sheet'!B419="ITEM",'Working Sheet'!G419,"")</f>
        <v>11.79</v>
      </c>
      <c r="I283" s="27">
        <f>IF('Working Sheet'!B419="ITEM",'Working Sheet'!H419,"")</f>
        <v>3.1292</v>
      </c>
      <c r="J283">
        <f>IF('Working Sheet'!B419="ITEM",'Working Sheet'!I419,"")</f>
        <v>633.09360000000004</v>
      </c>
      <c r="K283">
        <f>IF('Working Sheet'!B419="ITEM",'Working Sheet'!J419,"")</f>
        <v>491.60489999999999</v>
      </c>
      <c r="L283">
        <f>IF('Working Sheet'!B419="ITEM",'Working Sheet'!K419,"")</f>
        <v>123.1259</v>
      </c>
      <c r="M283" s="33">
        <f>IFERROR(Table2[[#This Row],[Value(1000$) 2022]]/Table2[[#This Row],[Volume(1000) 2022]],0)</f>
        <v>2.6535728682141158E-2</v>
      </c>
      <c r="N283" s="33">
        <f>IFERROR(Table2[[#This Row],[Value(1000$) 2023]]/Table2[[#This Row],[Volume(1000) 2023]],0)</f>
        <v>2.398267389116748E-2</v>
      </c>
      <c r="O283" s="33">
        <f>IFERROR(Table2[[#This Row],[Value(1000$) 2024]]/Table2[[#This Row],[Volume(1000) 2024]],0)</f>
        <v>2.5414636563062684E-2</v>
      </c>
      <c r="P283" s="33">
        <f>SUM(Table2[[#This Row],[Value(1000$) 2022]:[Value(1000$) 2024]])</f>
        <v>31.718800000000002</v>
      </c>
      <c r="Q283" s="33">
        <f>SUM(Table2[[#This Row],[Volume(1000) 2022]:[Volume(1000) 2024]])</f>
        <v>1247.8244</v>
      </c>
      <c r="R283" s="33">
        <f>AVERAGE(Table2[[#This Row],[Average Price(2022)]:[Average Price(2024)]])</f>
        <v>2.5311013045457107E-2</v>
      </c>
    </row>
    <row r="284" spans="1:18" x14ac:dyDescent="0.3">
      <c r="A284" t="s">
        <v>352</v>
      </c>
      <c r="B284" t="s">
        <v>767</v>
      </c>
      <c r="C284" t="s">
        <v>327</v>
      </c>
      <c r="D284" t="s">
        <v>9</v>
      </c>
      <c r="E284" t="s">
        <v>20</v>
      </c>
      <c r="F284" s="27" t="str">
        <f>IF('Working Sheet'!B420="ITEM",'Working Sheet'!E420,"")</f>
        <v>72</v>
      </c>
      <c r="G284" s="27">
        <f>IF('Working Sheet'!B420="ITEM",'Working Sheet'!F420,"")</f>
        <v>15.0557</v>
      </c>
      <c r="H284" s="27">
        <f>IF('Working Sheet'!B420="ITEM",'Working Sheet'!G420,"")</f>
        <v>9.7439</v>
      </c>
      <c r="I284" s="27">
        <f>IF('Working Sheet'!B420="ITEM",'Working Sheet'!H420,"")</f>
        <v>7.3936000000000002</v>
      </c>
      <c r="J284">
        <f>IF('Working Sheet'!B420="ITEM",'Working Sheet'!I420,"")</f>
        <v>945.80409999999995</v>
      </c>
      <c r="K284">
        <f>IF('Working Sheet'!B420="ITEM",'Working Sheet'!J420,"")</f>
        <v>583.28309999999999</v>
      </c>
      <c r="L284">
        <f>IF('Working Sheet'!B420="ITEM",'Working Sheet'!K420,"")</f>
        <v>424.78879999999998</v>
      </c>
      <c r="M284" s="33">
        <f>IFERROR(Table2[[#This Row],[Value(1000$) 2022]]/Table2[[#This Row],[Volume(1000) 2022]],0)</f>
        <v>1.5918412703011121E-2</v>
      </c>
      <c r="N284" s="33">
        <f>IFERROR(Table2[[#This Row],[Value(1000$) 2023]]/Table2[[#This Row],[Volume(1000) 2023]],0)</f>
        <v>1.6705267133575445E-2</v>
      </c>
      <c r="O284" s="33">
        <f>IFERROR(Table2[[#This Row],[Value(1000$) 2024]]/Table2[[#This Row],[Volume(1000) 2024]],0)</f>
        <v>1.7405355320102602E-2</v>
      </c>
      <c r="P284" s="33">
        <f>SUM(Table2[[#This Row],[Value(1000$) 2022]:[Value(1000$) 2024]])</f>
        <v>32.193199999999997</v>
      </c>
      <c r="Q284" s="33">
        <f>SUM(Table2[[#This Row],[Volume(1000) 2022]:[Volume(1000) 2024]])</f>
        <v>1953.876</v>
      </c>
      <c r="R284" s="33">
        <f>AVERAGE(Table2[[#This Row],[Average Price(2022)]:[Average Price(2024)]])</f>
        <v>1.6676345052229723E-2</v>
      </c>
    </row>
    <row r="285" spans="1:18" x14ac:dyDescent="0.3">
      <c r="A285" t="s">
        <v>353</v>
      </c>
      <c r="B285" t="s">
        <v>767</v>
      </c>
      <c r="C285" t="s">
        <v>327</v>
      </c>
      <c r="D285" t="s">
        <v>9</v>
      </c>
      <c r="E285" t="s">
        <v>20</v>
      </c>
      <c r="F285" s="27" t="str">
        <f>IF('Working Sheet'!B421="ITEM",'Working Sheet'!E421,"")</f>
        <v>72</v>
      </c>
      <c r="G285" s="27">
        <f>IF('Working Sheet'!B421="ITEM",'Working Sheet'!F421,"")</f>
        <v>2.5228000000000002</v>
      </c>
      <c r="H285" s="27">
        <f>IF('Working Sheet'!B421="ITEM",'Working Sheet'!G421,"")</f>
        <v>0</v>
      </c>
      <c r="I285" s="27">
        <f>IF('Working Sheet'!B421="ITEM",'Working Sheet'!H421,"")</f>
        <v>0</v>
      </c>
      <c r="J285">
        <f>IF('Working Sheet'!B421="ITEM",'Working Sheet'!I421,"")</f>
        <v>102.04300000000001</v>
      </c>
      <c r="K285">
        <f>IF('Working Sheet'!B421="ITEM",'Working Sheet'!J421,"")</f>
        <v>0</v>
      </c>
      <c r="L285">
        <f>IF('Working Sheet'!B421="ITEM",'Working Sheet'!K421,"")</f>
        <v>0</v>
      </c>
      <c r="M285" s="33">
        <f>IFERROR(Table2[[#This Row],[Value(1000$) 2022]]/Table2[[#This Row],[Volume(1000) 2022]],0)</f>
        <v>2.4722910929706104E-2</v>
      </c>
      <c r="N285" s="33">
        <f>IFERROR(Table2[[#This Row],[Value(1000$) 2023]]/Table2[[#This Row],[Volume(1000) 2023]],0)</f>
        <v>0</v>
      </c>
      <c r="O285" s="33">
        <f>IFERROR(Table2[[#This Row],[Value(1000$) 2024]]/Table2[[#This Row],[Volume(1000) 2024]],0)</f>
        <v>0</v>
      </c>
      <c r="P285" s="33">
        <f>SUM(Table2[[#This Row],[Value(1000$) 2022]:[Value(1000$) 2024]])</f>
        <v>2.5228000000000002</v>
      </c>
      <c r="Q285" s="33">
        <f>SUM(Table2[[#This Row],[Volume(1000) 2022]:[Volume(1000) 2024]])</f>
        <v>102.04300000000001</v>
      </c>
      <c r="R285" s="33">
        <f>AVERAGE(Table2[[#This Row],[Average Price(2022)]:[Average Price(2024)]])</f>
        <v>8.2409703099020348E-3</v>
      </c>
    </row>
    <row r="286" spans="1:18" x14ac:dyDescent="0.3">
      <c r="A286" t="s">
        <v>354</v>
      </c>
      <c r="B286" t="s">
        <v>767</v>
      </c>
      <c r="C286" t="s">
        <v>327</v>
      </c>
      <c r="D286" t="s">
        <v>9</v>
      </c>
      <c r="E286" t="s">
        <v>30</v>
      </c>
      <c r="F286" s="27" t="str">
        <f>IF('Working Sheet'!B422="ITEM",'Working Sheet'!E422,"")</f>
        <v>80</v>
      </c>
      <c r="G286" s="27">
        <f>IF('Working Sheet'!B422="ITEM",'Working Sheet'!F422,"")</f>
        <v>5.8501000000000003</v>
      </c>
      <c r="H286" s="27">
        <f>IF('Working Sheet'!B422="ITEM",'Working Sheet'!G422,"")</f>
        <v>3.1604999999999999</v>
      </c>
      <c r="I286" s="27">
        <f>IF('Working Sheet'!B422="ITEM",'Working Sheet'!H422,"")</f>
        <v>1.1102000000000001</v>
      </c>
      <c r="J286">
        <f>IF('Working Sheet'!B422="ITEM",'Working Sheet'!I422,"")</f>
        <v>279.7971</v>
      </c>
      <c r="K286">
        <f>IF('Working Sheet'!B422="ITEM",'Working Sheet'!J422,"")</f>
        <v>133.69110000000001</v>
      </c>
      <c r="L286">
        <f>IF('Working Sheet'!B422="ITEM",'Working Sheet'!K422,"")</f>
        <v>49.716799999999999</v>
      </c>
      <c r="M286" s="33">
        <f>IFERROR(Table2[[#This Row],[Value(1000$) 2022]]/Table2[[#This Row],[Volume(1000) 2022]],0)</f>
        <v>2.0908365383343858E-2</v>
      </c>
      <c r="N286" s="33">
        <f>IFERROR(Table2[[#This Row],[Value(1000$) 2023]]/Table2[[#This Row],[Volume(1000) 2023]],0)</f>
        <v>2.36403171190902E-2</v>
      </c>
      <c r="O286" s="33">
        <f>IFERROR(Table2[[#This Row],[Value(1000$) 2024]]/Table2[[#This Row],[Volume(1000) 2024]],0)</f>
        <v>2.2330479837801308E-2</v>
      </c>
      <c r="P286" s="33">
        <f>SUM(Table2[[#This Row],[Value(1000$) 2022]:[Value(1000$) 2024]])</f>
        <v>10.120800000000001</v>
      </c>
      <c r="Q286" s="33">
        <f>SUM(Table2[[#This Row],[Volume(1000) 2022]:[Volume(1000) 2024]])</f>
        <v>463.20499999999998</v>
      </c>
      <c r="R286" s="33">
        <f>AVERAGE(Table2[[#This Row],[Average Price(2022)]:[Average Price(2024)]])</f>
        <v>2.2293054113411787E-2</v>
      </c>
    </row>
    <row r="287" spans="1:18" x14ac:dyDescent="0.3">
      <c r="A287" t="s">
        <v>355</v>
      </c>
      <c r="B287" t="s">
        <v>767</v>
      </c>
      <c r="C287" t="s">
        <v>327</v>
      </c>
      <c r="D287" t="s">
        <v>9</v>
      </c>
      <c r="E287" t="s">
        <v>10</v>
      </c>
      <c r="F287" s="27" t="str">
        <f>IF('Working Sheet'!B423="ITEM",'Working Sheet'!E423,"")</f>
        <v>80</v>
      </c>
      <c r="G287" s="27">
        <f>IF('Working Sheet'!B423="ITEM",'Working Sheet'!F423,"")</f>
        <v>3.5649999999999999</v>
      </c>
      <c r="H287" s="27">
        <f>IF('Working Sheet'!B423="ITEM",'Working Sheet'!G423,"")</f>
        <v>3.9624000000000001</v>
      </c>
      <c r="I287" s="27">
        <f>IF('Working Sheet'!B423="ITEM",'Working Sheet'!H423,"")</f>
        <v>3.0468999999999999</v>
      </c>
      <c r="J287">
        <f>IF('Working Sheet'!B423="ITEM",'Working Sheet'!I423,"")</f>
        <v>186.07509999999999</v>
      </c>
      <c r="K287">
        <f>IF('Working Sheet'!B423="ITEM",'Working Sheet'!J423,"")</f>
        <v>188.92570000000001</v>
      </c>
      <c r="L287">
        <f>IF('Working Sheet'!B423="ITEM",'Working Sheet'!K423,"")</f>
        <v>146.31370000000001</v>
      </c>
      <c r="M287" s="33">
        <f>IFERROR(Table2[[#This Row],[Value(1000$) 2022]]/Table2[[#This Row],[Volume(1000) 2022]],0)</f>
        <v>1.9158930990766633E-2</v>
      </c>
      <c r="N287" s="33">
        <f>IFERROR(Table2[[#This Row],[Value(1000$) 2023]]/Table2[[#This Row],[Volume(1000) 2023]],0)</f>
        <v>2.0973324433891206E-2</v>
      </c>
      <c r="O287" s="33">
        <f>IFERROR(Table2[[#This Row],[Value(1000$) 2024]]/Table2[[#This Row],[Volume(1000) 2024]],0)</f>
        <v>2.0824434075551363E-2</v>
      </c>
      <c r="P287" s="33">
        <f>SUM(Table2[[#This Row],[Value(1000$) 2022]:[Value(1000$) 2024]])</f>
        <v>10.574300000000001</v>
      </c>
      <c r="Q287" s="33">
        <f>SUM(Table2[[#This Row],[Volume(1000) 2022]:[Volume(1000) 2024]])</f>
        <v>521.31450000000007</v>
      </c>
      <c r="R287" s="33">
        <f>AVERAGE(Table2[[#This Row],[Average Price(2022)]:[Average Price(2024)]])</f>
        <v>2.0318896500069735E-2</v>
      </c>
    </row>
    <row r="288" spans="1:18" x14ac:dyDescent="0.3">
      <c r="A288" t="s">
        <v>356</v>
      </c>
      <c r="B288" t="s">
        <v>767</v>
      </c>
      <c r="C288" t="s">
        <v>327</v>
      </c>
      <c r="D288" t="s">
        <v>9</v>
      </c>
      <c r="E288" t="s">
        <v>30</v>
      </c>
      <c r="F288" s="27" t="str">
        <f>IF('Working Sheet'!B424="ITEM",'Working Sheet'!E424,"")</f>
        <v>80</v>
      </c>
      <c r="G288" s="27">
        <f>IF('Working Sheet'!B424="ITEM",'Working Sheet'!F424,"")</f>
        <v>4.5880999999999998</v>
      </c>
      <c r="H288" s="27">
        <f>IF('Working Sheet'!B424="ITEM",'Working Sheet'!G424,"")</f>
        <v>5.0932000000000004</v>
      </c>
      <c r="I288" s="27">
        <f>IF('Working Sheet'!B424="ITEM",'Working Sheet'!H424,"")</f>
        <v>5.0259</v>
      </c>
      <c r="J288">
        <f>IF('Working Sheet'!B424="ITEM",'Working Sheet'!I424,"")</f>
        <v>237.0685</v>
      </c>
      <c r="K288">
        <f>IF('Working Sheet'!B424="ITEM",'Working Sheet'!J424,"")</f>
        <v>259.80410000000001</v>
      </c>
      <c r="L288">
        <f>IF('Working Sheet'!B424="ITEM",'Working Sheet'!K424,"")</f>
        <v>248.8639</v>
      </c>
      <c r="M288" s="33">
        <f>IFERROR(Table2[[#This Row],[Value(1000$) 2022]]/Table2[[#This Row],[Volume(1000) 2022]],0)</f>
        <v>1.9353478003193168E-2</v>
      </c>
      <c r="N288" s="33">
        <f>IFERROR(Table2[[#This Row],[Value(1000$) 2023]]/Table2[[#This Row],[Volume(1000) 2023]],0)</f>
        <v>1.9604001630459257E-2</v>
      </c>
      <c r="O288" s="33">
        <f>IFERROR(Table2[[#This Row],[Value(1000$) 2024]]/Table2[[#This Row],[Volume(1000) 2024]],0)</f>
        <v>2.019537586608584E-2</v>
      </c>
      <c r="P288" s="33">
        <f>SUM(Table2[[#This Row],[Value(1000$) 2022]:[Value(1000$) 2024]])</f>
        <v>14.7072</v>
      </c>
      <c r="Q288" s="33">
        <f>SUM(Table2[[#This Row],[Volume(1000) 2022]:[Volume(1000) 2024]])</f>
        <v>745.73649999999998</v>
      </c>
      <c r="R288" s="33">
        <f>AVERAGE(Table2[[#This Row],[Average Price(2022)]:[Average Price(2024)]])</f>
        <v>1.9717618499912756E-2</v>
      </c>
    </row>
    <row r="289" spans="1:18" x14ac:dyDescent="0.3">
      <c r="A289" t="s">
        <v>357</v>
      </c>
      <c r="B289" t="s">
        <v>767</v>
      </c>
      <c r="C289" t="s">
        <v>327</v>
      </c>
      <c r="D289" t="s">
        <v>9</v>
      </c>
      <c r="E289" t="s">
        <v>10</v>
      </c>
      <c r="F289" s="27" t="str">
        <f>IF('Working Sheet'!B425="ITEM",'Working Sheet'!E425,"")</f>
        <v>96</v>
      </c>
      <c r="G289" s="27">
        <f>IF('Working Sheet'!B425="ITEM",'Working Sheet'!F425,"")</f>
        <v>0</v>
      </c>
      <c r="H289" s="27">
        <f>IF('Working Sheet'!B425="ITEM",'Working Sheet'!G425,"")</f>
        <v>7.0000000000000001E-3</v>
      </c>
      <c r="I289" s="27">
        <f>IF('Working Sheet'!B425="ITEM",'Working Sheet'!H425,"")</f>
        <v>0</v>
      </c>
      <c r="J289">
        <f>IF('Working Sheet'!B425="ITEM",'Working Sheet'!I425,"")</f>
        <v>0</v>
      </c>
      <c r="K289">
        <f>IF('Working Sheet'!B425="ITEM",'Working Sheet'!J425,"")</f>
        <v>0.32779999999999998</v>
      </c>
      <c r="L289">
        <f>IF('Working Sheet'!B425="ITEM",'Working Sheet'!K425,"")</f>
        <v>0</v>
      </c>
      <c r="M289" s="33">
        <f>IFERROR(Table2[[#This Row],[Value(1000$) 2022]]/Table2[[#This Row],[Volume(1000) 2022]],0)</f>
        <v>0</v>
      </c>
      <c r="N289" s="33">
        <f>IFERROR(Table2[[#This Row],[Value(1000$) 2023]]/Table2[[#This Row],[Volume(1000) 2023]],0)</f>
        <v>2.1354484441732765E-2</v>
      </c>
      <c r="O289" s="33">
        <f>IFERROR(Table2[[#This Row],[Value(1000$) 2024]]/Table2[[#This Row],[Volume(1000) 2024]],0)</f>
        <v>0</v>
      </c>
      <c r="P289" s="33">
        <f>SUM(Table2[[#This Row],[Value(1000$) 2022]:[Value(1000$) 2024]])</f>
        <v>7.0000000000000001E-3</v>
      </c>
      <c r="Q289" s="33">
        <f>SUM(Table2[[#This Row],[Volume(1000) 2022]:[Volume(1000) 2024]])</f>
        <v>0.32779999999999998</v>
      </c>
      <c r="R289" s="33">
        <f>AVERAGE(Table2[[#This Row],[Average Price(2022)]:[Average Price(2024)]])</f>
        <v>7.1181614805775886E-3</v>
      </c>
    </row>
    <row r="290" spans="1:18" x14ac:dyDescent="0.3">
      <c r="A290" t="s">
        <v>360</v>
      </c>
      <c r="B290" t="s">
        <v>767</v>
      </c>
      <c r="C290" t="s">
        <v>359</v>
      </c>
      <c r="D290" t="s">
        <v>9</v>
      </c>
      <c r="E290" t="s">
        <v>20</v>
      </c>
      <c r="F290" s="27" t="str">
        <f>IF('Working Sheet'!B427="ITEM",'Working Sheet'!E427,"")</f>
        <v>120</v>
      </c>
      <c r="G290" s="27">
        <f>IF('Working Sheet'!B427="ITEM",'Working Sheet'!F427,"")</f>
        <v>3.0200000000000001E-2</v>
      </c>
      <c r="H290" s="27">
        <f>IF('Working Sheet'!B427="ITEM",'Working Sheet'!G427,"")</f>
        <v>2.0104000000000002</v>
      </c>
      <c r="I290" s="27">
        <f>IF('Working Sheet'!B427="ITEM",'Working Sheet'!H427,"")</f>
        <v>1.0045999999999999</v>
      </c>
      <c r="J290">
        <f>IF('Working Sheet'!B427="ITEM",'Working Sheet'!I427,"")</f>
        <v>1.4571000000000001</v>
      </c>
      <c r="K290">
        <f>IF('Working Sheet'!B427="ITEM",'Working Sheet'!J427,"")</f>
        <v>118.0438</v>
      </c>
      <c r="L290">
        <f>IF('Working Sheet'!B427="ITEM",'Working Sheet'!K427,"")</f>
        <v>56.873399999999997</v>
      </c>
      <c r="M290" s="33">
        <f>IFERROR(Table2[[#This Row],[Value(1000$) 2022]]/Table2[[#This Row],[Volume(1000) 2022]],0)</f>
        <v>2.0726099787248646E-2</v>
      </c>
      <c r="N290" s="33">
        <f>IFERROR(Table2[[#This Row],[Value(1000$) 2023]]/Table2[[#This Row],[Volume(1000) 2023]],0)</f>
        <v>1.7030966471767259E-2</v>
      </c>
      <c r="O290" s="33">
        <f>IFERROR(Table2[[#This Row],[Value(1000$) 2024]]/Table2[[#This Row],[Volume(1000) 2024]],0)</f>
        <v>1.7663793618809497E-2</v>
      </c>
      <c r="P290" s="33">
        <f>SUM(Table2[[#This Row],[Value(1000$) 2022]:[Value(1000$) 2024]])</f>
        <v>3.0451999999999999</v>
      </c>
      <c r="Q290" s="33">
        <f>SUM(Table2[[#This Row],[Volume(1000) 2022]:[Volume(1000) 2024]])</f>
        <v>176.37430000000001</v>
      </c>
      <c r="R290" s="33">
        <f>AVERAGE(Table2[[#This Row],[Average Price(2022)]:[Average Price(2024)]])</f>
        <v>1.8473619959275132E-2</v>
      </c>
    </row>
    <row r="291" spans="1:18" x14ac:dyDescent="0.3">
      <c r="A291" t="s">
        <v>362</v>
      </c>
      <c r="B291" t="s">
        <v>767</v>
      </c>
      <c r="C291" t="s">
        <v>361</v>
      </c>
      <c r="D291" t="s">
        <v>9</v>
      </c>
      <c r="E291" t="s">
        <v>10</v>
      </c>
      <c r="F291" s="27" t="str">
        <f>IF('Working Sheet'!B429="ITEM",'Working Sheet'!E429,"")</f>
        <v>72</v>
      </c>
      <c r="G291" s="27">
        <f>IF('Working Sheet'!B429="ITEM",'Working Sheet'!F429,"")</f>
        <v>0.1913</v>
      </c>
      <c r="H291" s="27">
        <f>IF('Working Sheet'!B429="ITEM",'Working Sheet'!G429,"")</f>
        <v>0.55200000000000005</v>
      </c>
      <c r="I291" s="27">
        <f>IF('Working Sheet'!B429="ITEM",'Working Sheet'!H429,"")</f>
        <v>4.3700000000000003E-2</v>
      </c>
      <c r="J291">
        <f>IF('Working Sheet'!B429="ITEM",'Working Sheet'!I429,"")</f>
        <v>6.9211999999999998</v>
      </c>
      <c r="K291">
        <f>IF('Working Sheet'!B429="ITEM",'Working Sheet'!J429,"")</f>
        <v>19.9695</v>
      </c>
      <c r="L291">
        <f>IF('Working Sheet'!B429="ITEM",'Working Sheet'!K429,"")</f>
        <v>1.2094</v>
      </c>
      <c r="M291" s="33">
        <f>IFERROR(Table2[[#This Row],[Value(1000$) 2022]]/Table2[[#This Row],[Volume(1000) 2022]],0)</f>
        <v>2.7639715656244582E-2</v>
      </c>
      <c r="N291" s="33">
        <f>IFERROR(Table2[[#This Row],[Value(1000$) 2023]]/Table2[[#This Row],[Volume(1000) 2023]],0)</f>
        <v>2.7642154285285062E-2</v>
      </c>
      <c r="O291" s="33">
        <f>IFERROR(Table2[[#This Row],[Value(1000$) 2024]]/Table2[[#This Row],[Volume(1000) 2024]],0)</f>
        <v>3.6133619976848025E-2</v>
      </c>
      <c r="P291" s="33">
        <f>SUM(Table2[[#This Row],[Value(1000$) 2022]:[Value(1000$) 2024]])</f>
        <v>0.78700000000000003</v>
      </c>
      <c r="Q291" s="33">
        <f>SUM(Table2[[#This Row],[Volume(1000) 2022]:[Volume(1000) 2024]])</f>
        <v>28.100099999999998</v>
      </c>
      <c r="R291" s="33">
        <f>AVERAGE(Table2[[#This Row],[Average Price(2022)]:[Average Price(2024)]])</f>
        <v>3.0471829972792557E-2</v>
      </c>
    </row>
    <row r="292" spans="1:18" x14ac:dyDescent="0.3">
      <c r="A292" t="s">
        <v>365</v>
      </c>
      <c r="B292" t="s">
        <v>768</v>
      </c>
      <c r="C292" t="s">
        <v>364</v>
      </c>
      <c r="D292" t="s">
        <v>9</v>
      </c>
      <c r="E292" t="s">
        <v>20</v>
      </c>
      <c r="F292" s="27" t="str">
        <f>IF('Working Sheet'!B432="ITEM",'Working Sheet'!E432,"")</f>
        <v>40</v>
      </c>
      <c r="G292" s="27">
        <f>IF('Working Sheet'!B432="ITEM",'Working Sheet'!F432,"")</f>
        <v>2.6700000000000002E-2</v>
      </c>
      <c r="H292" s="27">
        <f>IF('Working Sheet'!B432="ITEM",'Working Sheet'!G432,"")</f>
        <v>6.6E-3</v>
      </c>
      <c r="I292" s="27">
        <f>IF('Working Sheet'!B432="ITEM",'Working Sheet'!H432,"")</f>
        <v>0</v>
      </c>
      <c r="J292">
        <f>IF('Working Sheet'!B432="ITEM",'Working Sheet'!I432,"")</f>
        <v>1.3361000000000001</v>
      </c>
      <c r="K292">
        <f>IF('Working Sheet'!B432="ITEM",'Working Sheet'!J432,"")</f>
        <v>0.32919999999999999</v>
      </c>
      <c r="L292">
        <f>IF('Working Sheet'!B432="ITEM",'Working Sheet'!K432,"")</f>
        <v>0</v>
      </c>
      <c r="M292" s="33">
        <f>IFERROR(Table2[[#This Row],[Value(1000$) 2022]]/Table2[[#This Row],[Volume(1000) 2022]],0)</f>
        <v>1.9983534166604297E-2</v>
      </c>
      <c r="N292" s="33">
        <f>IFERROR(Table2[[#This Row],[Value(1000$) 2023]]/Table2[[#This Row],[Volume(1000) 2023]],0)</f>
        <v>2.0048602673147023E-2</v>
      </c>
      <c r="O292" s="33">
        <f>IFERROR(Table2[[#This Row],[Value(1000$) 2024]]/Table2[[#This Row],[Volume(1000) 2024]],0)</f>
        <v>0</v>
      </c>
      <c r="P292" s="33">
        <f>SUM(Table2[[#This Row],[Value(1000$) 2022]:[Value(1000$) 2024]])</f>
        <v>3.3300000000000003E-2</v>
      </c>
      <c r="Q292" s="33">
        <f>SUM(Table2[[#This Row],[Volume(1000) 2022]:[Volume(1000) 2024]])</f>
        <v>1.6653</v>
      </c>
      <c r="R292" s="33">
        <f>AVERAGE(Table2[[#This Row],[Average Price(2022)]:[Average Price(2024)]])</f>
        <v>1.3344045613250441E-2</v>
      </c>
    </row>
    <row r="293" spans="1:18" x14ac:dyDescent="0.3">
      <c r="A293" t="s">
        <v>366</v>
      </c>
      <c r="B293" t="s">
        <v>768</v>
      </c>
      <c r="C293" t="s">
        <v>364</v>
      </c>
      <c r="D293" t="s">
        <v>9</v>
      </c>
      <c r="E293" t="s">
        <v>64</v>
      </c>
      <c r="F293" s="27" t="str">
        <f>IF('Working Sheet'!B433="ITEM",'Working Sheet'!E433,"")</f>
        <v>90</v>
      </c>
      <c r="G293" s="27">
        <f>IF('Working Sheet'!B433="ITEM",'Working Sheet'!F433,"")</f>
        <v>6.93E-2</v>
      </c>
      <c r="H293" s="27">
        <f>IF('Working Sheet'!B433="ITEM",'Working Sheet'!G433,"")</f>
        <v>0.19889999999999999</v>
      </c>
      <c r="I293" s="27">
        <f>IF('Working Sheet'!B433="ITEM",'Working Sheet'!H433,"")</f>
        <v>0</v>
      </c>
      <c r="J293">
        <f>IF('Working Sheet'!B433="ITEM",'Working Sheet'!I433,"")</f>
        <v>3.0247000000000002</v>
      </c>
      <c r="K293">
        <f>IF('Working Sheet'!B433="ITEM",'Working Sheet'!J433,"")</f>
        <v>8.6912000000000003</v>
      </c>
      <c r="L293">
        <f>IF('Working Sheet'!B433="ITEM",'Working Sheet'!K433,"")</f>
        <v>0</v>
      </c>
      <c r="M293" s="33">
        <f>IFERROR(Table2[[#This Row],[Value(1000$) 2022]]/Table2[[#This Row],[Volume(1000) 2022]],0)</f>
        <v>2.2911363110391113E-2</v>
      </c>
      <c r="N293" s="33">
        <f>IFERROR(Table2[[#This Row],[Value(1000$) 2023]]/Table2[[#This Row],[Volume(1000) 2023]],0)</f>
        <v>2.2885217231222384E-2</v>
      </c>
      <c r="O293" s="33">
        <f>IFERROR(Table2[[#This Row],[Value(1000$) 2024]]/Table2[[#This Row],[Volume(1000) 2024]],0)</f>
        <v>0</v>
      </c>
      <c r="P293" s="33">
        <f>SUM(Table2[[#This Row],[Value(1000$) 2022]:[Value(1000$) 2024]])</f>
        <v>0.26819999999999999</v>
      </c>
      <c r="Q293" s="33">
        <f>SUM(Table2[[#This Row],[Volume(1000) 2022]:[Volume(1000) 2024]])</f>
        <v>11.715900000000001</v>
      </c>
      <c r="R293" s="33">
        <f>AVERAGE(Table2[[#This Row],[Average Price(2022)]:[Average Price(2024)]])</f>
        <v>1.5265526780537832E-2</v>
      </c>
    </row>
    <row r="294" spans="1:18" x14ac:dyDescent="0.3">
      <c r="A294" t="s">
        <v>367</v>
      </c>
      <c r="B294" t="s">
        <v>768</v>
      </c>
      <c r="C294" t="s">
        <v>364</v>
      </c>
      <c r="D294" t="s">
        <v>9</v>
      </c>
      <c r="E294" t="s">
        <v>64</v>
      </c>
      <c r="F294" s="27" t="str">
        <f>IF('Working Sheet'!B434="ITEM",'Working Sheet'!E434,"")</f>
        <v>90</v>
      </c>
      <c r="G294" s="27">
        <f>IF('Working Sheet'!B434="ITEM",'Working Sheet'!F434,"")</f>
        <v>7.6300000000000007E-2</v>
      </c>
      <c r="H294" s="27">
        <f>IF('Working Sheet'!B434="ITEM",'Working Sheet'!G434,"")</f>
        <v>0.42759999999999998</v>
      </c>
      <c r="I294" s="27">
        <f>IF('Working Sheet'!B434="ITEM",'Working Sheet'!H434,"")</f>
        <v>0.15670000000000001</v>
      </c>
      <c r="J294">
        <f>IF('Working Sheet'!B434="ITEM",'Working Sheet'!I434,"")</f>
        <v>3.4260000000000002</v>
      </c>
      <c r="K294">
        <f>IF('Working Sheet'!B434="ITEM",'Working Sheet'!J434,"")</f>
        <v>18.685099999999998</v>
      </c>
      <c r="L294">
        <f>IF('Working Sheet'!B434="ITEM",'Working Sheet'!K434,"")</f>
        <v>6.8449999999999998</v>
      </c>
      <c r="M294" s="33">
        <f>IFERROR(Table2[[#This Row],[Value(1000$) 2022]]/Table2[[#This Row],[Volume(1000) 2022]],0)</f>
        <v>2.2270869819030942E-2</v>
      </c>
      <c r="N294" s="33">
        <f>IFERROR(Table2[[#This Row],[Value(1000$) 2023]]/Table2[[#This Row],[Volume(1000) 2023]],0)</f>
        <v>2.2884544369577899E-2</v>
      </c>
      <c r="O294" s="33">
        <f>IFERROR(Table2[[#This Row],[Value(1000$) 2024]]/Table2[[#This Row],[Volume(1000) 2024]],0)</f>
        <v>2.2892622352081813E-2</v>
      </c>
      <c r="P294" s="33">
        <f>SUM(Table2[[#This Row],[Value(1000$) 2022]:[Value(1000$) 2024]])</f>
        <v>0.66060000000000008</v>
      </c>
      <c r="Q294" s="33">
        <f>SUM(Table2[[#This Row],[Volume(1000) 2022]:[Volume(1000) 2024]])</f>
        <v>28.956099999999999</v>
      </c>
      <c r="R294" s="33">
        <f>AVERAGE(Table2[[#This Row],[Average Price(2022)]:[Average Price(2024)]])</f>
        <v>2.2682678846896884E-2</v>
      </c>
    </row>
    <row r="295" spans="1:18" x14ac:dyDescent="0.3">
      <c r="A295" t="s">
        <v>369</v>
      </c>
      <c r="B295" t="s">
        <v>769</v>
      </c>
      <c r="C295" t="s">
        <v>368</v>
      </c>
      <c r="D295" t="s">
        <v>9</v>
      </c>
      <c r="E295" t="s">
        <v>10</v>
      </c>
      <c r="F295" s="27" t="str">
        <f>IF('Working Sheet'!B437="ITEM",'Working Sheet'!E437,"")</f>
        <v>64</v>
      </c>
      <c r="G295" s="27">
        <f>IF('Working Sheet'!B437="ITEM",'Working Sheet'!F437,"")</f>
        <v>13.539</v>
      </c>
      <c r="H295" s="27">
        <f>IF('Working Sheet'!B437="ITEM",'Working Sheet'!G437,"")</f>
        <v>14.939299999999999</v>
      </c>
      <c r="I295" s="27">
        <f>IF('Working Sheet'!B437="ITEM",'Working Sheet'!H437,"")</f>
        <v>5.9192</v>
      </c>
      <c r="J295">
        <f>IF('Working Sheet'!B437="ITEM",'Working Sheet'!I437,"")</f>
        <v>399.25150000000002</v>
      </c>
      <c r="K295">
        <f>IF('Working Sheet'!B437="ITEM",'Working Sheet'!J437,"")</f>
        <v>471.38619999999997</v>
      </c>
      <c r="L295">
        <f>IF('Working Sheet'!B437="ITEM",'Working Sheet'!K437,"")</f>
        <v>172.6644</v>
      </c>
      <c r="M295" s="33">
        <f>IFERROR(Table2[[#This Row],[Value(1000$) 2022]]/Table2[[#This Row],[Volume(1000) 2022]],0)</f>
        <v>3.3910955876183306E-2</v>
      </c>
      <c r="N295" s="33">
        <f>IFERROR(Table2[[#This Row],[Value(1000$) 2023]]/Table2[[#This Row],[Volume(1000) 2023]],0)</f>
        <v>3.1692272705480133E-2</v>
      </c>
      <c r="O295" s="33">
        <f>IFERROR(Table2[[#This Row],[Value(1000$) 2024]]/Table2[[#This Row],[Volume(1000) 2024]],0)</f>
        <v>3.4281531108902585E-2</v>
      </c>
      <c r="P295" s="33">
        <f>SUM(Table2[[#This Row],[Value(1000$) 2022]:[Value(1000$) 2024]])</f>
        <v>34.397499999999994</v>
      </c>
      <c r="Q295" s="33">
        <f>SUM(Table2[[#This Row],[Volume(1000) 2022]:[Volume(1000) 2024]])</f>
        <v>1043.3020999999999</v>
      </c>
      <c r="R295" s="33">
        <f>AVERAGE(Table2[[#This Row],[Average Price(2022)]:[Average Price(2024)]])</f>
        <v>3.3294919896855339E-2</v>
      </c>
    </row>
    <row r="296" spans="1:18" x14ac:dyDescent="0.3">
      <c r="A296" t="s">
        <v>370</v>
      </c>
      <c r="B296" t="s">
        <v>769</v>
      </c>
      <c r="C296" t="s">
        <v>368</v>
      </c>
      <c r="D296" t="s">
        <v>9</v>
      </c>
      <c r="E296" t="s">
        <v>10</v>
      </c>
      <c r="F296" s="27" t="str">
        <f>IF('Working Sheet'!B438="ITEM",'Working Sheet'!E438,"")</f>
        <v>64</v>
      </c>
      <c r="G296" s="27">
        <f>IF('Working Sheet'!B438="ITEM",'Working Sheet'!F438,"")</f>
        <v>9.7232000000000003</v>
      </c>
      <c r="H296" s="27">
        <f>IF('Working Sheet'!B438="ITEM",'Working Sheet'!G438,"")</f>
        <v>14.417199999999999</v>
      </c>
      <c r="I296" s="27">
        <f>IF('Working Sheet'!B438="ITEM",'Working Sheet'!H438,"")</f>
        <v>5.9874999999999998</v>
      </c>
      <c r="J296">
        <f>IF('Working Sheet'!B438="ITEM",'Working Sheet'!I438,"")</f>
        <v>300.88780000000003</v>
      </c>
      <c r="K296">
        <f>IF('Working Sheet'!B438="ITEM",'Working Sheet'!J438,"")</f>
        <v>488.67129999999997</v>
      </c>
      <c r="L296">
        <f>IF('Working Sheet'!B438="ITEM",'Working Sheet'!K438,"")</f>
        <v>199.4579</v>
      </c>
      <c r="M296" s="33">
        <f>IFERROR(Table2[[#This Row],[Value(1000$) 2022]]/Table2[[#This Row],[Volume(1000) 2022]],0)</f>
        <v>3.2315035704338961E-2</v>
      </c>
      <c r="N296" s="33">
        <f>IFERROR(Table2[[#This Row],[Value(1000$) 2023]]/Table2[[#This Row],[Volume(1000) 2023]],0)</f>
        <v>2.950285805612075E-2</v>
      </c>
      <c r="O296" s="33">
        <f>IFERROR(Table2[[#This Row],[Value(1000$) 2024]]/Table2[[#This Row],[Volume(1000) 2024]],0)</f>
        <v>3.0018866136663425E-2</v>
      </c>
      <c r="P296" s="33">
        <f>SUM(Table2[[#This Row],[Value(1000$) 2022]:[Value(1000$) 2024]])</f>
        <v>30.1279</v>
      </c>
      <c r="Q296" s="33">
        <f>SUM(Table2[[#This Row],[Volume(1000) 2022]:[Volume(1000) 2024]])</f>
        <v>989.01699999999994</v>
      </c>
      <c r="R296" s="33">
        <f>AVERAGE(Table2[[#This Row],[Average Price(2022)]:[Average Price(2024)]])</f>
        <v>3.0612253299041044E-2</v>
      </c>
    </row>
    <row r="297" spans="1:18" x14ac:dyDescent="0.3">
      <c r="A297" t="s">
        <v>371</v>
      </c>
      <c r="B297" t="s">
        <v>769</v>
      </c>
      <c r="C297" t="s">
        <v>368</v>
      </c>
      <c r="D297" t="s">
        <v>9</v>
      </c>
      <c r="E297" t="s">
        <v>20</v>
      </c>
      <c r="F297" s="27" t="str">
        <f>IF('Working Sheet'!B439="ITEM",'Working Sheet'!E439,"")</f>
        <v>72</v>
      </c>
      <c r="G297" s="27">
        <f>IF('Working Sheet'!B439="ITEM",'Working Sheet'!F439,"")</f>
        <v>0.4834</v>
      </c>
      <c r="H297" s="27">
        <f>IF('Working Sheet'!B439="ITEM",'Working Sheet'!G439,"")</f>
        <v>0</v>
      </c>
      <c r="I297" s="27">
        <f>IF('Working Sheet'!B439="ITEM",'Working Sheet'!H439,"")</f>
        <v>0</v>
      </c>
      <c r="J297">
        <f>IF('Working Sheet'!B439="ITEM",'Working Sheet'!I439,"")</f>
        <v>12.901899999999999</v>
      </c>
      <c r="K297">
        <f>IF('Working Sheet'!B439="ITEM",'Working Sheet'!J439,"")</f>
        <v>0</v>
      </c>
      <c r="L297">
        <f>IF('Working Sheet'!B439="ITEM",'Working Sheet'!K439,"")</f>
        <v>0</v>
      </c>
      <c r="M297" s="33">
        <f>IFERROR(Table2[[#This Row],[Value(1000$) 2022]]/Table2[[#This Row],[Volume(1000) 2022]],0)</f>
        <v>3.7467349770188889E-2</v>
      </c>
      <c r="N297" s="33">
        <f>IFERROR(Table2[[#This Row],[Value(1000$) 2023]]/Table2[[#This Row],[Volume(1000) 2023]],0)</f>
        <v>0</v>
      </c>
      <c r="O297" s="33">
        <f>IFERROR(Table2[[#This Row],[Value(1000$) 2024]]/Table2[[#This Row],[Volume(1000) 2024]],0)</f>
        <v>0</v>
      </c>
      <c r="P297" s="33">
        <f>SUM(Table2[[#This Row],[Value(1000$) 2022]:[Value(1000$) 2024]])</f>
        <v>0.4834</v>
      </c>
      <c r="Q297" s="33">
        <f>SUM(Table2[[#This Row],[Volume(1000) 2022]:[Volume(1000) 2024]])</f>
        <v>12.901899999999999</v>
      </c>
      <c r="R297" s="33">
        <f>AVERAGE(Table2[[#This Row],[Average Price(2022)]:[Average Price(2024)]])</f>
        <v>1.2489116590062964E-2</v>
      </c>
    </row>
    <row r="298" spans="1:18" x14ac:dyDescent="0.3">
      <c r="A298" t="s">
        <v>373</v>
      </c>
      <c r="B298" t="s">
        <v>770</v>
      </c>
      <c r="C298" t="s">
        <v>372</v>
      </c>
      <c r="D298" t="s">
        <v>9</v>
      </c>
      <c r="E298" t="s">
        <v>64</v>
      </c>
      <c r="F298" s="27" t="str">
        <f>IF('Working Sheet'!B442="ITEM",'Working Sheet'!E442,"")</f>
        <v>60</v>
      </c>
      <c r="G298" s="27">
        <f>IF('Working Sheet'!B442="ITEM",'Working Sheet'!F442,"")</f>
        <v>0.13550000000000001</v>
      </c>
      <c r="H298" s="27">
        <f>IF('Working Sheet'!B442="ITEM",'Working Sheet'!G442,"")</f>
        <v>0</v>
      </c>
      <c r="I298" s="27">
        <f>IF('Working Sheet'!B442="ITEM",'Working Sheet'!H442,"")</f>
        <v>0</v>
      </c>
      <c r="J298">
        <f>IF('Working Sheet'!B442="ITEM",'Working Sheet'!I442,"")</f>
        <v>3.2519</v>
      </c>
      <c r="K298">
        <f>IF('Working Sheet'!B442="ITEM",'Working Sheet'!J442,"")</f>
        <v>0</v>
      </c>
      <c r="L298">
        <f>IF('Working Sheet'!B442="ITEM",'Working Sheet'!K442,"")</f>
        <v>0</v>
      </c>
      <c r="M298" s="33">
        <f>IFERROR(Table2[[#This Row],[Value(1000$) 2022]]/Table2[[#This Row],[Volume(1000) 2022]],0)</f>
        <v>4.1667947968879737E-2</v>
      </c>
      <c r="N298" s="33">
        <f>IFERROR(Table2[[#This Row],[Value(1000$) 2023]]/Table2[[#This Row],[Volume(1000) 2023]],0)</f>
        <v>0</v>
      </c>
      <c r="O298" s="33">
        <f>IFERROR(Table2[[#This Row],[Value(1000$) 2024]]/Table2[[#This Row],[Volume(1000) 2024]],0)</f>
        <v>0</v>
      </c>
      <c r="P298" s="33">
        <f>SUM(Table2[[#This Row],[Value(1000$) 2022]:[Value(1000$) 2024]])</f>
        <v>0.13550000000000001</v>
      </c>
      <c r="Q298" s="33">
        <f>SUM(Table2[[#This Row],[Volume(1000) 2022]:[Volume(1000) 2024]])</f>
        <v>3.2519</v>
      </c>
      <c r="R298" s="33">
        <f>AVERAGE(Table2[[#This Row],[Average Price(2022)]:[Average Price(2024)]])</f>
        <v>1.388931598962658E-2</v>
      </c>
    </row>
    <row r="299" spans="1:18" x14ac:dyDescent="0.3">
      <c r="A299" t="s">
        <v>375</v>
      </c>
      <c r="B299" t="s">
        <v>771</v>
      </c>
      <c r="C299" t="s">
        <v>374</v>
      </c>
      <c r="D299" t="s">
        <v>9</v>
      </c>
      <c r="E299" t="s">
        <v>249</v>
      </c>
      <c r="F299" s="27" t="str">
        <f>IF('Working Sheet'!B445="ITEM",'Working Sheet'!E445,"")</f>
        <v>12</v>
      </c>
      <c r="G299" s="27">
        <f>IF('Working Sheet'!B445="ITEM",'Working Sheet'!F445,"")</f>
        <v>0</v>
      </c>
      <c r="H299" s="27">
        <f>IF('Working Sheet'!B445="ITEM",'Working Sheet'!G445,"")</f>
        <v>2.3E-3</v>
      </c>
      <c r="I299" s="27">
        <f>IF('Working Sheet'!B445="ITEM",'Working Sheet'!H445,"")</f>
        <v>0</v>
      </c>
      <c r="J299">
        <f>IF('Working Sheet'!B445="ITEM",'Working Sheet'!I445,"")</f>
        <v>0</v>
      </c>
      <c r="K299">
        <f>IF('Working Sheet'!B445="ITEM",'Working Sheet'!J445,"")</f>
        <v>4.8000000000000001E-2</v>
      </c>
      <c r="L299">
        <f>IF('Working Sheet'!B445="ITEM",'Working Sheet'!K445,"")</f>
        <v>0</v>
      </c>
      <c r="M299" s="33">
        <f>IFERROR(Table2[[#This Row],[Value(1000$) 2022]]/Table2[[#This Row],[Volume(1000) 2022]],0)</f>
        <v>0</v>
      </c>
      <c r="N299" s="33">
        <f>IFERROR(Table2[[#This Row],[Value(1000$) 2023]]/Table2[[#This Row],[Volume(1000) 2023]],0)</f>
        <v>4.7916666666666663E-2</v>
      </c>
      <c r="O299" s="33">
        <f>IFERROR(Table2[[#This Row],[Value(1000$) 2024]]/Table2[[#This Row],[Volume(1000) 2024]],0)</f>
        <v>0</v>
      </c>
      <c r="P299" s="33">
        <f>SUM(Table2[[#This Row],[Value(1000$) 2022]:[Value(1000$) 2024]])</f>
        <v>2.3E-3</v>
      </c>
      <c r="Q299" s="33">
        <f>SUM(Table2[[#This Row],[Volume(1000) 2022]:[Volume(1000) 2024]])</f>
        <v>4.8000000000000001E-2</v>
      </c>
      <c r="R299" s="33">
        <f>AVERAGE(Table2[[#This Row],[Average Price(2022)]:[Average Price(2024)]])</f>
        <v>1.5972222222222221E-2</v>
      </c>
    </row>
    <row r="300" spans="1:18" x14ac:dyDescent="0.3">
      <c r="A300" t="s">
        <v>377</v>
      </c>
      <c r="B300" t="s">
        <v>771</v>
      </c>
      <c r="C300" t="s">
        <v>374</v>
      </c>
      <c r="D300" t="s">
        <v>9</v>
      </c>
      <c r="E300" t="s">
        <v>249</v>
      </c>
      <c r="F300" s="27" t="str">
        <f>IF('Working Sheet'!B446="ITEM",'Working Sheet'!E446,"")</f>
        <v>12</v>
      </c>
      <c r="G300" s="27">
        <f>IF('Working Sheet'!B446="ITEM",'Working Sheet'!F446,"")</f>
        <v>3.7978999999999998</v>
      </c>
      <c r="H300" s="27">
        <f>IF('Working Sheet'!B446="ITEM",'Working Sheet'!G446,"")</f>
        <v>0.23119999999999999</v>
      </c>
      <c r="I300" s="27">
        <f>IF('Working Sheet'!B446="ITEM",'Working Sheet'!H446,"")</f>
        <v>5.57E-2</v>
      </c>
      <c r="J300">
        <f>IF('Working Sheet'!B446="ITEM",'Working Sheet'!I446,"")</f>
        <v>45.909399999999998</v>
      </c>
      <c r="K300">
        <f>IF('Working Sheet'!B446="ITEM",'Working Sheet'!J446,"")</f>
        <v>3.0430999999999999</v>
      </c>
      <c r="L300">
        <f>IF('Working Sheet'!B446="ITEM",'Working Sheet'!K446,"")</f>
        <v>0.74270000000000003</v>
      </c>
      <c r="M300" s="33">
        <f>IFERROR(Table2[[#This Row],[Value(1000$) 2022]]/Table2[[#This Row],[Volume(1000) 2022]],0)</f>
        <v>8.272597768648686E-2</v>
      </c>
      <c r="N300" s="33">
        <f>IFERROR(Table2[[#This Row],[Value(1000$) 2023]]/Table2[[#This Row],[Volume(1000) 2023]],0)</f>
        <v>7.5975156912359107E-2</v>
      </c>
      <c r="O300" s="33">
        <f>IFERROR(Table2[[#This Row],[Value(1000$) 2024]]/Table2[[#This Row],[Volume(1000) 2024]],0)</f>
        <v>7.4996633903325699E-2</v>
      </c>
      <c r="P300" s="33">
        <f>SUM(Table2[[#This Row],[Value(1000$) 2022]:[Value(1000$) 2024]])</f>
        <v>4.0847999999999995</v>
      </c>
      <c r="Q300" s="33">
        <f>SUM(Table2[[#This Row],[Volume(1000) 2022]:[Volume(1000) 2024]])</f>
        <v>49.6952</v>
      </c>
      <c r="R300" s="33">
        <f>AVERAGE(Table2[[#This Row],[Average Price(2022)]:[Average Price(2024)]])</f>
        <v>7.789925616739056E-2</v>
      </c>
    </row>
    <row r="301" spans="1:18" x14ac:dyDescent="0.3">
      <c r="A301" t="s">
        <v>378</v>
      </c>
      <c r="B301" t="s">
        <v>771</v>
      </c>
      <c r="C301" t="s">
        <v>374</v>
      </c>
      <c r="D301" t="s">
        <v>9</v>
      </c>
      <c r="E301" t="s">
        <v>249</v>
      </c>
      <c r="F301" s="27" t="str">
        <f>IF('Working Sheet'!B447="ITEM",'Working Sheet'!E447,"")</f>
        <v>12</v>
      </c>
      <c r="G301" s="27">
        <f>IF('Working Sheet'!B447="ITEM",'Working Sheet'!F447,"")</f>
        <v>10.1713</v>
      </c>
      <c r="H301" s="27">
        <f>IF('Working Sheet'!B447="ITEM",'Working Sheet'!G447,"")</f>
        <v>1.4034</v>
      </c>
      <c r="I301" s="27">
        <f>IF('Working Sheet'!B447="ITEM",'Working Sheet'!H447,"")</f>
        <v>0.79169999999999996</v>
      </c>
      <c r="J301">
        <f>IF('Working Sheet'!B447="ITEM",'Working Sheet'!I447,"")</f>
        <v>191.46350000000001</v>
      </c>
      <c r="K301">
        <f>IF('Working Sheet'!B447="ITEM",'Working Sheet'!J447,"")</f>
        <v>25.065200000000001</v>
      </c>
      <c r="L301">
        <f>IF('Working Sheet'!B447="ITEM",'Working Sheet'!K447,"")</f>
        <v>12.493499999999999</v>
      </c>
      <c r="M301" s="33">
        <f>IFERROR(Table2[[#This Row],[Value(1000$) 2022]]/Table2[[#This Row],[Volume(1000) 2022]],0)</f>
        <v>5.3123963575302864E-2</v>
      </c>
      <c r="N301" s="33">
        <f>IFERROR(Table2[[#This Row],[Value(1000$) 2023]]/Table2[[#This Row],[Volume(1000) 2023]],0)</f>
        <v>5.5989978137018656E-2</v>
      </c>
      <c r="O301" s="33">
        <f>IFERROR(Table2[[#This Row],[Value(1000$) 2024]]/Table2[[#This Row],[Volume(1000) 2024]],0)</f>
        <v>6.3368951854964578E-2</v>
      </c>
      <c r="P301" s="33">
        <f>SUM(Table2[[#This Row],[Value(1000$) 2022]:[Value(1000$) 2024]])</f>
        <v>12.366400000000001</v>
      </c>
      <c r="Q301" s="33">
        <f>SUM(Table2[[#This Row],[Volume(1000) 2022]:[Volume(1000) 2024]])</f>
        <v>229.02220000000003</v>
      </c>
      <c r="R301" s="33">
        <f>AVERAGE(Table2[[#This Row],[Average Price(2022)]:[Average Price(2024)]])</f>
        <v>5.7494297855762037E-2</v>
      </c>
    </row>
    <row r="302" spans="1:18" x14ac:dyDescent="0.3">
      <c r="A302" t="s">
        <v>379</v>
      </c>
      <c r="B302" t="s">
        <v>771</v>
      </c>
      <c r="C302" t="s">
        <v>374</v>
      </c>
      <c r="D302" t="s">
        <v>9</v>
      </c>
      <c r="E302" t="s">
        <v>249</v>
      </c>
      <c r="F302" s="27" t="str">
        <f>IF('Working Sheet'!B448="ITEM",'Working Sheet'!E448,"")</f>
        <v>20</v>
      </c>
      <c r="G302" s="27">
        <f>IF('Working Sheet'!B448="ITEM",'Working Sheet'!F448,"")</f>
        <v>8.9099999999999999E-2</v>
      </c>
      <c r="H302" s="27">
        <f>IF('Working Sheet'!B448="ITEM",'Working Sheet'!G448,"")</f>
        <v>0</v>
      </c>
      <c r="I302" s="27">
        <f>IF('Working Sheet'!B448="ITEM",'Working Sheet'!H448,"")</f>
        <v>0</v>
      </c>
      <c r="J302">
        <f>IF('Working Sheet'!B448="ITEM",'Working Sheet'!I448,"")</f>
        <v>1.4943</v>
      </c>
      <c r="K302">
        <f>IF('Working Sheet'!B448="ITEM",'Working Sheet'!J448,"")</f>
        <v>0</v>
      </c>
      <c r="L302">
        <f>IF('Working Sheet'!B448="ITEM",'Working Sheet'!K448,"")</f>
        <v>0</v>
      </c>
      <c r="M302" s="33">
        <f>IFERROR(Table2[[#This Row],[Value(1000$) 2022]]/Table2[[#This Row],[Volume(1000) 2022]],0)</f>
        <v>5.9626581007829756E-2</v>
      </c>
      <c r="N302" s="33">
        <f>IFERROR(Table2[[#This Row],[Value(1000$) 2023]]/Table2[[#This Row],[Volume(1000) 2023]],0)</f>
        <v>0</v>
      </c>
      <c r="O302" s="33">
        <f>IFERROR(Table2[[#This Row],[Value(1000$) 2024]]/Table2[[#This Row],[Volume(1000) 2024]],0)</f>
        <v>0</v>
      </c>
      <c r="P302" s="33">
        <f>SUM(Table2[[#This Row],[Value(1000$) 2022]:[Value(1000$) 2024]])</f>
        <v>8.9099999999999999E-2</v>
      </c>
      <c r="Q302" s="33">
        <f>SUM(Table2[[#This Row],[Volume(1000) 2022]:[Volume(1000) 2024]])</f>
        <v>1.4943</v>
      </c>
      <c r="R302" s="33">
        <f>AVERAGE(Table2[[#This Row],[Average Price(2022)]:[Average Price(2024)]])</f>
        <v>1.987552700260992E-2</v>
      </c>
    </row>
    <row r="303" spans="1:18" x14ac:dyDescent="0.3">
      <c r="A303" t="s">
        <v>380</v>
      </c>
      <c r="B303" t="s">
        <v>771</v>
      </c>
      <c r="C303" t="s">
        <v>374</v>
      </c>
      <c r="D303" t="s">
        <v>9</v>
      </c>
      <c r="E303" t="s">
        <v>10</v>
      </c>
      <c r="F303" s="27" t="str">
        <f>IF('Working Sheet'!B449="ITEM",'Working Sheet'!E449,"")</f>
        <v>63</v>
      </c>
      <c r="G303" s="27">
        <f>IF('Working Sheet'!B449="ITEM",'Working Sheet'!F449,"")</f>
        <v>16.7622</v>
      </c>
      <c r="H303" s="27">
        <f>IF('Working Sheet'!B449="ITEM",'Working Sheet'!G449,"")</f>
        <v>54.880099999999999</v>
      </c>
      <c r="I303" s="27">
        <f>IF('Working Sheet'!B449="ITEM",'Working Sheet'!H449,"")</f>
        <v>30.8141</v>
      </c>
      <c r="J303">
        <f>IF('Working Sheet'!B449="ITEM",'Working Sheet'!I449,"")</f>
        <v>558.82709999999997</v>
      </c>
      <c r="K303">
        <f>IF('Working Sheet'!B449="ITEM",'Working Sheet'!J449,"")</f>
        <v>1712.2448999999999</v>
      </c>
      <c r="L303">
        <f>IF('Working Sheet'!B449="ITEM",'Working Sheet'!K449,"")</f>
        <v>842.72770000000003</v>
      </c>
      <c r="M303" s="33">
        <f>IFERROR(Table2[[#This Row],[Value(1000$) 2022]]/Table2[[#This Row],[Volume(1000) 2022]],0)</f>
        <v>2.9995324135139476E-2</v>
      </c>
      <c r="N303" s="33">
        <f>IFERROR(Table2[[#This Row],[Value(1000$) 2023]]/Table2[[#This Row],[Volume(1000) 2023]],0)</f>
        <v>3.2051548233550005E-2</v>
      </c>
      <c r="O303" s="33">
        <f>IFERROR(Table2[[#This Row],[Value(1000$) 2024]]/Table2[[#This Row],[Volume(1000) 2024]],0)</f>
        <v>3.6564717167834875E-2</v>
      </c>
      <c r="P303" s="33">
        <f>SUM(Table2[[#This Row],[Value(1000$) 2022]:[Value(1000$) 2024]])</f>
        <v>102.4564</v>
      </c>
      <c r="Q303" s="33">
        <f>SUM(Table2[[#This Row],[Volume(1000) 2022]:[Volume(1000) 2024]])</f>
        <v>3113.7997</v>
      </c>
      <c r="R303" s="33">
        <f>AVERAGE(Table2[[#This Row],[Average Price(2022)]:[Average Price(2024)]])</f>
        <v>3.2870529845508117E-2</v>
      </c>
    </row>
    <row r="304" spans="1:18" x14ac:dyDescent="0.3">
      <c r="A304" t="s">
        <v>381</v>
      </c>
      <c r="B304" t="s">
        <v>771</v>
      </c>
      <c r="C304" t="s">
        <v>374</v>
      </c>
      <c r="D304" t="s">
        <v>9</v>
      </c>
      <c r="E304" t="s">
        <v>10</v>
      </c>
      <c r="F304" s="27" t="str">
        <f>IF('Working Sheet'!B450="ITEM",'Working Sheet'!E450,"")</f>
        <v>63</v>
      </c>
      <c r="G304" s="27">
        <f>IF('Working Sheet'!B450="ITEM",'Working Sheet'!F450,"")</f>
        <v>61.024299999999997</v>
      </c>
      <c r="H304" s="27">
        <f>IF('Working Sheet'!B450="ITEM",'Working Sheet'!G450,"")</f>
        <v>69.369399999999999</v>
      </c>
      <c r="I304" s="27">
        <f>IF('Working Sheet'!B450="ITEM",'Working Sheet'!H450,"")</f>
        <v>37.2607</v>
      </c>
      <c r="J304">
        <f>IF('Working Sheet'!B450="ITEM",'Working Sheet'!I450,"")</f>
        <v>1986.0632000000001</v>
      </c>
      <c r="K304">
        <f>IF('Working Sheet'!B450="ITEM",'Working Sheet'!J450,"")</f>
        <v>2074.7809000000002</v>
      </c>
      <c r="L304">
        <f>IF('Working Sheet'!B450="ITEM",'Working Sheet'!K450,"")</f>
        <v>1026.0545999999999</v>
      </c>
      <c r="M304" s="33">
        <f>IFERROR(Table2[[#This Row],[Value(1000$) 2022]]/Table2[[#This Row],[Volume(1000) 2022]],0)</f>
        <v>3.0726262890324939E-2</v>
      </c>
      <c r="N304" s="33">
        <f>IFERROR(Table2[[#This Row],[Value(1000$) 2023]]/Table2[[#This Row],[Volume(1000) 2023]],0)</f>
        <v>3.3434566512541154E-2</v>
      </c>
      <c r="O304" s="33">
        <f>IFERROR(Table2[[#This Row],[Value(1000$) 2024]]/Table2[[#This Row],[Volume(1000) 2024]],0)</f>
        <v>3.6314539206782952E-2</v>
      </c>
      <c r="P304" s="33">
        <f>SUM(Table2[[#This Row],[Value(1000$) 2022]:[Value(1000$) 2024]])</f>
        <v>167.65440000000001</v>
      </c>
      <c r="Q304" s="33">
        <f>SUM(Table2[[#This Row],[Volume(1000) 2022]:[Volume(1000) 2024]])</f>
        <v>5086.8986999999997</v>
      </c>
      <c r="R304" s="33">
        <f>AVERAGE(Table2[[#This Row],[Average Price(2022)]:[Average Price(2024)]])</f>
        <v>3.3491789536549681E-2</v>
      </c>
    </row>
    <row r="305" spans="1:18" x14ac:dyDescent="0.3">
      <c r="A305" t="s">
        <v>382</v>
      </c>
      <c r="B305" t="s">
        <v>771</v>
      </c>
      <c r="C305" t="s">
        <v>374</v>
      </c>
      <c r="D305" t="s">
        <v>9</v>
      </c>
      <c r="E305" t="s">
        <v>64</v>
      </c>
      <c r="F305" s="27" t="str">
        <f>IF('Working Sheet'!B451="ITEM",'Working Sheet'!E451,"")</f>
        <v>63</v>
      </c>
      <c r="G305" s="27">
        <f>IF('Working Sheet'!B451="ITEM",'Working Sheet'!F451,"")</f>
        <v>99.720299999999995</v>
      </c>
      <c r="H305" s="27">
        <f>IF('Working Sheet'!B451="ITEM",'Working Sheet'!G451,"")</f>
        <v>82.962900000000005</v>
      </c>
      <c r="I305" s="27">
        <f>IF('Working Sheet'!B451="ITEM",'Working Sheet'!H451,"")</f>
        <v>1.6460999999999999</v>
      </c>
      <c r="J305">
        <f>IF('Working Sheet'!B451="ITEM",'Working Sheet'!I451,"")</f>
        <v>3124.0421999999999</v>
      </c>
      <c r="K305">
        <f>IF('Working Sheet'!B451="ITEM",'Working Sheet'!J451,"")</f>
        <v>2460.6639</v>
      </c>
      <c r="L305">
        <f>IF('Working Sheet'!B451="ITEM",'Working Sheet'!K451,"")</f>
        <v>45.897799999999997</v>
      </c>
      <c r="M305" s="33">
        <f>IFERROR(Table2[[#This Row],[Value(1000$) 2022]]/Table2[[#This Row],[Volume(1000) 2022]],0)</f>
        <v>3.1920279437966617E-2</v>
      </c>
      <c r="N305" s="33">
        <f>IFERROR(Table2[[#This Row],[Value(1000$) 2023]]/Table2[[#This Row],[Volume(1000) 2023]],0)</f>
        <v>3.3715656981841369E-2</v>
      </c>
      <c r="O305" s="33">
        <f>IFERROR(Table2[[#This Row],[Value(1000$) 2024]]/Table2[[#This Row],[Volume(1000) 2024]],0)</f>
        <v>3.5864464091960833E-2</v>
      </c>
      <c r="P305" s="33">
        <f>SUM(Table2[[#This Row],[Value(1000$) 2022]:[Value(1000$) 2024]])</f>
        <v>184.32929999999999</v>
      </c>
      <c r="Q305" s="33">
        <f>SUM(Table2[[#This Row],[Volume(1000) 2022]:[Volume(1000) 2024]])</f>
        <v>5630.6038999999992</v>
      </c>
      <c r="R305" s="33">
        <f>AVERAGE(Table2[[#This Row],[Average Price(2022)]:[Average Price(2024)]])</f>
        <v>3.3833466837256271E-2</v>
      </c>
    </row>
    <row r="306" spans="1:18" x14ac:dyDescent="0.3">
      <c r="A306" t="s">
        <v>383</v>
      </c>
      <c r="B306" t="s">
        <v>771</v>
      </c>
      <c r="C306" t="s">
        <v>374</v>
      </c>
      <c r="D306" t="s">
        <v>9</v>
      </c>
      <c r="E306" t="s">
        <v>10</v>
      </c>
      <c r="F306" s="27" t="str">
        <f>IF('Working Sheet'!B452="ITEM",'Working Sheet'!E452,"")</f>
        <v>72</v>
      </c>
      <c r="G306" s="27">
        <f>IF('Working Sheet'!B452="ITEM",'Working Sheet'!F452,"")</f>
        <v>86.361699999999999</v>
      </c>
      <c r="H306" s="27">
        <f>IF('Working Sheet'!B452="ITEM",'Working Sheet'!G452,"")</f>
        <v>101.56570000000001</v>
      </c>
      <c r="I306" s="27">
        <f>IF('Working Sheet'!B452="ITEM",'Working Sheet'!H452,"")</f>
        <v>54.776899999999998</v>
      </c>
      <c r="J306">
        <f>IF('Working Sheet'!B452="ITEM",'Working Sheet'!I452,"")</f>
        <v>3022.1621</v>
      </c>
      <c r="K306">
        <f>IF('Working Sheet'!B452="ITEM",'Working Sheet'!J452,"")</f>
        <v>3499.3182999999999</v>
      </c>
      <c r="L306">
        <f>IF('Working Sheet'!B452="ITEM",'Working Sheet'!K452,"")</f>
        <v>1704.9738</v>
      </c>
      <c r="M306" s="33">
        <f>IFERROR(Table2[[#This Row],[Value(1000$) 2022]]/Table2[[#This Row],[Volume(1000) 2022]],0)</f>
        <v>2.8576130975899672E-2</v>
      </c>
      <c r="N306" s="33">
        <f>IFERROR(Table2[[#This Row],[Value(1000$) 2023]]/Table2[[#This Row],[Volume(1000) 2023]],0)</f>
        <v>2.9024424557205903E-2</v>
      </c>
      <c r="O306" s="33">
        <f>IFERROR(Table2[[#This Row],[Value(1000$) 2024]]/Table2[[#This Row],[Volume(1000) 2024]],0)</f>
        <v>3.2127707768881845E-2</v>
      </c>
      <c r="P306" s="33">
        <f>SUM(Table2[[#This Row],[Value(1000$) 2022]:[Value(1000$) 2024]])</f>
        <v>242.70429999999999</v>
      </c>
      <c r="Q306" s="33">
        <f>SUM(Table2[[#This Row],[Volume(1000) 2022]:[Volume(1000) 2024]])</f>
        <v>8226.4542000000001</v>
      </c>
      <c r="R306" s="33">
        <f>AVERAGE(Table2[[#This Row],[Average Price(2022)]:[Average Price(2024)]])</f>
        <v>2.990942110066247E-2</v>
      </c>
    </row>
    <row r="307" spans="1:18" x14ac:dyDescent="0.3">
      <c r="A307" t="s">
        <v>385</v>
      </c>
      <c r="B307" t="s">
        <v>771</v>
      </c>
      <c r="C307" t="s">
        <v>384</v>
      </c>
      <c r="D307" t="s">
        <v>9</v>
      </c>
      <c r="E307" t="s">
        <v>64</v>
      </c>
      <c r="F307" s="27" t="str">
        <f>IF('Working Sheet'!B454="ITEM",'Working Sheet'!E454,"")</f>
        <v>10</v>
      </c>
      <c r="G307" s="27">
        <f>IF('Working Sheet'!B454="ITEM",'Working Sheet'!F454,"")</f>
        <v>0</v>
      </c>
      <c r="H307" s="27">
        <f>IF('Working Sheet'!B454="ITEM",'Working Sheet'!G454,"")</f>
        <v>0</v>
      </c>
      <c r="I307" s="27">
        <f>IF('Working Sheet'!B454="ITEM",'Working Sheet'!H454,"")</f>
        <v>0</v>
      </c>
      <c r="J307">
        <f>IF('Working Sheet'!B454="ITEM",'Working Sheet'!I454,"")</f>
        <v>0.2349</v>
      </c>
      <c r="K307">
        <f>IF('Working Sheet'!B454="ITEM",'Working Sheet'!J454,"")</f>
        <v>0</v>
      </c>
      <c r="L307">
        <f>IF('Working Sheet'!B454="ITEM",'Working Sheet'!K454,"")</f>
        <v>0</v>
      </c>
      <c r="M307" s="33">
        <f>IFERROR(Table2[[#This Row],[Value(1000$) 2022]]/Table2[[#This Row],[Volume(1000) 2022]],0)</f>
        <v>0</v>
      </c>
      <c r="N307" s="33">
        <f>IFERROR(Table2[[#This Row],[Value(1000$) 2023]]/Table2[[#This Row],[Volume(1000) 2023]],0)</f>
        <v>0</v>
      </c>
      <c r="O307" s="33">
        <f>IFERROR(Table2[[#This Row],[Value(1000$) 2024]]/Table2[[#This Row],[Volume(1000) 2024]],0)</f>
        <v>0</v>
      </c>
      <c r="P307" s="33">
        <f>SUM(Table2[[#This Row],[Value(1000$) 2022]:[Value(1000$) 2024]])</f>
        <v>0</v>
      </c>
      <c r="Q307" s="33">
        <f>SUM(Table2[[#This Row],[Volume(1000) 2022]:[Volume(1000) 2024]])</f>
        <v>0.2349</v>
      </c>
      <c r="R307" s="33">
        <f>AVERAGE(Table2[[#This Row],[Average Price(2022)]:[Average Price(2024)]])</f>
        <v>0</v>
      </c>
    </row>
    <row r="308" spans="1:18" x14ac:dyDescent="0.3">
      <c r="A308" t="s">
        <v>386</v>
      </c>
      <c r="B308" t="s">
        <v>771</v>
      </c>
      <c r="C308" t="s">
        <v>384</v>
      </c>
      <c r="D308" t="s">
        <v>9</v>
      </c>
      <c r="E308" t="s">
        <v>64</v>
      </c>
      <c r="F308" s="27" t="str">
        <f>IF('Working Sheet'!B455="ITEM",'Working Sheet'!E455,"")</f>
        <v>54</v>
      </c>
      <c r="G308" s="27">
        <f>IF('Working Sheet'!B455="ITEM",'Working Sheet'!F455,"")</f>
        <v>0</v>
      </c>
      <c r="H308" s="27">
        <f>IF('Working Sheet'!B455="ITEM",'Working Sheet'!G455,"")</f>
        <v>0</v>
      </c>
      <c r="I308" s="27">
        <f>IF('Working Sheet'!B455="ITEM",'Working Sheet'!H455,"")</f>
        <v>0</v>
      </c>
      <c r="J308">
        <f>IF('Working Sheet'!B455="ITEM",'Working Sheet'!I455,"")</f>
        <v>0</v>
      </c>
      <c r="K308">
        <f>IF('Working Sheet'!B455="ITEM",'Working Sheet'!J455,"")</f>
        <v>0</v>
      </c>
      <c r="L308">
        <f>IF('Working Sheet'!B455="ITEM",'Working Sheet'!K455,"")</f>
        <v>0</v>
      </c>
      <c r="M308" s="33">
        <f>IFERROR(Table2[[#This Row],[Value(1000$) 2022]]/Table2[[#This Row],[Volume(1000) 2022]],0)</f>
        <v>0</v>
      </c>
      <c r="N308" s="33">
        <f>IFERROR(Table2[[#This Row],[Value(1000$) 2023]]/Table2[[#This Row],[Volume(1000) 2023]],0)</f>
        <v>0</v>
      </c>
      <c r="O308" s="33">
        <f>IFERROR(Table2[[#This Row],[Value(1000$) 2024]]/Table2[[#This Row],[Volume(1000) 2024]],0)</f>
        <v>0</v>
      </c>
      <c r="P308" s="33">
        <f>SUM(Table2[[#This Row],[Value(1000$) 2022]:[Value(1000$) 2024]])</f>
        <v>0</v>
      </c>
      <c r="Q308" s="33">
        <f>SUM(Table2[[#This Row],[Volume(1000) 2022]:[Volume(1000) 2024]])</f>
        <v>0</v>
      </c>
      <c r="R308" s="33">
        <f>AVERAGE(Table2[[#This Row],[Average Price(2022)]:[Average Price(2024)]])</f>
        <v>0</v>
      </c>
    </row>
    <row r="309" spans="1:18" x14ac:dyDescent="0.3">
      <c r="A309" t="s">
        <v>387</v>
      </c>
      <c r="B309" t="s">
        <v>771</v>
      </c>
      <c r="C309" t="s">
        <v>384</v>
      </c>
      <c r="D309" t="s">
        <v>9</v>
      </c>
      <c r="E309" t="s">
        <v>64</v>
      </c>
      <c r="F309" s="27" t="str">
        <f>IF('Working Sheet'!B456="ITEM",'Working Sheet'!E456,"")</f>
        <v>54</v>
      </c>
      <c r="G309" s="27">
        <f>IF('Working Sheet'!B456="ITEM",'Working Sheet'!F456,"")</f>
        <v>23.7104</v>
      </c>
      <c r="H309" s="27">
        <f>IF('Working Sheet'!B456="ITEM",'Working Sheet'!G456,"")</f>
        <v>2.5188000000000001</v>
      </c>
      <c r="I309" s="27">
        <f>IF('Working Sheet'!B456="ITEM",'Working Sheet'!H456,"")</f>
        <v>0.15770000000000001</v>
      </c>
      <c r="J309">
        <f>IF('Working Sheet'!B456="ITEM",'Working Sheet'!I456,"")</f>
        <v>549.04570000000001</v>
      </c>
      <c r="K309">
        <f>IF('Working Sheet'!B456="ITEM",'Working Sheet'!J456,"")</f>
        <v>49.080599999999997</v>
      </c>
      <c r="L309">
        <f>IF('Working Sheet'!B456="ITEM",'Working Sheet'!K456,"")</f>
        <v>2.9064000000000001</v>
      </c>
      <c r="M309" s="33">
        <f>IFERROR(Table2[[#This Row],[Value(1000$) 2022]]/Table2[[#This Row],[Volume(1000) 2022]],0)</f>
        <v>4.3184747644868175E-2</v>
      </c>
      <c r="N309" s="33">
        <f>IFERROR(Table2[[#This Row],[Value(1000$) 2023]]/Table2[[#This Row],[Volume(1000) 2023]],0)</f>
        <v>5.1319666018752833E-2</v>
      </c>
      <c r="O309" s="33">
        <f>IFERROR(Table2[[#This Row],[Value(1000$) 2024]]/Table2[[#This Row],[Volume(1000) 2024]],0)</f>
        <v>5.4259565097715387E-2</v>
      </c>
      <c r="P309" s="33">
        <f>SUM(Table2[[#This Row],[Value(1000$) 2022]:[Value(1000$) 2024]])</f>
        <v>26.386899999999997</v>
      </c>
      <c r="Q309" s="33">
        <f>SUM(Table2[[#This Row],[Volume(1000) 2022]:[Volume(1000) 2024]])</f>
        <v>601.03269999999998</v>
      </c>
      <c r="R309" s="33">
        <f>AVERAGE(Table2[[#This Row],[Average Price(2022)]:[Average Price(2024)]])</f>
        <v>4.9587992920445467E-2</v>
      </c>
    </row>
    <row r="310" spans="1:18" x14ac:dyDescent="0.3">
      <c r="A310" t="s">
        <v>388</v>
      </c>
      <c r="B310" t="s">
        <v>771</v>
      </c>
      <c r="C310" t="s">
        <v>384</v>
      </c>
      <c r="D310" t="s">
        <v>9</v>
      </c>
      <c r="E310" t="s">
        <v>64</v>
      </c>
      <c r="F310" s="27" t="str">
        <f>IF('Working Sheet'!B457="ITEM",'Working Sheet'!E457,"")</f>
        <v>54</v>
      </c>
      <c r="G310" s="27">
        <f>IF('Working Sheet'!B457="ITEM",'Working Sheet'!F457,"")</f>
        <v>34.488300000000002</v>
      </c>
      <c r="H310" s="27">
        <f>IF('Working Sheet'!B457="ITEM",'Working Sheet'!G457,"")</f>
        <v>5.6889000000000003</v>
      </c>
      <c r="I310" s="27">
        <f>IF('Working Sheet'!B457="ITEM",'Working Sheet'!H457,"")</f>
        <v>0.2626</v>
      </c>
      <c r="J310">
        <f>IF('Working Sheet'!B457="ITEM",'Working Sheet'!I457,"")</f>
        <v>739.96220000000005</v>
      </c>
      <c r="K310">
        <f>IF('Working Sheet'!B457="ITEM",'Working Sheet'!J457,"")</f>
        <v>104.66840000000001</v>
      </c>
      <c r="L310">
        <f>IF('Working Sheet'!B457="ITEM",'Working Sheet'!K457,"")</f>
        <v>4.7222</v>
      </c>
      <c r="M310" s="33">
        <f>IFERROR(Table2[[#This Row],[Value(1000$) 2022]]/Table2[[#This Row],[Volume(1000) 2022]],0)</f>
        <v>4.660819160762536E-2</v>
      </c>
      <c r="N310" s="33">
        <f>IFERROR(Table2[[#This Row],[Value(1000$) 2023]]/Table2[[#This Row],[Volume(1000) 2023]],0)</f>
        <v>5.4351647679719957E-2</v>
      </c>
      <c r="O310" s="33">
        <f>IFERROR(Table2[[#This Row],[Value(1000$) 2024]]/Table2[[#This Row],[Volume(1000) 2024]],0)</f>
        <v>5.560967345728686E-2</v>
      </c>
      <c r="P310" s="33">
        <f>SUM(Table2[[#This Row],[Value(1000$) 2022]:[Value(1000$) 2024]])</f>
        <v>40.439799999999998</v>
      </c>
      <c r="Q310" s="33">
        <f>SUM(Table2[[#This Row],[Volume(1000) 2022]:[Volume(1000) 2024]])</f>
        <v>849.35280000000012</v>
      </c>
      <c r="R310" s="33">
        <f>AVERAGE(Table2[[#This Row],[Average Price(2022)]:[Average Price(2024)]])</f>
        <v>5.2189837581544052E-2</v>
      </c>
    </row>
    <row r="311" spans="1:18" x14ac:dyDescent="0.3">
      <c r="A311" t="s">
        <v>389</v>
      </c>
      <c r="B311" t="s">
        <v>771</v>
      </c>
      <c r="C311" t="s">
        <v>384</v>
      </c>
      <c r="D311" t="s">
        <v>9</v>
      </c>
      <c r="E311" t="s">
        <v>64</v>
      </c>
      <c r="F311" s="27" t="str">
        <f>IF('Working Sheet'!B458="ITEM",'Working Sheet'!E458,"")</f>
        <v>54</v>
      </c>
      <c r="G311" s="27">
        <f>IF('Working Sheet'!B458="ITEM",'Working Sheet'!F458,"")</f>
        <v>0.31869999999999998</v>
      </c>
      <c r="H311" s="27">
        <f>IF('Working Sheet'!B458="ITEM",'Working Sheet'!G458,"")</f>
        <v>0</v>
      </c>
      <c r="I311" s="27">
        <f>IF('Working Sheet'!B458="ITEM",'Working Sheet'!H458,"")</f>
        <v>0</v>
      </c>
      <c r="J311">
        <f>IF('Working Sheet'!B458="ITEM",'Working Sheet'!I458,"")</f>
        <v>6.5327000000000002</v>
      </c>
      <c r="K311">
        <f>IF('Working Sheet'!B458="ITEM",'Working Sheet'!J458,"")</f>
        <v>0</v>
      </c>
      <c r="L311">
        <f>IF('Working Sheet'!B458="ITEM",'Working Sheet'!K458,"")</f>
        <v>0</v>
      </c>
      <c r="M311" s="33">
        <f>IFERROR(Table2[[#This Row],[Value(1000$) 2022]]/Table2[[#This Row],[Volume(1000) 2022]],0)</f>
        <v>4.8785341436159625E-2</v>
      </c>
      <c r="N311" s="33">
        <f>IFERROR(Table2[[#This Row],[Value(1000$) 2023]]/Table2[[#This Row],[Volume(1000) 2023]],0)</f>
        <v>0</v>
      </c>
      <c r="O311" s="33">
        <f>IFERROR(Table2[[#This Row],[Value(1000$) 2024]]/Table2[[#This Row],[Volume(1000) 2024]],0)</f>
        <v>0</v>
      </c>
      <c r="P311" s="33">
        <f>SUM(Table2[[#This Row],[Value(1000$) 2022]:[Value(1000$) 2024]])</f>
        <v>0.31869999999999998</v>
      </c>
      <c r="Q311" s="33">
        <f>SUM(Table2[[#This Row],[Volume(1000) 2022]:[Volume(1000) 2024]])</f>
        <v>6.5327000000000002</v>
      </c>
      <c r="R311" s="33">
        <f>AVERAGE(Table2[[#This Row],[Average Price(2022)]:[Average Price(2024)]])</f>
        <v>1.6261780478719876E-2</v>
      </c>
    </row>
    <row r="312" spans="1:18" x14ac:dyDescent="0.3">
      <c r="A312" t="s">
        <v>390</v>
      </c>
      <c r="B312" t="s">
        <v>771</v>
      </c>
      <c r="C312" t="s">
        <v>384</v>
      </c>
      <c r="D312" t="s">
        <v>9</v>
      </c>
      <c r="E312" t="s">
        <v>64</v>
      </c>
      <c r="F312" s="27" t="str">
        <f>IF('Working Sheet'!B459="ITEM",'Working Sheet'!E459,"")</f>
        <v>54</v>
      </c>
      <c r="G312" s="27">
        <f>IF('Working Sheet'!B459="ITEM",'Working Sheet'!F459,"")</f>
        <v>7.1499999999999994E-2</v>
      </c>
      <c r="H312" s="27">
        <f>IF('Working Sheet'!B459="ITEM",'Working Sheet'!G459,"")</f>
        <v>0</v>
      </c>
      <c r="I312" s="27">
        <f>IF('Working Sheet'!B459="ITEM",'Working Sheet'!H459,"")</f>
        <v>0</v>
      </c>
      <c r="J312">
        <f>IF('Working Sheet'!B459="ITEM",'Working Sheet'!I459,"")</f>
        <v>1.2682</v>
      </c>
      <c r="K312">
        <f>IF('Working Sheet'!B459="ITEM",'Working Sheet'!J459,"")</f>
        <v>0</v>
      </c>
      <c r="L312">
        <f>IF('Working Sheet'!B459="ITEM",'Working Sheet'!K459,"")</f>
        <v>0</v>
      </c>
      <c r="M312" s="33">
        <f>IFERROR(Table2[[#This Row],[Value(1000$) 2022]]/Table2[[#This Row],[Volume(1000) 2022]],0)</f>
        <v>5.6379120012616302E-2</v>
      </c>
      <c r="N312" s="33">
        <f>IFERROR(Table2[[#This Row],[Value(1000$) 2023]]/Table2[[#This Row],[Volume(1000) 2023]],0)</f>
        <v>0</v>
      </c>
      <c r="O312" s="33">
        <f>IFERROR(Table2[[#This Row],[Value(1000$) 2024]]/Table2[[#This Row],[Volume(1000) 2024]],0)</f>
        <v>0</v>
      </c>
      <c r="P312" s="33">
        <f>SUM(Table2[[#This Row],[Value(1000$) 2022]:[Value(1000$) 2024]])</f>
        <v>7.1499999999999994E-2</v>
      </c>
      <c r="Q312" s="33">
        <f>SUM(Table2[[#This Row],[Volume(1000) 2022]:[Volume(1000) 2024]])</f>
        <v>1.2682</v>
      </c>
      <c r="R312" s="33">
        <f>AVERAGE(Table2[[#This Row],[Average Price(2022)]:[Average Price(2024)]])</f>
        <v>1.8793040004205435E-2</v>
      </c>
    </row>
    <row r="313" spans="1:18" x14ac:dyDescent="0.3">
      <c r="A313" t="s">
        <v>392</v>
      </c>
      <c r="B313" t="s">
        <v>772</v>
      </c>
      <c r="C313" t="s">
        <v>391</v>
      </c>
      <c r="D313" t="s">
        <v>9</v>
      </c>
      <c r="E313" t="s">
        <v>30</v>
      </c>
      <c r="F313" s="27" t="str">
        <f>IF('Working Sheet'!B462="ITEM",'Working Sheet'!E462,"")</f>
        <v>100</v>
      </c>
      <c r="G313" s="27">
        <f>IF('Working Sheet'!B462="ITEM",'Working Sheet'!F462,"")</f>
        <v>0</v>
      </c>
      <c r="H313" s="27">
        <f>IF('Working Sheet'!B462="ITEM",'Working Sheet'!G462,"")</f>
        <v>0</v>
      </c>
      <c r="I313" s="27">
        <f>IF('Working Sheet'!B462="ITEM",'Working Sheet'!H462,"")</f>
        <v>0</v>
      </c>
      <c r="J313">
        <f>IF('Working Sheet'!B462="ITEM",'Working Sheet'!I462,"")</f>
        <v>0</v>
      </c>
      <c r="K313">
        <f>IF('Working Sheet'!B462="ITEM",'Working Sheet'!J462,"")</f>
        <v>0</v>
      </c>
      <c r="L313">
        <f>IF('Working Sheet'!B462="ITEM",'Working Sheet'!K462,"")</f>
        <v>0</v>
      </c>
      <c r="M313" s="33">
        <f>IFERROR(Table2[[#This Row],[Value(1000$) 2022]]/Table2[[#This Row],[Volume(1000) 2022]],0)</f>
        <v>0</v>
      </c>
      <c r="N313" s="33">
        <f>IFERROR(Table2[[#This Row],[Value(1000$) 2023]]/Table2[[#This Row],[Volume(1000) 2023]],0)</f>
        <v>0</v>
      </c>
      <c r="O313" s="33">
        <f>IFERROR(Table2[[#This Row],[Value(1000$) 2024]]/Table2[[#This Row],[Volume(1000) 2024]],0)</f>
        <v>0</v>
      </c>
      <c r="P313" s="33">
        <f>SUM(Table2[[#This Row],[Value(1000$) 2022]:[Value(1000$) 2024]])</f>
        <v>0</v>
      </c>
      <c r="Q313" s="33">
        <f>SUM(Table2[[#This Row],[Volume(1000) 2022]:[Volume(1000) 2024]])</f>
        <v>0</v>
      </c>
      <c r="R313" s="33">
        <f>AVERAGE(Table2[[#This Row],[Average Price(2022)]:[Average Price(2024)]])</f>
        <v>0</v>
      </c>
    </row>
    <row r="314" spans="1:18" x14ac:dyDescent="0.3">
      <c r="A314" t="s">
        <v>394</v>
      </c>
      <c r="B314" t="s">
        <v>773</v>
      </c>
      <c r="C314" t="s">
        <v>393</v>
      </c>
      <c r="D314" t="s">
        <v>9</v>
      </c>
      <c r="E314" t="s">
        <v>69</v>
      </c>
      <c r="F314" s="27" t="str">
        <f>IF('Working Sheet'!B465="ITEM",'Working Sheet'!E465,"")</f>
        <v>72</v>
      </c>
      <c r="G314" s="27">
        <f>IF('Working Sheet'!B465="ITEM",'Working Sheet'!F465,"")</f>
        <v>0</v>
      </c>
      <c r="H314" s="27">
        <f>IF('Working Sheet'!B465="ITEM",'Working Sheet'!G465,"")</f>
        <v>6.2138</v>
      </c>
      <c r="I314" s="27">
        <f>IF('Working Sheet'!B465="ITEM",'Working Sheet'!H465,"")</f>
        <v>8.77E-2</v>
      </c>
      <c r="J314">
        <f>IF('Working Sheet'!B465="ITEM",'Working Sheet'!I465,"")</f>
        <v>0</v>
      </c>
      <c r="K314">
        <f>IF('Working Sheet'!B465="ITEM",'Working Sheet'!J465,"")</f>
        <v>384.83499999999998</v>
      </c>
      <c r="L314">
        <f>IF('Working Sheet'!B465="ITEM",'Working Sheet'!K465,"")</f>
        <v>5.7408999999999999</v>
      </c>
      <c r="M314" s="33">
        <f>IFERROR(Table2[[#This Row],[Value(1000$) 2022]]/Table2[[#This Row],[Volume(1000) 2022]],0)</f>
        <v>0</v>
      </c>
      <c r="N314" s="33">
        <f>IFERROR(Table2[[#This Row],[Value(1000$) 2023]]/Table2[[#This Row],[Volume(1000) 2023]],0)</f>
        <v>1.6146660256993257E-2</v>
      </c>
      <c r="O314" s="33">
        <f>IFERROR(Table2[[#This Row],[Value(1000$) 2024]]/Table2[[#This Row],[Volume(1000) 2024]],0)</f>
        <v>1.5276350398021216E-2</v>
      </c>
      <c r="P314" s="33">
        <f>SUM(Table2[[#This Row],[Value(1000$) 2022]:[Value(1000$) 2024]])</f>
        <v>6.3014999999999999</v>
      </c>
      <c r="Q314" s="33">
        <f>SUM(Table2[[#This Row],[Volume(1000) 2022]:[Volume(1000) 2024]])</f>
        <v>390.57589999999999</v>
      </c>
      <c r="R314" s="33">
        <f>AVERAGE(Table2[[#This Row],[Average Price(2022)]:[Average Price(2024)]])</f>
        <v>1.0474336885004825E-2</v>
      </c>
    </row>
    <row r="315" spans="1:18" x14ac:dyDescent="0.3">
      <c r="A315" t="s">
        <v>396</v>
      </c>
      <c r="B315" t="s">
        <v>774</v>
      </c>
      <c r="C315" t="s">
        <v>395</v>
      </c>
      <c r="D315" t="s">
        <v>9</v>
      </c>
      <c r="E315" t="s">
        <v>64</v>
      </c>
      <c r="F315" s="27" t="str">
        <f>IF('Working Sheet'!B468="ITEM",'Working Sheet'!E468,"")</f>
        <v>100</v>
      </c>
      <c r="G315" s="27">
        <f>IF('Working Sheet'!B468="ITEM",'Working Sheet'!F468,"")</f>
        <v>2.8529</v>
      </c>
      <c r="H315" s="27">
        <f>IF('Working Sheet'!B468="ITEM",'Working Sheet'!G468,"")</f>
        <v>0</v>
      </c>
      <c r="I315" s="27">
        <f>IF('Working Sheet'!B468="ITEM",'Working Sheet'!H468,"")</f>
        <v>0</v>
      </c>
      <c r="J315">
        <f>IF('Working Sheet'!B468="ITEM",'Working Sheet'!I468,"")</f>
        <v>195.97380000000001</v>
      </c>
      <c r="K315">
        <f>IF('Working Sheet'!B468="ITEM",'Working Sheet'!J468,"")</f>
        <v>0</v>
      </c>
      <c r="L315">
        <f>IF('Working Sheet'!B468="ITEM",'Working Sheet'!K468,"")</f>
        <v>0</v>
      </c>
      <c r="M315" s="33">
        <f>IFERROR(Table2[[#This Row],[Value(1000$) 2022]]/Table2[[#This Row],[Volume(1000) 2022]],0)</f>
        <v>1.4557558204208929E-2</v>
      </c>
      <c r="N315" s="33">
        <f>IFERROR(Table2[[#This Row],[Value(1000$) 2023]]/Table2[[#This Row],[Volume(1000) 2023]],0)</f>
        <v>0</v>
      </c>
      <c r="O315" s="33">
        <f>IFERROR(Table2[[#This Row],[Value(1000$) 2024]]/Table2[[#This Row],[Volume(1000) 2024]],0)</f>
        <v>0</v>
      </c>
      <c r="P315" s="33">
        <f>SUM(Table2[[#This Row],[Value(1000$) 2022]:[Value(1000$) 2024]])</f>
        <v>2.8529</v>
      </c>
      <c r="Q315" s="33">
        <f>SUM(Table2[[#This Row],[Volume(1000) 2022]:[Volume(1000) 2024]])</f>
        <v>195.97380000000001</v>
      </c>
      <c r="R315" s="33">
        <f>AVERAGE(Table2[[#This Row],[Average Price(2022)]:[Average Price(2024)]])</f>
        <v>4.8525194014029764E-3</v>
      </c>
    </row>
    <row r="316" spans="1:18" x14ac:dyDescent="0.3">
      <c r="A316" t="s">
        <v>397</v>
      </c>
      <c r="B316" t="s">
        <v>774</v>
      </c>
      <c r="C316" t="s">
        <v>395</v>
      </c>
      <c r="D316" t="s">
        <v>9</v>
      </c>
      <c r="E316" t="s">
        <v>64</v>
      </c>
      <c r="F316" s="27" t="str">
        <f>IF('Working Sheet'!B469="ITEM",'Working Sheet'!E469,"")</f>
        <v>100</v>
      </c>
      <c r="G316" s="27">
        <f>IF('Working Sheet'!B469="ITEM",'Working Sheet'!F469,"")</f>
        <v>13.515499999999999</v>
      </c>
      <c r="H316" s="27">
        <f>IF('Working Sheet'!B469="ITEM",'Working Sheet'!G469,"")</f>
        <v>1.9742999999999999</v>
      </c>
      <c r="I316" s="27">
        <f>IF('Working Sheet'!B469="ITEM",'Working Sheet'!H469,"")</f>
        <v>2.98E-2</v>
      </c>
      <c r="J316">
        <f>IF('Working Sheet'!B469="ITEM",'Working Sheet'!I469,"")</f>
        <v>813.32730000000004</v>
      </c>
      <c r="K316">
        <f>IF('Working Sheet'!B469="ITEM",'Working Sheet'!J469,"")</f>
        <v>103.7679</v>
      </c>
      <c r="L316">
        <f>IF('Working Sheet'!B469="ITEM",'Working Sheet'!K469,"")</f>
        <v>1.4246000000000001</v>
      </c>
      <c r="M316" s="33">
        <f>IFERROR(Table2[[#This Row],[Value(1000$) 2022]]/Table2[[#This Row],[Volume(1000) 2022]],0)</f>
        <v>1.6617541302253101E-2</v>
      </c>
      <c r="N316" s="33">
        <f>IFERROR(Table2[[#This Row],[Value(1000$) 2023]]/Table2[[#This Row],[Volume(1000) 2023]],0)</f>
        <v>1.9026115012446044E-2</v>
      </c>
      <c r="O316" s="33">
        <f>IFERROR(Table2[[#This Row],[Value(1000$) 2024]]/Table2[[#This Row],[Volume(1000) 2024]],0)</f>
        <v>2.0918152463849499E-2</v>
      </c>
      <c r="P316" s="33">
        <f>SUM(Table2[[#This Row],[Value(1000$) 2022]:[Value(1000$) 2024]])</f>
        <v>15.519599999999999</v>
      </c>
      <c r="Q316" s="33">
        <f>SUM(Table2[[#This Row],[Volume(1000) 2022]:[Volume(1000) 2024]])</f>
        <v>918.51980000000003</v>
      </c>
      <c r="R316" s="33">
        <f>AVERAGE(Table2[[#This Row],[Average Price(2022)]:[Average Price(2024)]])</f>
        <v>1.8853936259516216E-2</v>
      </c>
    </row>
    <row r="317" spans="1:18" x14ac:dyDescent="0.3">
      <c r="A317" t="s">
        <v>398</v>
      </c>
      <c r="B317" t="s">
        <v>774</v>
      </c>
      <c r="C317" t="s">
        <v>395</v>
      </c>
      <c r="D317" t="s">
        <v>9</v>
      </c>
      <c r="E317" t="s">
        <v>64</v>
      </c>
      <c r="F317" s="27" t="str">
        <f>IF('Working Sheet'!B470="ITEM",'Working Sheet'!E470,"")</f>
        <v>120</v>
      </c>
      <c r="G317" s="27">
        <f>IF('Working Sheet'!B470="ITEM",'Working Sheet'!F470,"")</f>
        <v>0</v>
      </c>
      <c r="H317" s="27">
        <f>IF('Working Sheet'!B470="ITEM",'Working Sheet'!G470,"")</f>
        <v>47.540100000000002</v>
      </c>
      <c r="I317" s="27">
        <f>IF('Working Sheet'!B470="ITEM",'Working Sheet'!H470,"")</f>
        <v>13.0617</v>
      </c>
      <c r="J317">
        <f>IF('Working Sheet'!B470="ITEM",'Working Sheet'!I470,"")</f>
        <v>0</v>
      </c>
      <c r="K317">
        <f>IF('Working Sheet'!B470="ITEM",'Working Sheet'!J470,"")</f>
        <v>2356.4949999999999</v>
      </c>
      <c r="L317">
        <f>IF('Working Sheet'!B470="ITEM",'Working Sheet'!K470,"")</f>
        <v>720.12469999999996</v>
      </c>
      <c r="M317" s="33">
        <f>IFERROR(Table2[[#This Row],[Value(1000$) 2022]]/Table2[[#This Row],[Volume(1000) 2022]],0)</f>
        <v>0</v>
      </c>
      <c r="N317" s="33">
        <f>IFERROR(Table2[[#This Row],[Value(1000$) 2023]]/Table2[[#This Row],[Volume(1000) 2023]],0)</f>
        <v>2.0174072085873303E-2</v>
      </c>
      <c r="O317" s="33">
        <f>IFERROR(Table2[[#This Row],[Value(1000$) 2024]]/Table2[[#This Row],[Volume(1000) 2024]],0)</f>
        <v>1.8138108580361152E-2</v>
      </c>
      <c r="P317" s="33">
        <f>SUM(Table2[[#This Row],[Value(1000$) 2022]:[Value(1000$) 2024]])</f>
        <v>60.601800000000004</v>
      </c>
      <c r="Q317" s="33">
        <f>SUM(Table2[[#This Row],[Volume(1000) 2022]:[Volume(1000) 2024]])</f>
        <v>3076.6196999999997</v>
      </c>
      <c r="R317" s="33">
        <f>AVERAGE(Table2[[#This Row],[Average Price(2022)]:[Average Price(2024)]])</f>
        <v>1.2770726888744819E-2</v>
      </c>
    </row>
    <row r="318" spans="1:18" x14ac:dyDescent="0.3">
      <c r="A318" t="s">
        <v>399</v>
      </c>
      <c r="B318" t="s">
        <v>774</v>
      </c>
      <c r="C318" t="s">
        <v>395</v>
      </c>
      <c r="D318" t="s">
        <v>9</v>
      </c>
      <c r="E318" t="s">
        <v>64</v>
      </c>
      <c r="F318" s="27" t="str">
        <f>IF('Working Sheet'!B471="ITEM",'Working Sheet'!E471,"")</f>
        <v>70</v>
      </c>
      <c r="G318" s="27">
        <f>IF('Working Sheet'!B471="ITEM",'Working Sheet'!F471,"")</f>
        <v>4.0548000000000002</v>
      </c>
      <c r="H318" s="27">
        <f>IF('Working Sheet'!B471="ITEM",'Working Sheet'!G471,"")</f>
        <v>2.4268999999999998</v>
      </c>
      <c r="I318" s="27">
        <f>IF('Working Sheet'!B471="ITEM",'Working Sheet'!H471,"")</f>
        <v>0</v>
      </c>
      <c r="J318">
        <f>IF('Working Sheet'!B471="ITEM",'Working Sheet'!I471,"")</f>
        <v>220.69159999999999</v>
      </c>
      <c r="K318">
        <f>IF('Working Sheet'!B471="ITEM",'Working Sheet'!J471,"")</f>
        <v>134.58930000000001</v>
      </c>
      <c r="L318">
        <f>IF('Working Sheet'!B471="ITEM",'Working Sheet'!K471,"")</f>
        <v>0</v>
      </c>
      <c r="M318" s="33">
        <f>IFERROR(Table2[[#This Row],[Value(1000$) 2022]]/Table2[[#This Row],[Volume(1000) 2022]],0)</f>
        <v>1.8373150586610456E-2</v>
      </c>
      <c r="N318" s="33">
        <f>IFERROR(Table2[[#This Row],[Value(1000$) 2023]]/Table2[[#This Row],[Volume(1000) 2023]],0)</f>
        <v>1.8031894065872991E-2</v>
      </c>
      <c r="O318" s="33">
        <f>IFERROR(Table2[[#This Row],[Value(1000$) 2024]]/Table2[[#This Row],[Volume(1000) 2024]],0)</f>
        <v>0</v>
      </c>
      <c r="P318" s="33">
        <f>SUM(Table2[[#This Row],[Value(1000$) 2022]:[Value(1000$) 2024]])</f>
        <v>6.4817</v>
      </c>
      <c r="Q318" s="33">
        <f>SUM(Table2[[#This Row],[Volume(1000) 2022]:[Volume(1000) 2024]])</f>
        <v>355.28089999999997</v>
      </c>
      <c r="R318" s="33">
        <f>AVERAGE(Table2[[#This Row],[Average Price(2022)]:[Average Price(2024)]])</f>
        <v>1.2135014884161148E-2</v>
      </c>
    </row>
    <row r="319" spans="1:18" x14ac:dyDescent="0.3">
      <c r="A319" t="s">
        <v>401</v>
      </c>
      <c r="B319" t="s">
        <v>774</v>
      </c>
      <c r="C319" t="s">
        <v>400</v>
      </c>
      <c r="D319" t="s">
        <v>9</v>
      </c>
      <c r="E319" t="s">
        <v>20</v>
      </c>
      <c r="F319" s="27" t="str">
        <f>IF('Working Sheet'!B473="ITEM",'Working Sheet'!E473,"")</f>
        <v>70</v>
      </c>
      <c r="G319" s="27">
        <f>IF('Working Sheet'!B473="ITEM",'Working Sheet'!F473,"")</f>
        <v>42.300199999999997</v>
      </c>
      <c r="H319" s="27">
        <f>IF('Working Sheet'!B473="ITEM",'Working Sheet'!G473,"")</f>
        <v>20.829499999999999</v>
      </c>
      <c r="I319" s="27">
        <f>IF('Working Sheet'!B473="ITEM",'Working Sheet'!H473,"")</f>
        <v>4.8948</v>
      </c>
      <c r="J319">
        <f>IF('Working Sheet'!B473="ITEM",'Working Sheet'!I473,"")</f>
        <v>2912.5239999999999</v>
      </c>
      <c r="K319">
        <f>IF('Working Sheet'!B473="ITEM",'Working Sheet'!J473,"")</f>
        <v>1143.2672</v>
      </c>
      <c r="L319">
        <f>IF('Working Sheet'!B473="ITEM",'Working Sheet'!K473,"")</f>
        <v>245.0727</v>
      </c>
      <c r="M319" s="33">
        <f>IFERROR(Table2[[#This Row],[Value(1000$) 2022]]/Table2[[#This Row],[Volume(1000) 2022]],0)</f>
        <v>1.4523554140669741E-2</v>
      </c>
      <c r="N319" s="33">
        <f>IFERROR(Table2[[#This Row],[Value(1000$) 2023]]/Table2[[#This Row],[Volume(1000) 2023]],0)</f>
        <v>1.8219275423977877E-2</v>
      </c>
      <c r="O319" s="33">
        <f>IFERROR(Table2[[#This Row],[Value(1000$) 2024]]/Table2[[#This Row],[Volume(1000) 2024]],0)</f>
        <v>1.9972848873007886E-2</v>
      </c>
      <c r="P319" s="33">
        <f>SUM(Table2[[#This Row],[Value(1000$) 2022]:[Value(1000$) 2024]])</f>
        <v>68.024500000000003</v>
      </c>
      <c r="Q319" s="33">
        <f>SUM(Table2[[#This Row],[Volume(1000) 2022]:[Volume(1000) 2024]])</f>
        <v>4300.8638999999994</v>
      </c>
      <c r="R319" s="33">
        <f>AVERAGE(Table2[[#This Row],[Average Price(2022)]:[Average Price(2024)]])</f>
        <v>1.7571892812551837E-2</v>
      </c>
    </row>
    <row r="320" spans="1:18" x14ac:dyDescent="0.3">
      <c r="A320" t="s">
        <v>403</v>
      </c>
      <c r="B320" t="s">
        <v>775</v>
      </c>
      <c r="C320" t="s">
        <v>402</v>
      </c>
      <c r="D320" t="s">
        <v>9</v>
      </c>
      <c r="E320" t="s">
        <v>20</v>
      </c>
      <c r="F320" s="27" t="str">
        <f>IF('Working Sheet'!B476="ITEM",'Working Sheet'!E476,"")</f>
        <v>120</v>
      </c>
      <c r="G320" s="27">
        <f>IF('Working Sheet'!B476="ITEM",'Working Sheet'!F476,"")</f>
        <v>12.6196</v>
      </c>
      <c r="H320" s="27">
        <f>IF('Working Sheet'!B476="ITEM",'Working Sheet'!G476,"")</f>
        <v>0.30170000000000002</v>
      </c>
      <c r="I320" s="27">
        <f>IF('Working Sheet'!B476="ITEM",'Working Sheet'!H476,"")</f>
        <v>0</v>
      </c>
      <c r="J320">
        <f>IF('Working Sheet'!B476="ITEM",'Working Sheet'!I476,"")</f>
        <v>774.8818</v>
      </c>
      <c r="K320">
        <f>IF('Working Sheet'!B476="ITEM",'Working Sheet'!J476,"")</f>
        <v>18.222799999999999</v>
      </c>
      <c r="L320">
        <f>IF('Working Sheet'!B476="ITEM",'Working Sheet'!K476,"")</f>
        <v>0</v>
      </c>
      <c r="M320" s="33">
        <f>IFERROR(Table2[[#This Row],[Value(1000$) 2022]]/Table2[[#This Row],[Volume(1000) 2022]],0)</f>
        <v>1.6285838691784991E-2</v>
      </c>
      <c r="N320" s="33">
        <f>IFERROR(Table2[[#This Row],[Value(1000$) 2023]]/Table2[[#This Row],[Volume(1000) 2023]],0)</f>
        <v>1.6556182364949407E-2</v>
      </c>
      <c r="O320" s="33">
        <f>IFERROR(Table2[[#This Row],[Value(1000$) 2024]]/Table2[[#This Row],[Volume(1000) 2024]],0)</f>
        <v>0</v>
      </c>
      <c r="P320" s="33">
        <f>SUM(Table2[[#This Row],[Value(1000$) 2022]:[Value(1000$) 2024]])</f>
        <v>12.9213</v>
      </c>
      <c r="Q320" s="33">
        <f>SUM(Table2[[#This Row],[Volume(1000) 2022]:[Volume(1000) 2024]])</f>
        <v>793.1046</v>
      </c>
      <c r="R320" s="33">
        <f>AVERAGE(Table2[[#This Row],[Average Price(2022)]:[Average Price(2024)]])</f>
        <v>1.0947340352244797E-2</v>
      </c>
    </row>
    <row r="321" spans="1:18" x14ac:dyDescent="0.3">
      <c r="A321" t="s">
        <v>405</v>
      </c>
      <c r="B321" t="s">
        <v>775</v>
      </c>
      <c r="C321" t="s">
        <v>404</v>
      </c>
      <c r="D321" t="s">
        <v>9</v>
      </c>
      <c r="E321" t="s">
        <v>30</v>
      </c>
      <c r="F321" s="27" t="str">
        <f>IF('Working Sheet'!B478="ITEM",'Working Sheet'!E478,"")</f>
        <v>120</v>
      </c>
      <c r="G321" s="27">
        <f>IF('Working Sheet'!B478="ITEM",'Working Sheet'!F478,"")</f>
        <v>0</v>
      </c>
      <c r="H321" s="27">
        <f>IF('Working Sheet'!B478="ITEM",'Working Sheet'!G478,"")</f>
        <v>39.128300000000003</v>
      </c>
      <c r="I321" s="27">
        <f>IF('Working Sheet'!B478="ITEM",'Working Sheet'!H478,"")</f>
        <v>18.019200000000001</v>
      </c>
      <c r="J321">
        <f>IF('Working Sheet'!B478="ITEM",'Working Sheet'!I478,"")</f>
        <v>0</v>
      </c>
      <c r="K321">
        <f>IF('Working Sheet'!B478="ITEM",'Working Sheet'!J478,"")</f>
        <v>2116.4569999999999</v>
      </c>
      <c r="L321">
        <f>IF('Working Sheet'!B478="ITEM",'Working Sheet'!K478,"")</f>
        <v>1056.0386000000001</v>
      </c>
      <c r="M321" s="33">
        <f>IFERROR(Table2[[#This Row],[Value(1000$) 2022]]/Table2[[#This Row],[Volume(1000) 2022]],0)</f>
        <v>0</v>
      </c>
      <c r="N321" s="33">
        <f>IFERROR(Table2[[#This Row],[Value(1000$) 2023]]/Table2[[#This Row],[Volume(1000) 2023]],0)</f>
        <v>1.8487642319215559E-2</v>
      </c>
      <c r="O321" s="33">
        <f>IFERROR(Table2[[#This Row],[Value(1000$) 2024]]/Table2[[#This Row],[Volume(1000) 2024]],0)</f>
        <v>1.7063012658817586E-2</v>
      </c>
      <c r="P321" s="33">
        <f>SUM(Table2[[#This Row],[Value(1000$) 2022]:[Value(1000$) 2024]])</f>
        <v>57.147500000000008</v>
      </c>
      <c r="Q321" s="33">
        <f>SUM(Table2[[#This Row],[Volume(1000) 2022]:[Volume(1000) 2024]])</f>
        <v>3172.4956000000002</v>
      </c>
      <c r="R321" s="33">
        <f>AVERAGE(Table2[[#This Row],[Average Price(2022)]:[Average Price(2024)]])</f>
        <v>1.1850218326011047E-2</v>
      </c>
    </row>
    <row r="322" spans="1:18" x14ac:dyDescent="0.3">
      <c r="A322" t="s">
        <v>406</v>
      </c>
      <c r="B322" t="s">
        <v>775</v>
      </c>
      <c r="C322" t="s">
        <v>404</v>
      </c>
      <c r="D322" t="s">
        <v>9</v>
      </c>
      <c r="E322" t="s">
        <v>30</v>
      </c>
      <c r="F322" s="27" t="str">
        <f>IF('Working Sheet'!B479="ITEM",'Working Sheet'!E479,"")</f>
        <v>72</v>
      </c>
      <c r="G322" s="27">
        <f>IF('Working Sheet'!B479="ITEM",'Working Sheet'!F479,"")</f>
        <v>14.5854</v>
      </c>
      <c r="H322" s="27">
        <f>IF('Working Sheet'!B479="ITEM",'Working Sheet'!G479,"")</f>
        <v>45.532299999999999</v>
      </c>
      <c r="I322" s="27">
        <f>IF('Working Sheet'!B479="ITEM",'Working Sheet'!H479,"")</f>
        <v>49.915700000000001</v>
      </c>
      <c r="J322">
        <f>IF('Working Sheet'!B479="ITEM",'Working Sheet'!I479,"")</f>
        <v>930.23509999999999</v>
      </c>
      <c r="K322">
        <f>IF('Working Sheet'!B479="ITEM",'Working Sheet'!J479,"")</f>
        <v>2490.5082000000002</v>
      </c>
      <c r="L322">
        <f>IF('Working Sheet'!B479="ITEM",'Working Sheet'!K479,"")</f>
        <v>2411.3348000000001</v>
      </c>
      <c r="M322" s="33">
        <f>IFERROR(Table2[[#This Row],[Value(1000$) 2022]]/Table2[[#This Row],[Volume(1000) 2022]],0)</f>
        <v>1.5679262156416157E-2</v>
      </c>
      <c r="N322" s="33">
        <f>IFERROR(Table2[[#This Row],[Value(1000$) 2023]]/Table2[[#This Row],[Volume(1000) 2023]],0)</f>
        <v>1.8282332898964155E-2</v>
      </c>
      <c r="O322" s="33">
        <f>IFERROR(Table2[[#This Row],[Value(1000$) 2024]]/Table2[[#This Row],[Volume(1000) 2024]],0)</f>
        <v>2.0700443588339536E-2</v>
      </c>
      <c r="P322" s="33">
        <f>SUM(Table2[[#This Row],[Value(1000$) 2022]:[Value(1000$) 2024]])</f>
        <v>110.0334</v>
      </c>
      <c r="Q322" s="33">
        <f>SUM(Table2[[#This Row],[Volume(1000) 2022]:[Volume(1000) 2024]])</f>
        <v>5832.0781000000006</v>
      </c>
      <c r="R322" s="33">
        <f>AVERAGE(Table2[[#This Row],[Average Price(2022)]:[Average Price(2024)]])</f>
        <v>1.8220679547906616E-2</v>
      </c>
    </row>
    <row r="323" spans="1:18" x14ac:dyDescent="0.3">
      <c r="A323" t="s">
        <v>408</v>
      </c>
      <c r="B323" t="s">
        <v>776</v>
      </c>
      <c r="C323" t="s">
        <v>407</v>
      </c>
      <c r="D323" t="s">
        <v>9</v>
      </c>
      <c r="E323" t="s">
        <v>64</v>
      </c>
      <c r="F323" s="27" t="str">
        <f>IF('Working Sheet'!B482="ITEM",'Working Sheet'!E482,"")</f>
        <v>56</v>
      </c>
      <c r="G323" s="27">
        <f>IF('Working Sheet'!B482="ITEM",'Working Sheet'!F482,"")</f>
        <v>0.1139</v>
      </c>
      <c r="H323" s="27">
        <f>IF('Working Sheet'!B482="ITEM",'Working Sheet'!G482,"")</f>
        <v>4.0300000000000002E-2</v>
      </c>
      <c r="I323" s="27">
        <f>IF('Working Sheet'!B482="ITEM",'Working Sheet'!H482,"")</f>
        <v>0</v>
      </c>
      <c r="J323">
        <f>IF('Working Sheet'!B482="ITEM",'Working Sheet'!I482,"")</f>
        <v>0.85599999999999998</v>
      </c>
      <c r="K323">
        <f>IF('Working Sheet'!B482="ITEM",'Working Sheet'!J482,"")</f>
        <v>0.30399999999999999</v>
      </c>
      <c r="L323">
        <f>IF('Working Sheet'!B482="ITEM",'Working Sheet'!K482,"")</f>
        <v>0</v>
      </c>
      <c r="M323" s="33">
        <f>IFERROR(Table2[[#This Row],[Value(1000$) 2022]]/Table2[[#This Row],[Volume(1000) 2022]],0)</f>
        <v>0.13306074766355142</v>
      </c>
      <c r="N323" s="33">
        <f>IFERROR(Table2[[#This Row],[Value(1000$) 2023]]/Table2[[#This Row],[Volume(1000) 2023]],0)</f>
        <v>0.13256578947368422</v>
      </c>
      <c r="O323" s="33">
        <f>IFERROR(Table2[[#This Row],[Value(1000$) 2024]]/Table2[[#This Row],[Volume(1000) 2024]],0)</f>
        <v>0</v>
      </c>
      <c r="P323" s="33">
        <f>SUM(Table2[[#This Row],[Value(1000$) 2022]:[Value(1000$) 2024]])</f>
        <v>0.1542</v>
      </c>
      <c r="Q323" s="33">
        <f>SUM(Table2[[#This Row],[Volume(1000) 2022]:[Volume(1000) 2024]])</f>
        <v>1.1599999999999999</v>
      </c>
      <c r="R323" s="33">
        <f>AVERAGE(Table2[[#This Row],[Average Price(2022)]:[Average Price(2024)]])</f>
        <v>8.8542179045745198E-2</v>
      </c>
    </row>
    <row r="324" spans="1:18" x14ac:dyDescent="0.3">
      <c r="A324" t="s">
        <v>409</v>
      </c>
      <c r="B324" t="s">
        <v>776</v>
      </c>
      <c r="C324" t="s">
        <v>407</v>
      </c>
      <c r="D324" t="s">
        <v>9</v>
      </c>
      <c r="E324" t="s">
        <v>64</v>
      </c>
      <c r="F324" s="27" t="str">
        <f>IF('Working Sheet'!B483="ITEM",'Working Sheet'!E483,"")</f>
        <v>56</v>
      </c>
      <c r="G324" s="27">
        <f>IF('Working Sheet'!B483="ITEM",'Working Sheet'!F483,"")</f>
        <v>0.19919999999999999</v>
      </c>
      <c r="H324" s="27">
        <f>IF('Working Sheet'!B483="ITEM",'Working Sheet'!G483,"")</f>
        <v>0</v>
      </c>
      <c r="I324" s="27">
        <f>IF('Working Sheet'!B483="ITEM",'Working Sheet'!H483,"")</f>
        <v>0</v>
      </c>
      <c r="J324">
        <f>IF('Working Sheet'!B483="ITEM",'Working Sheet'!I483,"")</f>
        <v>1.496</v>
      </c>
      <c r="K324">
        <f>IF('Working Sheet'!B483="ITEM",'Working Sheet'!J483,"")</f>
        <v>0</v>
      </c>
      <c r="L324">
        <f>IF('Working Sheet'!B483="ITEM",'Working Sheet'!K483,"")</f>
        <v>0</v>
      </c>
      <c r="M324" s="33">
        <f>IFERROR(Table2[[#This Row],[Value(1000$) 2022]]/Table2[[#This Row],[Volume(1000) 2022]],0)</f>
        <v>0.13315508021390374</v>
      </c>
      <c r="N324" s="33">
        <f>IFERROR(Table2[[#This Row],[Value(1000$) 2023]]/Table2[[#This Row],[Volume(1000) 2023]],0)</f>
        <v>0</v>
      </c>
      <c r="O324" s="33">
        <f>IFERROR(Table2[[#This Row],[Value(1000$) 2024]]/Table2[[#This Row],[Volume(1000) 2024]],0)</f>
        <v>0</v>
      </c>
      <c r="P324" s="33">
        <f>SUM(Table2[[#This Row],[Value(1000$) 2022]:[Value(1000$) 2024]])</f>
        <v>0.19919999999999999</v>
      </c>
      <c r="Q324" s="33">
        <f>SUM(Table2[[#This Row],[Volume(1000) 2022]:[Volume(1000) 2024]])</f>
        <v>1.496</v>
      </c>
      <c r="R324" s="33">
        <f>AVERAGE(Table2[[#This Row],[Average Price(2022)]:[Average Price(2024)]])</f>
        <v>4.438502673796791E-2</v>
      </c>
    </row>
    <row r="325" spans="1:18" x14ac:dyDescent="0.3">
      <c r="A325" t="s">
        <v>411</v>
      </c>
      <c r="B325" t="s">
        <v>777</v>
      </c>
      <c r="C325" t="s">
        <v>410</v>
      </c>
      <c r="D325" t="s">
        <v>9</v>
      </c>
      <c r="E325" t="s">
        <v>30</v>
      </c>
      <c r="F325" s="27" t="str">
        <f>IF('Working Sheet'!B486="ITEM",'Working Sheet'!E486,"")</f>
        <v>100</v>
      </c>
      <c r="G325" s="27">
        <f>IF('Working Sheet'!B486="ITEM",'Working Sheet'!F486,"")</f>
        <v>4.4461000000000004</v>
      </c>
      <c r="H325" s="27">
        <f>IF('Working Sheet'!B486="ITEM",'Working Sheet'!G486,"")</f>
        <v>2.0626000000000002</v>
      </c>
      <c r="I325" s="27">
        <f>IF('Working Sheet'!B486="ITEM",'Working Sheet'!H486,"")</f>
        <v>0</v>
      </c>
      <c r="J325">
        <f>IF('Working Sheet'!B486="ITEM",'Working Sheet'!I486,"")</f>
        <v>234.7319</v>
      </c>
      <c r="K325">
        <f>IF('Working Sheet'!B486="ITEM",'Working Sheet'!J486,"")</f>
        <v>137.5095</v>
      </c>
      <c r="L325">
        <f>IF('Working Sheet'!B486="ITEM",'Working Sheet'!K486,"")</f>
        <v>0</v>
      </c>
      <c r="M325" s="33">
        <f>IFERROR(Table2[[#This Row],[Value(1000$) 2022]]/Table2[[#This Row],[Volume(1000) 2022]],0)</f>
        <v>1.8941183537474031E-2</v>
      </c>
      <c r="N325" s="33">
        <f>IFERROR(Table2[[#This Row],[Value(1000$) 2023]]/Table2[[#This Row],[Volume(1000) 2023]],0)</f>
        <v>1.4999690930444808E-2</v>
      </c>
      <c r="O325" s="33">
        <f>IFERROR(Table2[[#This Row],[Value(1000$) 2024]]/Table2[[#This Row],[Volume(1000) 2024]],0)</f>
        <v>0</v>
      </c>
      <c r="P325" s="33">
        <f>SUM(Table2[[#This Row],[Value(1000$) 2022]:[Value(1000$) 2024]])</f>
        <v>6.508700000000001</v>
      </c>
      <c r="Q325" s="33">
        <f>SUM(Table2[[#This Row],[Volume(1000) 2022]:[Volume(1000) 2024]])</f>
        <v>372.2414</v>
      </c>
      <c r="R325" s="33">
        <f>AVERAGE(Table2[[#This Row],[Average Price(2022)]:[Average Price(2024)]])</f>
        <v>1.1313624822639612E-2</v>
      </c>
    </row>
    <row r="326" spans="1:18" x14ac:dyDescent="0.3">
      <c r="A326" t="s">
        <v>412</v>
      </c>
      <c r="B326" t="s">
        <v>777</v>
      </c>
      <c r="C326" t="s">
        <v>410</v>
      </c>
      <c r="D326" t="s">
        <v>9</v>
      </c>
      <c r="E326" t="s">
        <v>20</v>
      </c>
      <c r="F326" s="27" t="str">
        <f>IF('Working Sheet'!B487="ITEM",'Working Sheet'!E487,"")</f>
        <v>15</v>
      </c>
      <c r="G326" s="27">
        <f>IF('Working Sheet'!B487="ITEM",'Working Sheet'!F487,"")</f>
        <v>0.15609999999999999</v>
      </c>
      <c r="H326" s="27">
        <f>IF('Working Sheet'!B487="ITEM",'Working Sheet'!G487,"")</f>
        <v>2.98E-2</v>
      </c>
      <c r="I326" s="27">
        <f>IF('Working Sheet'!B487="ITEM",'Working Sheet'!H487,"")</f>
        <v>0.25540000000000002</v>
      </c>
      <c r="J326">
        <f>IF('Working Sheet'!B487="ITEM",'Working Sheet'!I487,"")</f>
        <v>9.3703000000000003</v>
      </c>
      <c r="K326">
        <f>IF('Working Sheet'!B487="ITEM",'Working Sheet'!J487,"")</f>
        <v>1.4905999999999999</v>
      </c>
      <c r="L326">
        <f>IF('Working Sheet'!B487="ITEM",'Working Sheet'!K487,"")</f>
        <v>12.7729</v>
      </c>
      <c r="M326" s="33">
        <f>IFERROR(Table2[[#This Row],[Value(1000$) 2022]]/Table2[[#This Row],[Volume(1000) 2022]],0)</f>
        <v>1.6659018387885124E-2</v>
      </c>
      <c r="N326" s="33">
        <f>IFERROR(Table2[[#This Row],[Value(1000$) 2023]]/Table2[[#This Row],[Volume(1000) 2023]],0)</f>
        <v>1.9991949550516572E-2</v>
      </c>
      <c r="O326" s="33">
        <f>IFERROR(Table2[[#This Row],[Value(1000$) 2024]]/Table2[[#This Row],[Volume(1000) 2024]],0)</f>
        <v>1.9995459136139798E-2</v>
      </c>
      <c r="P326" s="33">
        <f>SUM(Table2[[#This Row],[Value(1000$) 2022]:[Value(1000$) 2024]])</f>
        <v>0.44130000000000003</v>
      </c>
      <c r="Q326" s="33">
        <f>SUM(Table2[[#This Row],[Volume(1000) 2022]:[Volume(1000) 2024]])</f>
        <v>23.633800000000001</v>
      </c>
      <c r="R326" s="33">
        <f>AVERAGE(Table2[[#This Row],[Average Price(2022)]:[Average Price(2024)]])</f>
        <v>1.88821423581805E-2</v>
      </c>
    </row>
    <row r="327" spans="1:18" x14ac:dyDescent="0.3">
      <c r="A327" t="s">
        <v>413</v>
      </c>
      <c r="B327" t="s">
        <v>777</v>
      </c>
      <c r="C327" t="s">
        <v>410</v>
      </c>
      <c r="D327" t="s">
        <v>9</v>
      </c>
      <c r="E327" t="s">
        <v>10</v>
      </c>
      <c r="F327" s="27" t="str">
        <f>IF('Working Sheet'!B488="ITEM",'Working Sheet'!E488,"")</f>
        <v>60</v>
      </c>
      <c r="G327" s="27">
        <f>IF('Working Sheet'!B488="ITEM",'Working Sheet'!F488,"")</f>
        <v>1.8445</v>
      </c>
      <c r="H327" s="27">
        <f>IF('Working Sheet'!B488="ITEM",'Working Sheet'!G488,"")</f>
        <v>0</v>
      </c>
      <c r="I327" s="27">
        <f>IF('Working Sheet'!B488="ITEM",'Working Sheet'!H488,"")</f>
        <v>0</v>
      </c>
      <c r="J327">
        <f>IF('Working Sheet'!B488="ITEM",'Working Sheet'!I488,"")</f>
        <v>41.871899999999997</v>
      </c>
      <c r="K327">
        <f>IF('Working Sheet'!B488="ITEM",'Working Sheet'!J488,"")</f>
        <v>0</v>
      </c>
      <c r="L327">
        <f>IF('Working Sheet'!B488="ITEM",'Working Sheet'!K488,"")</f>
        <v>0</v>
      </c>
      <c r="M327" s="33">
        <f>IFERROR(Table2[[#This Row],[Value(1000$) 2022]]/Table2[[#This Row],[Volume(1000) 2022]],0)</f>
        <v>4.4051022284634804E-2</v>
      </c>
      <c r="N327" s="33">
        <f>IFERROR(Table2[[#This Row],[Value(1000$) 2023]]/Table2[[#This Row],[Volume(1000) 2023]],0)</f>
        <v>0</v>
      </c>
      <c r="O327" s="33">
        <f>IFERROR(Table2[[#This Row],[Value(1000$) 2024]]/Table2[[#This Row],[Volume(1000) 2024]],0)</f>
        <v>0</v>
      </c>
      <c r="P327" s="33">
        <f>SUM(Table2[[#This Row],[Value(1000$) 2022]:[Value(1000$) 2024]])</f>
        <v>1.8445</v>
      </c>
      <c r="Q327" s="33">
        <f>SUM(Table2[[#This Row],[Volume(1000) 2022]:[Volume(1000) 2024]])</f>
        <v>41.871899999999997</v>
      </c>
      <c r="R327" s="33">
        <f>AVERAGE(Table2[[#This Row],[Average Price(2022)]:[Average Price(2024)]])</f>
        <v>1.4683674094878267E-2</v>
      </c>
    </row>
    <row r="328" spans="1:18" x14ac:dyDescent="0.3">
      <c r="A328" t="s">
        <v>414</v>
      </c>
      <c r="B328" t="s">
        <v>777</v>
      </c>
      <c r="C328" t="s">
        <v>410</v>
      </c>
      <c r="D328" t="s">
        <v>9</v>
      </c>
      <c r="E328" t="s">
        <v>20</v>
      </c>
      <c r="F328" s="27" t="str">
        <f>IF('Working Sheet'!B489="ITEM",'Working Sheet'!E489,"")</f>
        <v>72</v>
      </c>
      <c r="G328" s="27">
        <f>IF('Working Sheet'!B489="ITEM",'Working Sheet'!F489,"")</f>
        <v>0.57199999999999995</v>
      </c>
      <c r="H328" s="27">
        <f>IF('Working Sheet'!B489="ITEM",'Working Sheet'!G489,"")</f>
        <v>0</v>
      </c>
      <c r="I328" s="27">
        <f>IF('Working Sheet'!B489="ITEM",'Working Sheet'!H489,"")</f>
        <v>0</v>
      </c>
      <c r="J328">
        <f>IF('Working Sheet'!B489="ITEM",'Working Sheet'!I489,"")</f>
        <v>34.318100000000001</v>
      </c>
      <c r="K328">
        <f>IF('Working Sheet'!B489="ITEM",'Working Sheet'!J489,"")</f>
        <v>0</v>
      </c>
      <c r="L328">
        <f>IF('Working Sheet'!B489="ITEM",'Working Sheet'!K489,"")</f>
        <v>0</v>
      </c>
      <c r="M328" s="33">
        <f>IFERROR(Table2[[#This Row],[Value(1000$) 2022]]/Table2[[#This Row],[Volume(1000) 2022]],0)</f>
        <v>1.6667589406173418E-2</v>
      </c>
      <c r="N328" s="33">
        <f>IFERROR(Table2[[#This Row],[Value(1000$) 2023]]/Table2[[#This Row],[Volume(1000) 2023]],0)</f>
        <v>0</v>
      </c>
      <c r="O328" s="33">
        <f>IFERROR(Table2[[#This Row],[Value(1000$) 2024]]/Table2[[#This Row],[Volume(1000) 2024]],0)</f>
        <v>0</v>
      </c>
      <c r="P328" s="33">
        <f>SUM(Table2[[#This Row],[Value(1000$) 2022]:[Value(1000$) 2024]])</f>
        <v>0.57199999999999995</v>
      </c>
      <c r="Q328" s="33">
        <f>SUM(Table2[[#This Row],[Volume(1000) 2022]:[Volume(1000) 2024]])</f>
        <v>34.318100000000001</v>
      </c>
      <c r="R328" s="33">
        <f>AVERAGE(Table2[[#This Row],[Average Price(2022)]:[Average Price(2024)]])</f>
        <v>5.5558631353911396E-3</v>
      </c>
    </row>
    <row r="329" spans="1:18" x14ac:dyDescent="0.3">
      <c r="A329" t="s">
        <v>415</v>
      </c>
      <c r="B329" t="s">
        <v>777</v>
      </c>
      <c r="C329" t="s">
        <v>410</v>
      </c>
      <c r="D329" t="s">
        <v>9</v>
      </c>
      <c r="E329" t="s">
        <v>20</v>
      </c>
      <c r="F329" s="27" t="str">
        <f>IF('Working Sheet'!B490="ITEM",'Working Sheet'!E490,"")</f>
        <v>72</v>
      </c>
      <c r="G329" s="27">
        <f>IF('Working Sheet'!B490="ITEM",'Working Sheet'!F490,"")</f>
        <v>10.123900000000001</v>
      </c>
      <c r="H329" s="27">
        <f>IF('Working Sheet'!B490="ITEM",'Working Sheet'!G490,"")</f>
        <v>4.3895</v>
      </c>
      <c r="I329" s="27">
        <f>IF('Working Sheet'!B490="ITEM",'Working Sheet'!H490,"")</f>
        <v>0</v>
      </c>
      <c r="J329">
        <f>IF('Working Sheet'!B490="ITEM",'Working Sheet'!I490,"")</f>
        <v>617.78060000000005</v>
      </c>
      <c r="K329">
        <f>IF('Working Sheet'!B490="ITEM",'Working Sheet'!J490,"")</f>
        <v>241.07740000000001</v>
      </c>
      <c r="L329">
        <f>IF('Working Sheet'!B490="ITEM",'Working Sheet'!K490,"")</f>
        <v>0</v>
      </c>
      <c r="M329" s="33">
        <f>IFERROR(Table2[[#This Row],[Value(1000$) 2022]]/Table2[[#This Row],[Volume(1000) 2022]],0)</f>
        <v>1.6387533049759088E-2</v>
      </c>
      <c r="N329" s="33">
        <f>IFERROR(Table2[[#This Row],[Value(1000$) 2023]]/Table2[[#This Row],[Volume(1000) 2023]],0)</f>
        <v>1.8207845281225033E-2</v>
      </c>
      <c r="O329" s="33">
        <f>IFERROR(Table2[[#This Row],[Value(1000$) 2024]]/Table2[[#This Row],[Volume(1000) 2024]],0)</f>
        <v>0</v>
      </c>
      <c r="P329" s="33">
        <f>SUM(Table2[[#This Row],[Value(1000$) 2022]:[Value(1000$) 2024]])</f>
        <v>14.513400000000001</v>
      </c>
      <c r="Q329" s="33">
        <f>SUM(Table2[[#This Row],[Volume(1000) 2022]:[Volume(1000) 2024]])</f>
        <v>858.85800000000006</v>
      </c>
      <c r="R329" s="33">
        <f>AVERAGE(Table2[[#This Row],[Average Price(2022)]:[Average Price(2024)]])</f>
        <v>1.1531792776994709E-2</v>
      </c>
    </row>
    <row r="330" spans="1:18" x14ac:dyDescent="0.3">
      <c r="A330" t="s">
        <v>417</v>
      </c>
      <c r="B330" t="s">
        <v>777</v>
      </c>
      <c r="C330" t="s">
        <v>416</v>
      </c>
      <c r="D330" t="s">
        <v>9</v>
      </c>
      <c r="E330" t="s">
        <v>64</v>
      </c>
      <c r="F330" s="27" t="str">
        <f>IF('Working Sheet'!B492="ITEM",'Working Sheet'!E492,"")</f>
        <v>120</v>
      </c>
      <c r="G330" s="27">
        <f>IF('Working Sheet'!B492="ITEM",'Working Sheet'!F492,"")</f>
        <v>0</v>
      </c>
      <c r="H330" s="27">
        <f>IF('Working Sheet'!B492="ITEM",'Working Sheet'!G492,"")</f>
        <v>56.203800000000001</v>
      </c>
      <c r="I330" s="27">
        <f>IF('Working Sheet'!B492="ITEM",'Working Sheet'!H492,"")</f>
        <v>22.180299999999999</v>
      </c>
      <c r="J330">
        <f>IF('Working Sheet'!B492="ITEM",'Working Sheet'!I492,"")</f>
        <v>0</v>
      </c>
      <c r="K330">
        <f>IF('Working Sheet'!B492="ITEM",'Working Sheet'!J492,"")</f>
        <v>3259.8697999999999</v>
      </c>
      <c r="L330">
        <f>IF('Working Sheet'!B492="ITEM",'Working Sheet'!K492,"")</f>
        <v>1260.6195</v>
      </c>
      <c r="M330" s="33">
        <f>IFERROR(Table2[[#This Row],[Value(1000$) 2022]]/Table2[[#This Row],[Volume(1000) 2022]],0)</f>
        <v>0</v>
      </c>
      <c r="N330" s="33">
        <f>IFERROR(Table2[[#This Row],[Value(1000$) 2023]]/Table2[[#This Row],[Volume(1000) 2023]],0)</f>
        <v>1.7241118034836852E-2</v>
      </c>
      <c r="O330" s="33">
        <f>IFERROR(Table2[[#This Row],[Value(1000$) 2024]]/Table2[[#This Row],[Volume(1000) 2024]],0)</f>
        <v>1.7594761940458638E-2</v>
      </c>
      <c r="P330" s="33">
        <f>SUM(Table2[[#This Row],[Value(1000$) 2022]:[Value(1000$) 2024]])</f>
        <v>78.384100000000004</v>
      </c>
      <c r="Q330" s="33">
        <f>SUM(Table2[[#This Row],[Volume(1000) 2022]:[Volume(1000) 2024]])</f>
        <v>4520.4893000000002</v>
      </c>
      <c r="R330" s="33">
        <f>AVERAGE(Table2[[#This Row],[Average Price(2022)]:[Average Price(2024)]])</f>
        <v>1.1611959991765163E-2</v>
      </c>
    </row>
    <row r="331" spans="1:18" x14ac:dyDescent="0.3">
      <c r="A331" t="s">
        <v>418</v>
      </c>
      <c r="B331" t="s">
        <v>777</v>
      </c>
      <c r="C331" t="s">
        <v>416</v>
      </c>
      <c r="D331" t="s">
        <v>9</v>
      </c>
      <c r="E331" t="s">
        <v>64</v>
      </c>
      <c r="F331" s="27" t="str">
        <f>IF('Working Sheet'!B493="ITEM",'Working Sheet'!E493,"")</f>
        <v>72</v>
      </c>
      <c r="G331" s="27">
        <f>IF('Working Sheet'!B493="ITEM",'Working Sheet'!F493,"")</f>
        <v>0</v>
      </c>
      <c r="H331" s="27">
        <f>IF('Working Sheet'!B493="ITEM",'Working Sheet'!G493,"")</f>
        <v>15.356400000000001</v>
      </c>
      <c r="I331" s="27">
        <f>IF('Working Sheet'!B493="ITEM",'Working Sheet'!H493,"")</f>
        <v>10.720599999999999</v>
      </c>
      <c r="J331">
        <f>IF('Working Sheet'!B493="ITEM",'Working Sheet'!I493,"")</f>
        <v>0</v>
      </c>
      <c r="K331">
        <f>IF('Working Sheet'!B493="ITEM",'Working Sheet'!J493,"")</f>
        <v>847.21910000000003</v>
      </c>
      <c r="L331">
        <f>IF('Working Sheet'!B493="ITEM",'Working Sheet'!K493,"")</f>
        <v>534.71069999999997</v>
      </c>
      <c r="M331" s="33">
        <f>IFERROR(Table2[[#This Row],[Value(1000$) 2022]]/Table2[[#This Row],[Volume(1000) 2022]],0)</f>
        <v>0</v>
      </c>
      <c r="N331" s="33">
        <f>IFERROR(Table2[[#This Row],[Value(1000$) 2023]]/Table2[[#This Row],[Volume(1000) 2023]],0)</f>
        <v>1.8125653682736852E-2</v>
      </c>
      <c r="O331" s="33">
        <f>IFERROR(Table2[[#This Row],[Value(1000$) 2024]]/Table2[[#This Row],[Volume(1000) 2024]],0)</f>
        <v>2.0049346310070101E-2</v>
      </c>
      <c r="P331" s="33">
        <f>SUM(Table2[[#This Row],[Value(1000$) 2022]:[Value(1000$) 2024]])</f>
        <v>26.076999999999998</v>
      </c>
      <c r="Q331" s="33">
        <f>SUM(Table2[[#This Row],[Volume(1000) 2022]:[Volume(1000) 2024]])</f>
        <v>1381.9297999999999</v>
      </c>
      <c r="R331" s="33">
        <f>AVERAGE(Table2[[#This Row],[Average Price(2022)]:[Average Price(2024)]])</f>
        <v>1.2724999997602316E-2</v>
      </c>
    </row>
    <row r="332" spans="1:18" x14ac:dyDescent="0.3">
      <c r="A332" t="s">
        <v>420</v>
      </c>
      <c r="B332" t="s">
        <v>777</v>
      </c>
      <c r="C332" t="s">
        <v>419</v>
      </c>
      <c r="D332" t="s">
        <v>9</v>
      </c>
      <c r="E332" t="s">
        <v>10</v>
      </c>
      <c r="F332" s="27" t="str">
        <f>IF('Working Sheet'!B495="ITEM",'Working Sheet'!E495,"")</f>
        <v>80</v>
      </c>
      <c r="G332" s="27">
        <f>IF('Working Sheet'!B495="ITEM",'Working Sheet'!F495,"")</f>
        <v>1.0731999999999999</v>
      </c>
      <c r="H332" s="27">
        <f>IF('Working Sheet'!B495="ITEM",'Working Sheet'!G495,"")</f>
        <v>0</v>
      </c>
      <c r="I332" s="27">
        <f>IF('Working Sheet'!B495="ITEM",'Working Sheet'!H495,"")</f>
        <v>0</v>
      </c>
      <c r="J332">
        <f>IF('Working Sheet'!B495="ITEM",'Working Sheet'!I495,"")</f>
        <v>47.075600000000001</v>
      </c>
      <c r="K332">
        <f>IF('Working Sheet'!B495="ITEM",'Working Sheet'!J495,"")</f>
        <v>0</v>
      </c>
      <c r="L332">
        <f>IF('Working Sheet'!B495="ITEM",'Working Sheet'!K495,"")</f>
        <v>0</v>
      </c>
      <c r="M332" s="33">
        <f>IFERROR(Table2[[#This Row],[Value(1000$) 2022]]/Table2[[#This Row],[Volume(1000) 2022]],0)</f>
        <v>2.2797372736619394E-2</v>
      </c>
      <c r="N332" s="33">
        <f>IFERROR(Table2[[#This Row],[Value(1000$) 2023]]/Table2[[#This Row],[Volume(1000) 2023]],0)</f>
        <v>0</v>
      </c>
      <c r="O332" s="33">
        <f>IFERROR(Table2[[#This Row],[Value(1000$) 2024]]/Table2[[#This Row],[Volume(1000) 2024]],0)</f>
        <v>0</v>
      </c>
      <c r="P332" s="33">
        <f>SUM(Table2[[#This Row],[Value(1000$) 2022]:[Value(1000$) 2024]])</f>
        <v>1.0731999999999999</v>
      </c>
      <c r="Q332" s="33">
        <f>SUM(Table2[[#This Row],[Volume(1000) 2022]:[Volume(1000) 2024]])</f>
        <v>47.075600000000001</v>
      </c>
      <c r="R332" s="33">
        <f>AVERAGE(Table2[[#This Row],[Average Price(2022)]:[Average Price(2024)]])</f>
        <v>7.5991242455397982E-3</v>
      </c>
    </row>
    <row r="333" spans="1:18" x14ac:dyDescent="0.3">
      <c r="A333" t="s">
        <v>422</v>
      </c>
      <c r="B333" t="s">
        <v>777</v>
      </c>
      <c r="C333" t="s">
        <v>421</v>
      </c>
      <c r="D333" t="s">
        <v>9</v>
      </c>
      <c r="E333" t="s">
        <v>64</v>
      </c>
      <c r="F333" s="27" t="str">
        <f>IF('Working Sheet'!B497="ITEM",'Working Sheet'!E497,"")</f>
        <v>88</v>
      </c>
      <c r="G333" s="27">
        <f>IF('Working Sheet'!B497="ITEM",'Working Sheet'!F497,"")</f>
        <v>2.6486999999999998</v>
      </c>
      <c r="H333" s="27">
        <f>IF('Working Sheet'!B497="ITEM",'Working Sheet'!G497,"")</f>
        <v>0</v>
      </c>
      <c r="I333" s="27">
        <f>IF('Working Sheet'!B497="ITEM",'Working Sheet'!H497,"")</f>
        <v>0</v>
      </c>
      <c r="J333">
        <f>IF('Working Sheet'!B497="ITEM",'Working Sheet'!I497,"")</f>
        <v>124.62050000000001</v>
      </c>
      <c r="K333">
        <f>IF('Working Sheet'!B497="ITEM",'Working Sheet'!J497,"")</f>
        <v>0</v>
      </c>
      <c r="L333">
        <f>IF('Working Sheet'!B497="ITEM",'Working Sheet'!K497,"")</f>
        <v>0</v>
      </c>
      <c r="M333" s="33">
        <f>IFERROR(Table2[[#This Row],[Value(1000$) 2022]]/Table2[[#This Row],[Volume(1000) 2022]],0)</f>
        <v>2.1254127531184674E-2</v>
      </c>
      <c r="N333" s="33">
        <f>IFERROR(Table2[[#This Row],[Value(1000$) 2023]]/Table2[[#This Row],[Volume(1000) 2023]],0)</f>
        <v>0</v>
      </c>
      <c r="O333" s="33">
        <f>IFERROR(Table2[[#This Row],[Value(1000$) 2024]]/Table2[[#This Row],[Volume(1000) 2024]],0)</f>
        <v>0</v>
      </c>
      <c r="P333" s="33">
        <f>SUM(Table2[[#This Row],[Value(1000$) 2022]:[Value(1000$) 2024]])</f>
        <v>2.6486999999999998</v>
      </c>
      <c r="Q333" s="33">
        <f>SUM(Table2[[#This Row],[Volume(1000) 2022]:[Volume(1000) 2024]])</f>
        <v>124.62050000000001</v>
      </c>
      <c r="R333" s="33">
        <f>AVERAGE(Table2[[#This Row],[Average Price(2022)]:[Average Price(2024)]])</f>
        <v>7.0847091770615579E-3</v>
      </c>
    </row>
    <row r="334" spans="1:18" x14ac:dyDescent="0.3">
      <c r="A334" t="s">
        <v>425</v>
      </c>
      <c r="B334" t="s">
        <v>777</v>
      </c>
      <c r="C334" t="s">
        <v>424</v>
      </c>
      <c r="D334" t="s">
        <v>9</v>
      </c>
      <c r="E334" t="s">
        <v>20</v>
      </c>
      <c r="F334" s="27" t="str">
        <f>IF('Working Sheet'!B499="ITEM",'Working Sheet'!E499,"")</f>
        <v>120</v>
      </c>
      <c r="G334" s="27">
        <f>IF('Working Sheet'!B499="ITEM",'Working Sheet'!F499,"")</f>
        <v>84.095799999999997</v>
      </c>
      <c r="H334" s="27">
        <f>IF('Working Sheet'!B499="ITEM",'Working Sheet'!G499,"")</f>
        <v>151.49979999999999</v>
      </c>
      <c r="I334" s="27">
        <f>IF('Working Sheet'!B499="ITEM",'Working Sheet'!H499,"")</f>
        <v>39.488900000000001</v>
      </c>
      <c r="J334">
        <f>IF('Working Sheet'!B499="ITEM",'Working Sheet'!I499,"")</f>
        <v>4863.5491000000002</v>
      </c>
      <c r="K334">
        <f>IF('Working Sheet'!B499="ITEM",'Working Sheet'!J499,"")</f>
        <v>8687.4974999999995</v>
      </c>
      <c r="L334">
        <f>IF('Working Sheet'!B499="ITEM",'Working Sheet'!K499,"")</f>
        <v>2240.9688000000001</v>
      </c>
      <c r="M334" s="33">
        <f>IFERROR(Table2[[#This Row],[Value(1000$) 2022]]/Table2[[#This Row],[Volume(1000) 2022]],0)</f>
        <v>1.7291035470372858E-2</v>
      </c>
      <c r="N334" s="33">
        <f>IFERROR(Table2[[#This Row],[Value(1000$) 2023]]/Table2[[#This Row],[Volume(1000) 2023]],0)</f>
        <v>1.7438830917649185E-2</v>
      </c>
      <c r="O334" s="33">
        <f>IFERROR(Table2[[#This Row],[Value(1000$) 2024]]/Table2[[#This Row],[Volume(1000) 2024]],0)</f>
        <v>1.7621351979554556E-2</v>
      </c>
      <c r="P334" s="33">
        <f>SUM(Table2[[#This Row],[Value(1000$) 2022]:[Value(1000$) 2024]])</f>
        <v>275.08449999999999</v>
      </c>
      <c r="Q334" s="33">
        <f>SUM(Table2[[#This Row],[Volume(1000) 2022]:[Volume(1000) 2024]])</f>
        <v>15792.0154</v>
      </c>
      <c r="R334" s="33">
        <f>AVERAGE(Table2[[#This Row],[Average Price(2022)]:[Average Price(2024)]])</f>
        <v>1.7450406122525533E-2</v>
      </c>
    </row>
    <row r="335" spans="1:18" x14ac:dyDescent="0.3">
      <c r="A335" t="s">
        <v>426</v>
      </c>
      <c r="B335" t="s">
        <v>777</v>
      </c>
      <c r="C335" t="s">
        <v>424</v>
      </c>
      <c r="D335" t="s">
        <v>9</v>
      </c>
      <c r="E335" t="s">
        <v>20</v>
      </c>
      <c r="F335" s="27" t="str">
        <f>IF('Working Sheet'!B500="ITEM",'Working Sheet'!E500,"")</f>
        <v>72</v>
      </c>
      <c r="G335" s="27">
        <f>IF('Working Sheet'!B500="ITEM",'Working Sheet'!F500,"")</f>
        <v>24.440899999999999</v>
      </c>
      <c r="H335" s="27">
        <f>IF('Working Sheet'!B500="ITEM",'Working Sheet'!G500,"")</f>
        <v>13.931900000000001</v>
      </c>
      <c r="I335" s="27">
        <f>IF('Working Sheet'!B500="ITEM",'Working Sheet'!H500,"")</f>
        <v>5.4257</v>
      </c>
      <c r="J335">
        <f>IF('Working Sheet'!B500="ITEM",'Working Sheet'!I500,"")</f>
        <v>1419.3269</v>
      </c>
      <c r="K335">
        <f>IF('Working Sheet'!B500="ITEM",'Working Sheet'!J500,"")</f>
        <v>757.8877</v>
      </c>
      <c r="L335">
        <f>IF('Working Sheet'!B500="ITEM",'Working Sheet'!K500,"")</f>
        <v>289.12630000000001</v>
      </c>
      <c r="M335" s="33">
        <f>IFERROR(Table2[[#This Row],[Value(1000$) 2022]]/Table2[[#This Row],[Volume(1000) 2022]],0)</f>
        <v>1.7220063961304474E-2</v>
      </c>
      <c r="N335" s="33">
        <f>IFERROR(Table2[[#This Row],[Value(1000$) 2023]]/Table2[[#This Row],[Volume(1000) 2023]],0)</f>
        <v>1.8382538732321426E-2</v>
      </c>
      <c r="O335" s="33">
        <f>IFERROR(Table2[[#This Row],[Value(1000$) 2024]]/Table2[[#This Row],[Volume(1000) 2024]],0)</f>
        <v>1.8765847313094657E-2</v>
      </c>
      <c r="P335" s="33">
        <f>SUM(Table2[[#This Row],[Value(1000$) 2022]:[Value(1000$) 2024]])</f>
        <v>43.798499999999997</v>
      </c>
      <c r="Q335" s="33">
        <f>SUM(Table2[[#This Row],[Volume(1000) 2022]:[Volume(1000) 2024]])</f>
        <v>2466.3409000000001</v>
      </c>
      <c r="R335" s="33">
        <f>AVERAGE(Table2[[#This Row],[Average Price(2022)]:[Average Price(2024)]])</f>
        <v>1.8122816668906853E-2</v>
      </c>
    </row>
    <row r="336" spans="1:18" x14ac:dyDescent="0.3">
      <c r="A336" t="s">
        <v>427</v>
      </c>
      <c r="B336" t="s">
        <v>777</v>
      </c>
      <c r="C336" t="s">
        <v>424</v>
      </c>
      <c r="D336" t="s">
        <v>9</v>
      </c>
      <c r="E336" t="s">
        <v>20</v>
      </c>
      <c r="F336" s="27" t="str">
        <f>IF('Working Sheet'!B501="ITEM",'Working Sheet'!E501,"")</f>
        <v>72</v>
      </c>
      <c r="G336" s="27">
        <f>IF('Working Sheet'!B501="ITEM",'Working Sheet'!F501,"")</f>
        <v>2.0893000000000002</v>
      </c>
      <c r="H336" s="27">
        <f>IF('Working Sheet'!B501="ITEM",'Working Sheet'!G501,"")</f>
        <v>2.5973000000000002</v>
      </c>
      <c r="I336" s="27">
        <f>IF('Working Sheet'!B501="ITEM",'Working Sheet'!H501,"")</f>
        <v>0.1109</v>
      </c>
      <c r="J336">
        <f>IF('Working Sheet'!B501="ITEM",'Working Sheet'!I501,"")</f>
        <v>135.5565</v>
      </c>
      <c r="K336">
        <f>IF('Working Sheet'!B501="ITEM",'Working Sheet'!J501,"")</f>
        <v>141.02850000000001</v>
      </c>
      <c r="L336">
        <f>IF('Working Sheet'!B501="ITEM",'Working Sheet'!K501,"")</f>
        <v>6.4691999999999998</v>
      </c>
      <c r="M336" s="33">
        <f>IFERROR(Table2[[#This Row],[Value(1000$) 2022]]/Table2[[#This Row],[Volume(1000) 2022]],0)</f>
        <v>1.541276146846518E-2</v>
      </c>
      <c r="N336" s="33">
        <f>IFERROR(Table2[[#This Row],[Value(1000$) 2023]]/Table2[[#This Row],[Volume(1000) 2023]],0)</f>
        <v>1.8416844822145877E-2</v>
      </c>
      <c r="O336" s="33">
        <f>IFERROR(Table2[[#This Row],[Value(1000$) 2024]]/Table2[[#This Row],[Volume(1000) 2024]],0)</f>
        <v>1.7142768812217893E-2</v>
      </c>
      <c r="P336" s="33">
        <f>SUM(Table2[[#This Row],[Value(1000$) 2022]:[Value(1000$) 2024]])</f>
        <v>4.7975000000000003</v>
      </c>
      <c r="Q336" s="33">
        <f>SUM(Table2[[#This Row],[Volume(1000) 2022]:[Volume(1000) 2024]])</f>
        <v>283.05420000000004</v>
      </c>
      <c r="R336" s="33">
        <f>AVERAGE(Table2[[#This Row],[Average Price(2022)]:[Average Price(2024)]])</f>
        <v>1.6990791700942986E-2</v>
      </c>
    </row>
    <row r="337" spans="1:18" x14ac:dyDescent="0.3">
      <c r="A337" t="s">
        <v>429</v>
      </c>
      <c r="B337" t="s">
        <v>778</v>
      </c>
      <c r="C337" t="s">
        <v>428</v>
      </c>
      <c r="D337" t="s">
        <v>9</v>
      </c>
      <c r="E337" t="s">
        <v>20</v>
      </c>
      <c r="F337" s="27" t="str">
        <f>IF('Working Sheet'!B504="ITEM",'Working Sheet'!E504,"")</f>
        <v>120</v>
      </c>
      <c r="G337" s="27">
        <f>IF('Working Sheet'!B504="ITEM",'Working Sheet'!F504,"")</f>
        <v>6.1833</v>
      </c>
      <c r="H337" s="27">
        <f>IF('Working Sheet'!B504="ITEM",'Working Sheet'!G504,"")</f>
        <v>0.61119999999999997</v>
      </c>
      <c r="I337" s="27">
        <f>IF('Working Sheet'!B504="ITEM",'Working Sheet'!H504,"")</f>
        <v>0</v>
      </c>
      <c r="J337">
        <f>IF('Working Sheet'!B504="ITEM",'Working Sheet'!I504,"")</f>
        <v>392.1592</v>
      </c>
      <c r="K337">
        <f>IF('Working Sheet'!B504="ITEM",'Working Sheet'!J504,"")</f>
        <v>31.181999999999999</v>
      </c>
      <c r="L337">
        <f>IF('Working Sheet'!B504="ITEM",'Working Sheet'!K504,"")</f>
        <v>0</v>
      </c>
      <c r="M337" s="33">
        <f>IFERROR(Table2[[#This Row],[Value(1000$) 2022]]/Table2[[#This Row],[Volume(1000) 2022]],0)</f>
        <v>1.576732102676668E-2</v>
      </c>
      <c r="N337" s="33">
        <f>IFERROR(Table2[[#This Row],[Value(1000$) 2023]]/Table2[[#This Row],[Volume(1000) 2023]],0)</f>
        <v>1.960105188891027E-2</v>
      </c>
      <c r="O337" s="33">
        <f>IFERROR(Table2[[#This Row],[Value(1000$) 2024]]/Table2[[#This Row],[Volume(1000) 2024]],0)</f>
        <v>0</v>
      </c>
      <c r="P337" s="33">
        <f>SUM(Table2[[#This Row],[Value(1000$) 2022]:[Value(1000$) 2024]])</f>
        <v>6.7945000000000002</v>
      </c>
      <c r="Q337" s="33">
        <f>SUM(Table2[[#This Row],[Volume(1000) 2022]:[Volume(1000) 2024]])</f>
        <v>423.34120000000001</v>
      </c>
      <c r="R337" s="33">
        <f>AVERAGE(Table2[[#This Row],[Average Price(2022)]:[Average Price(2024)]])</f>
        <v>1.1789457638558981E-2</v>
      </c>
    </row>
    <row r="338" spans="1:18" x14ac:dyDescent="0.3">
      <c r="A338" t="s">
        <v>431</v>
      </c>
      <c r="B338" t="s">
        <v>778</v>
      </c>
      <c r="C338" t="s">
        <v>430</v>
      </c>
      <c r="D338" t="s">
        <v>9</v>
      </c>
      <c r="E338" t="s">
        <v>20</v>
      </c>
      <c r="F338" s="27" t="str">
        <f>IF('Working Sheet'!B506="ITEM",'Working Sheet'!E506,"")</f>
        <v>72</v>
      </c>
      <c r="G338" s="27">
        <f>IF('Working Sheet'!B506="ITEM",'Working Sheet'!F506,"")</f>
        <v>0</v>
      </c>
      <c r="H338" s="27">
        <f>IF('Working Sheet'!B506="ITEM",'Working Sheet'!G506,"")</f>
        <v>0</v>
      </c>
      <c r="I338" s="27">
        <f>IF('Working Sheet'!B506="ITEM",'Working Sheet'!H506,"")</f>
        <v>0</v>
      </c>
      <c r="J338">
        <f>IF('Working Sheet'!B506="ITEM",'Working Sheet'!I506,"")</f>
        <v>0</v>
      </c>
      <c r="K338">
        <f>IF('Working Sheet'!B506="ITEM",'Working Sheet'!J506,"")</f>
        <v>0</v>
      </c>
      <c r="L338">
        <f>IF('Working Sheet'!B506="ITEM",'Working Sheet'!K506,"")</f>
        <v>0</v>
      </c>
      <c r="M338" s="33">
        <f>IFERROR(Table2[[#This Row],[Value(1000$) 2022]]/Table2[[#This Row],[Volume(1000) 2022]],0)</f>
        <v>0</v>
      </c>
      <c r="N338" s="33">
        <f>IFERROR(Table2[[#This Row],[Value(1000$) 2023]]/Table2[[#This Row],[Volume(1000) 2023]],0)</f>
        <v>0</v>
      </c>
      <c r="O338" s="33">
        <f>IFERROR(Table2[[#This Row],[Value(1000$) 2024]]/Table2[[#This Row],[Volume(1000) 2024]],0)</f>
        <v>0</v>
      </c>
      <c r="P338" s="33">
        <f>SUM(Table2[[#This Row],[Value(1000$) 2022]:[Value(1000$) 2024]])</f>
        <v>0</v>
      </c>
      <c r="Q338" s="33">
        <f>SUM(Table2[[#This Row],[Volume(1000) 2022]:[Volume(1000) 2024]])</f>
        <v>0</v>
      </c>
      <c r="R338" s="33">
        <f>AVERAGE(Table2[[#This Row],[Average Price(2022)]:[Average Price(2024)]])</f>
        <v>0</v>
      </c>
    </row>
    <row r="339" spans="1:18" x14ac:dyDescent="0.3">
      <c r="A339" t="s">
        <v>433</v>
      </c>
      <c r="B339" t="s">
        <v>778</v>
      </c>
      <c r="C339" t="s">
        <v>432</v>
      </c>
      <c r="D339" t="s">
        <v>9</v>
      </c>
      <c r="E339" t="s">
        <v>20</v>
      </c>
      <c r="F339" s="27" t="str">
        <f>IF('Working Sheet'!B508="ITEM",'Working Sheet'!E508,"")</f>
        <v>120</v>
      </c>
      <c r="G339" s="27">
        <f>IF('Working Sheet'!B508="ITEM",'Working Sheet'!F508,"")</f>
        <v>2.5480999999999998</v>
      </c>
      <c r="H339" s="27">
        <f>IF('Working Sheet'!B508="ITEM",'Working Sheet'!G508,"")</f>
        <v>2.6009000000000002</v>
      </c>
      <c r="I339" s="27">
        <f>IF('Working Sheet'!B508="ITEM",'Working Sheet'!H508,"")</f>
        <v>0</v>
      </c>
      <c r="J339">
        <f>IF('Working Sheet'!B508="ITEM",'Working Sheet'!I508,"")</f>
        <v>132.16820000000001</v>
      </c>
      <c r="K339">
        <f>IF('Working Sheet'!B508="ITEM",'Working Sheet'!J508,"")</f>
        <v>141.76490000000001</v>
      </c>
      <c r="L339">
        <f>IF('Working Sheet'!B508="ITEM",'Working Sheet'!K508,"")</f>
        <v>0</v>
      </c>
      <c r="M339" s="33">
        <f>IFERROR(Table2[[#This Row],[Value(1000$) 2022]]/Table2[[#This Row],[Volume(1000) 2022]],0)</f>
        <v>1.9279221476875674E-2</v>
      </c>
      <c r="N339" s="33">
        <f>IFERROR(Table2[[#This Row],[Value(1000$) 2023]]/Table2[[#This Row],[Volume(1000) 2023]],0)</f>
        <v>1.8346572388510837E-2</v>
      </c>
      <c r="O339" s="33">
        <f>IFERROR(Table2[[#This Row],[Value(1000$) 2024]]/Table2[[#This Row],[Volume(1000) 2024]],0)</f>
        <v>0</v>
      </c>
      <c r="P339" s="33">
        <f>SUM(Table2[[#This Row],[Value(1000$) 2022]:[Value(1000$) 2024]])</f>
        <v>5.149</v>
      </c>
      <c r="Q339" s="33">
        <f>SUM(Table2[[#This Row],[Volume(1000) 2022]:[Volume(1000) 2024]])</f>
        <v>273.93310000000002</v>
      </c>
      <c r="R339" s="33">
        <f>AVERAGE(Table2[[#This Row],[Average Price(2022)]:[Average Price(2024)]])</f>
        <v>1.254193128846217E-2</v>
      </c>
    </row>
    <row r="340" spans="1:18" x14ac:dyDescent="0.3">
      <c r="A340" t="s">
        <v>435</v>
      </c>
      <c r="B340" t="s">
        <v>779</v>
      </c>
      <c r="C340" t="s">
        <v>434</v>
      </c>
      <c r="D340" t="s">
        <v>9</v>
      </c>
      <c r="E340" t="s">
        <v>69</v>
      </c>
      <c r="F340" s="27" t="str">
        <f>IF('Working Sheet'!B511="ITEM",'Working Sheet'!E511,"")</f>
        <v>20</v>
      </c>
      <c r="G340" s="27">
        <f>IF('Working Sheet'!B511="ITEM",'Working Sheet'!F511,"")</f>
        <v>0.15809999999999999</v>
      </c>
      <c r="H340" s="27">
        <f>IF('Working Sheet'!B511="ITEM",'Working Sheet'!G511,"")</f>
        <v>2E-3</v>
      </c>
      <c r="I340" s="27">
        <f>IF('Working Sheet'!B511="ITEM",'Working Sheet'!H511,"")</f>
        <v>1E-3</v>
      </c>
      <c r="J340">
        <f>IF('Working Sheet'!B511="ITEM",'Working Sheet'!I511,"")</f>
        <v>2.1</v>
      </c>
      <c r="K340">
        <f>IF('Working Sheet'!B511="ITEM",'Working Sheet'!J511,"")</f>
        <v>0.02</v>
      </c>
      <c r="L340">
        <f>IF('Working Sheet'!B511="ITEM",'Working Sheet'!K511,"")</f>
        <v>0.02</v>
      </c>
      <c r="M340" s="33">
        <f>IFERROR(Table2[[#This Row],[Value(1000$) 2022]]/Table2[[#This Row],[Volume(1000) 2022]],0)</f>
        <v>7.5285714285714275E-2</v>
      </c>
      <c r="N340" s="33">
        <f>IFERROR(Table2[[#This Row],[Value(1000$) 2023]]/Table2[[#This Row],[Volume(1000) 2023]],0)</f>
        <v>0.1</v>
      </c>
      <c r="O340" s="33">
        <f>IFERROR(Table2[[#This Row],[Value(1000$) 2024]]/Table2[[#This Row],[Volume(1000) 2024]],0)</f>
        <v>0.05</v>
      </c>
      <c r="P340" s="33">
        <f>SUM(Table2[[#This Row],[Value(1000$) 2022]:[Value(1000$) 2024]])</f>
        <v>0.16109999999999999</v>
      </c>
      <c r="Q340" s="33">
        <f>SUM(Table2[[#This Row],[Volume(1000) 2022]:[Volume(1000) 2024]])</f>
        <v>2.14</v>
      </c>
      <c r="R340" s="33">
        <f>AVERAGE(Table2[[#This Row],[Average Price(2022)]:[Average Price(2024)]])</f>
        <v>7.509523809523809E-2</v>
      </c>
    </row>
    <row r="341" spans="1:18" x14ac:dyDescent="0.3">
      <c r="A341" t="s">
        <v>437</v>
      </c>
      <c r="B341" t="s">
        <v>780</v>
      </c>
      <c r="C341" t="s">
        <v>436</v>
      </c>
      <c r="D341" t="s">
        <v>9</v>
      </c>
      <c r="E341" t="s">
        <v>30</v>
      </c>
      <c r="F341" s="27" t="str">
        <f>IF('Working Sheet'!B514="ITEM",'Working Sheet'!E514,"")</f>
        <v>56</v>
      </c>
      <c r="G341" s="27">
        <f>IF('Working Sheet'!B514="ITEM",'Working Sheet'!F514,"")</f>
        <v>6.0000000000000001E-3</v>
      </c>
      <c r="H341" s="27">
        <f>IF('Working Sheet'!B514="ITEM",'Working Sheet'!G514,"")</f>
        <v>0.35439999999999999</v>
      </c>
      <c r="I341" s="27">
        <f>IF('Working Sheet'!B514="ITEM",'Working Sheet'!H514,"")</f>
        <v>0</v>
      </c>
      <c r="J341">
        <f>IF('Working Sheet'!B514="ITEM",'Working Sheet'!I514,"")</f>
        <v>0.33839999999999998</v>
      </c>
      <c r="K341">
        <f>IF('Working Sheet'!B514="ITEM",'Working Sheet'!J514,"")</f>
        <v>16.541699999999999</v>
      </c>
      <c r="L341">
        <f>IF('Working Sheet'!B514="ITEM",'Working Sheet'!K514,"")</f>
        <v>0</v>
      </c>
      <c r="M341" s="33">
        <f>IFERROR(Table2[[#This Row],[Value(1000$) 2022]]/Table2[[#This Row],[Volume(1000) 2022]],0)</f>
        <v>1.7730496453900711E-2</v>
      </c>
      <c r="N341" s="33">
        <f>IFERROR(Table2[[#This Row],[Value(1000$) 2023]]/Table2[[#This Row],[Volume(1000) 2023]],0)</f>
        <v>2.1424641965456997E-2</v>
      </c>
      <c r="O341" s="33">
        <f>IFERROR(Table2[[#This Row],[Value(1000$) 2024]]/Table2[[#This Row],[Volume(1000) 2024]],0)</f>
        <v>0</v>
      </c>
      <c r="P341" s="33">
        <f>SUM(Table2[[#This Row],[Value(1000$) 2022]:[Value(1000$) 2024]])</f>
        <v>0.3604</v>
      </c>
      <c r="Q341" s="33">
        <f>SUM(Table2[[#This Row],[Volume(1000) 2022]:[Volume(1000) 2024]])</f>
        <v>16.880099999999999</v>
      </c>
      <c r="R341" s="33">
        <f>AVERAGE(Table2[[#This Row],[Average Price(2022)]:[Average Price(2024)]])</f>
        <v>1.305171280645257E-2</v>
      </c>
    </row>
    <row r="342" spans="1:18" x14ac:dyDescent="0.3">
      <c r="A342" t="s">
        <v>439</v>
      </c>
      <c r="B342" t="s">
        <v>781</v>
      </c>
      <c r="C342" t="s">
        <v>438</v>
      </c>
      <c r="D342" t="s">
        <v>9</v>
      </c>
      <c r="E342" t="s">
        <v>20</v>
      </c>
      <c r="F342" s="27" t="str">
        <f>IF('Working Sheet'!B517="ITEM",'Working Sheet'!E517,"")</f>
        <v>120</v>
      </c>
      <c r="G342" s="27">
        <f>IF('Working Sheet'!B517="ITEM",'Working Sheet'!F517,"")</f>
        <v>0</v>
      </c>
      <c r="H342" s="27">
        <f>IF('Working Sheet'!B517="ITEM",'Working Sheet'!G517,"")</f>
        <v>0</v>
      </c>
      <c r="I342" s="27">
        <f>IF('Working Sheet'!B517="ITEM",'Working Sheet'!H517,"")</f>
        <v>0</v>
      </c>
      <c r="J342">
        <f>IF('Working Sheet'!B517="ITEM",'Working Sheet'!I517,"")</f>
        <v>0</v>
      </c>
      <c r="K342">
        <f>IF('Working Sheet'!B517="ITEM",'Working Sheet'!J517,"")</f>
        <v>0</v>
      </c>
      <c r="L342">
        <f>IF('Working Sheet'!B517="ITEM",'Working Sheet'!K517,"")</f>
        <v>0</v>
      </c>
      <c r="M342" s="33">
        <f>IFERROR(Table2[[#This Row],[Value(1000$) 2022]]/Table2[[#This Row],[Volume(1000) 2022]],0)</f>
        <v>0</v>
      </c>
      <c r="N342" s="33">
        <f>IFERROR(Table2[[#This Row],[Value(1000$) 2023]]/Table2[[#This Row],[Volume(1000) 2023]],0)</f>
        <v>0</v>
      </c>
      <c r="O342" s="33">
        <f>IFERROR(Table2[[#This Row],[Value(1000$) 2024]]/Table2[[#This Row],[Volume(1000) 2024]],0)</f>
        <v>0</v>
      </c>
      <c r="P342" s="33">
        <f>SUM(Table2[[#This Row],[Value(1000$) 2022]:[Value(1000$) 2024]])</f>
        <v>0</v>
      </c>
      <c r="Q342" s="33">
        <f>SUM(Table2[[#This Row],[Volume(1000) 2022]:[Volume(1000) 2024]])</f>
        <v>0</v>
      </c>
      <c r="R342" s="33">
        <f>AVERAGE(Table2[[#This Row],[Average Price(2022)]:[Average Price(2024)]])</f>
        <v>0</v>
      </c>
    </row>
    <row r="343" spans="1:18" x14ac:dyDescent="0.3">
      <c r="A343" t="s">
        <v>824</v>
      </c>
      <c r="B343" t="s">
        <v>782</v>
      </c>
      <c r="C343" t="s">
        <v>440</v>
      </c>
      <c r="D343" t="s">
        <v>9</v>
      </c>
      <c r="E343" t="s">
        <v>20</v>
      </c>
      <c r="F343" s="27" t="str">
        <f>IF('Working Sheet'!B520="ITEM",'Working Sheet'!E520,"")</f>
        <v>72</v>
      </c>
      <c r="G343" s="27">
        <f>IF('Working Sheet'!B520="ITEM",'Working Sheet'!F520,"")</f>
        <v>0</v>
      </c>
      <c r="H343" s="27">
        <f>IF('Working Sheet'!B520="ITEM",'Working Sheet'!G520,"")</f>
        <v>0</v>
      </c>
      <c r="I343" s="27">
        <f>IF('Working Sheet'!B520="ITEM",'Working Sheet'!H520,"")</f>
        <v>9.8000000000000004E-2</v>
      </c>
      <c r="J343">
        <f>IF('Working Sheet'!B520="ITEM",'Working Sheet'!I520,"")</f>
        <v>0</v>
      </c>
      <c r="K343">
        <f>IF('Working Sheet'!B520="ITEM",'Working Sheet'!J520,"")</f>
        <v>0</v>
      </c>
      <c r="L343">
        <f>IF('Working Sheet'!B520="ITEM",'Working Sheet'!K520,"")</f>
        <v>3.3592</v>
      </c>
      <c r="M343" s="33">
        <f>IFERROR(Table2[[#This Row],[Value(1000$) 2022]]/Table2[[#This Row],[Volume(1000) 2022]],0)</f>
        <v>0</v>
      </c>
      <c r="N343" s="33">
        <f>IFERROR(Table2[[#This Row],[Value(1000$) 2023]]/Table2[[#This Row],[Volume(1000) 2023]],0)</f>
        <v>0</v>
      </c>
      <c r="O343" s="33">
        <f>IFERROR(Table2[[#This Row],[Value(1000$) 2024]]/Table2[[#This Row],[Volume(1000) 2024]],0)</f>
        <v>2.9173612764944037E-2</v>
      </c>
      <c r="P343" s="33">
        <f>SUM(Table2[[#This Row],[Value(1000$) 2022]:[Value(1000$) 2024]])</f>
        <v>9.8000000000000004E-2</v>
      </c>
      <c r="Q343" s="33">
        <f>SUM(Table2[[#This Row],[Volume(1000) 2022]:[Volume(1000) 2024]])</f>
        <v>3.3592</v>
      </c>
      <c r="R343" s="33">
        <f>AVERAGE(Table2[[#This Row],[Average Price(2022)]:[Average Price(2024)]])</f>
        <v>9.7245375883146783E-3</v>
      </c>
    </row>
    <row r="344" spans="1:18" x14ac:dyDescent="0.3">
      <c r="A344" t="s">
        <v>442</v>
      </c>
      <c r="B344" t="s">
        <v>783</v>
      </c>
      <c r="C344" t="s">
        <v>441</v>
      </c>
      <c r="D344" t="s">
        <v>9</v>
      </c>
      <c r="E344" t="s">
        <v>20</v>
      </c>
      <c r="F344" s="27" t="str">
        <f>IF('Working Sheet'!B523="ITEM",'Working Sheet'!E523,"")</f>
        <v>100</v>
      </c>
      <c r="G344" s="27">
        <f>IF('Working Sheet'!B523="ITEM",'Working Sheet'!F523,"")</f>
        <v>0</v>
      </c>
      <c r="H344" s="27">
        <f>IF('Working Sheet'!B523="ITEM",'Working Sheet'!G523,"")</f>
        <v>0</v>
      </c>
      <c r="I344" s="27">
        <f>IF('Working Sheet'!B523="ITEM",'Working Sheet'!H523,"")</f>
        <v>0</v>
      </c>
      <c r="J344">
        <f>IF('Working Sheet'!B523="ITEM",'Working Sheet'!I523,"")</f>
        <v>0</v>
      </c>
      <c r="K344">
        <f>IF('Working Sheet'!B523="ITEM",'Working Sheet'!J523,"")</f>
        <v>0</v>
      </c>
      <c r="L344">
        <f>IF('Working Sheet'!B523="ITEM",'Working Sheet'!K523,"")</f>
        <v>0</v>
      </c>
      <c r="M344" s="33">
        <f>IFERROR(Table2[[#This Row],[Value(1000$) 2022]]/Table2[[#This Row],[Volume(1000) 2022]],0)</f>
        <v>0</v>
      </c>
      <c r="N344" s="33">
        <f>IFERROR(Table2[[#This Row],[Value(1000$) 2023]]/Table2[[#This Row],[Volume(1000) 2023]],0)</f>
        <v>0</v>
      </c>
      <c r="O344" s="33">
        <f>IFERROR(Table2[[#This Row],[Value(1000$) 2024]]/Table2[[#This Row],[Volume(1000) 2024]],0)</f>
        <v>0</v>
      </c>
      <c r="P344" s="33">
        <f>SUM(Table2[[#This Row],[Value(1000$) 2022]:[Value(1000$) 2024]])</f>
        <v>0</v>
      </c>
      <c r="Q344" s="33">
        <f>SUM(Table2[[#This Row],[Volume(1000) 2022]:[Volume(1000) 2024]])</f>
        <v>0</v>
      </c>
      <c r="R344" s="33">
        <f>AVERAGE(Table2[[#This Row],[Average Price(2022)]:[Average Price(2024)]])</f>
        <v>0</v>
      </c>
    </row>
    <row r="345" spans="1:18" x14ac:dyDescent="0.3">
      <c r="A345" t="s">
        <v>443</v>
      </c>
      <c r="B345" t="s">
        <v>783</v>
      </c>
      <c r="C345" t="s">
        <v>441</v>
      </c>
      <c r="D345" t="s">
        <v>9</v>
      </c>
      <c r="E345" t="s">
        <v>10</v>
      </c>
      <c r="F345" s="27" t="str">
        <f>IF('Working Sheet'!B524="ITEM",'Working Sheet'!E524,"")</f>
        <v>72</v>
      </c>
      <c r="G345" s="27">
        <f>IF('Working Sheet'!B524="ITEM",'Working Sheet'!F524,"")</f>
        <v>0</v>
      </c>
      <c r="H345" s="27">
        <f>IF('Working Sheet'!B524="ITEM",'Working Sheet'!G524,"")</f>
        <v>0.79349999999999998</v>
      </c>
      <c r="I345" s="27">
        <f>IF('Working Sheet'!B524="ITEM",'Working Sheet'!H524,"")</f>
        <v>0.7298</v>
      </c>
      <c r="J345">
        <f>IF('Working Sheet'!B524="ITEM",'Working Sheet'!I524,"")</f>
        <v>0</v>
      </c>
      <c r="K345">
        <f>IF('Working Sheet'!B524="ITEM",'Working Sheet'!J524,"")</f>
        <v>47.268799999999999</v>
      </c>
      <c r="L345">
        <f>IF('Working Sheet'!B524="ITEM",'Working Sheet'!K524,"")</f>
        <v>43.602699999999999</v>
      </c>
      <c r="M345" s="33">
        <f>IFERROR(Table2[[#This Row],[Value(1000$) 2022]]/Table2[[#This Row],[Volume(1000) 2022]],0)</f>
        <v>0</v>
      </c>
      <c r="N345" s="33">
        <f>IFERROR(Table2[[#This Row],[Value(1000$) 2023]]/Table2[[#This Row],[Volume(1000) 2023]],0)</f>
        <v>1.6786971533019668E-2</v>
      </c>
      <c r="O345" s="33">
        <f>IFERROR(Table2[[#This Row],[Value(1000$) 2024]]/Table2[[#This Row],[Volume(1000) 2024]],0)</f>
        <v>1.6737495613803732E-2</v>
      </c>
      <c r="P345" s="33">
        <f>SUM(Table2[[#This Row],[Value(1000$) 2022]:[Value(1000$) 2024]])</f>
        <v>1.5232999999999999</v>
      </c>
      <c r="Q345" s="33">
        <f>SUM(Table2[[#This Row],[Volume(1000) 2022]:[Volume(1000) 2024]])</f>
        <v>90.871499999999997</v>
      </c>
      <c r="R345" s="33">
        <f>AVERAGE(Table2[[#This Row],[Average Price(2022)]:[Average Price(2024)]])</f>
        <v>1.1174822382274468E-2</v>
      </c>
    </row>
    <row r="346" spans="1:18" x14ac:dyDescent="0.3">
      <c r="A346" t="s">
        <v>445</v>
      </c>
      <c r="B346" t="s">
        <v>784</v>
      </c>
      <c r="C346" t="s">
        <v>444</v>
      </c>
      <c r="D346" t="s">
        <v>9</v>
      </c>
      <c r="E346" t="s">
        <v>20</v>
      </c>
      <c r="F346" s="27" t="str">
        <f>IF('Working Sheet'!B527="ITEM",'Working Sheet'!E527,"")</f>
        <v>90</v>
      </c>
      <c r="G346" s="27">
        <f>IF('Working Sheet'!B527="ITEM",'Working Sheet'!F527,"")</f>
        <v>0.36020000000000002</v>
      </c>
      <c r="H346" s="27">
        <f>IF('Working Sheet'!B527="ITEM",'Working Sheet'!G527,"")</f>
        <v>5.21E-2</v>
      </c>
      <c r="I346" s="27">
        <f>IF('Working Sheet'!B527="ITEM",'Working Sheet'!H527,"")</f>
        <v>9.4000000000000004E-3</v>
      </c>
      <c r="J346">
        <f>IF('Working Sheet'!B527="ITEM",'Working Sheet'!I527,"")</f>
        <v>19.065100000000001</v>
      </c>
      <c r="K346">
        <f>IF('Working Sheet'!B527="ITEM",'Working Sheet'!J527,"")</f>
        <v>2.6206</v>
      </c>
      <c r="L346">
        <f>IF('Working Sheet'!B527="ITEM",'Working Sheet'!K527,"")</f>
        <v>0.48</v>
      </c>
      <c r="M346" s="33">
        <f>IFERROR(Table2[[#This Row],[Value(1000$) 2022]]/Table2[[#This Row],[Volume(1000) 2022]],0)</f>
        <v>1.8893160801674264E-2</v>
      </c>
      <c r="N346" s="33">
        <f>IFERROR(Table2[[#This Row],[Value(1000$) 2023]]/Table2[[#This Row],[Volume(1000) 2023]],0)</f>
        <v>1.9880943295428527E-2</v>
      </c>
      <c r="O346" s="33">
        <f>IFERROR(Table2[[#This Row],[Value(1000$) 2024]]/Table2[[#This Row],[Volume(1000) 2024]],0)</f>
        <v>1.9583333333333335E-2</v>
      </c>
      <c r="P346" s="33">
        <f>SUM(Table2[[#This Row],[Value(1000$) 2022]:[Value(1000$) 2024]])</f>
        <v>0.42170000000000002</v>
      </c>
      <c r="Q346" s="33">
        <f>SUM(Table2[[#This Row],[Volume(1000) 2022]:[Volume(1000) 2024]])</f>
        <v>22.165700000000001</v>
      </c>
      <c r="R346" s="33">
        <f>AVERAGE(Table2[[#This Row],[Average Price(2022)]:[Average Price(2024)]])</f>
        <v>1.9452479143478706E-2</v>
      </c>
    </row>
    <row r="347" spans="1:18" x14ac:dyDescent="0.3">
      <c r="A347" t="s">
        <v>447</v>
      </c>
      <c r="B347" t="s">
        <v>785</v>
      </c>
      <c r="C347" t="s">
        <v>446</v>
      </c>
      <c r="D347" t="s">
        <v>9</v>
      </c>
      <c r="E347" t="s">
        <v>20</v>
      </c>
      <c r="F347" s="27" t="str">
        <f>IF('Working Sheet'!B530="ITEM",'Working Sheet'!E530,"")</f>
        <v>80</v>
      </c>
      <c r="G347" s="27">
        <f>IF('Working Sheet'!B530="ITEM",'Working Sheet'!F530,"")</f>
        <v>0</v>
      </c>
      <c r="H347" s="27">
        <f>IF('Working Sheet'!B530="ITEM",'Working Sheet'!G530,"")</f>
        <v>0</v>
      </c>
      <c r="I347" s="27">
        <f>IF('Working Sheet'!B530="ITEM",'Working Sheet'!H530,"")</f>
        <v>2.0999999999999999E-3</v>
      </c>
      <c r="J347">
        <f>IF('Working Sheet'!B530="ITEM",'Working Sheet'!I530,"")</f>
        <v>0</v>
      </c>
      <c r="K347">
        <f>IF('Working Sheet'!B530="ITEM",'Working Sheet'!J530,"")</f>
        <v>0</v>
      </c>
      <c r="L347">
        <f>IF('Working Sheet'!B530="ITEM",'Working Sheet'!K530,"")</f>
        <v>0.17710000000000001</v>
      </c>
      <c r="M347" s="33">
        <f>IFERROR(Table2[[#This Row],[Value(1000$) 2022]]/Table2[[#This Row],[Volume(1000) 2022]],0)</f>
        <v>0</v>
      </c>
      <c r="N347" s="33">
        <f>IFERROR(Table2[[#This Row],[Value(1000$) 2023]]/Table2[[#This Row],[Volume(1000) 2023]],0)</f>
        <v>0</v>
      </c>
      <c r="O347" s="33">
        <f>IFERROR(Table2[[#This Row],[Value(1000$) 2024]]/Table2[[#This Row],[Volume(1000) 2024]],0)</f>
        <v>1.1857707509881422E-2</v>
      </c>
      <c r="P347" s="33">
        <f>SUM(Table2[[#This Row],[Value(1000$) 2022]:[Value(1000$) 2024]])</f>
        <v>2.0999999999999999E-3</v>
      </c>
      <c r="Q347" s="33">
        <f>SUM(Table2[[#This Row],[Volume(1000) 2022]:[Volume(1000) 2024]])</f>
        <v>0.17710000000000001</v>
      </c>
      <c r="R347" s="33">
        <f>AVERAGE(Table2[[#This Row],[Average Price(2022)]:[Average Price(2024)]])</f>
        <v>3.952569169960474E-3</v>
      </c>
    </row>
    <row r="348" spans="1:18" x14ac:dyDescent="0.3">
      <c r="A348" t="s">
        <v>449</v>
      </c>
      <c r="B348" t="s">
        <v>786</v>
      </c>
      <c r="C348" t="s">
        <v>448</v>
      </c>
      <c r="D348" t="s">
        <v>9</v>
      </c>
      <c r="E348" t="s">
        <v>30</v>
      </c>
      <c r="F348" s="27" t="str">
        <f>IF('Working Sheet'!B533="ITEM",'Working Sheet'!E533,"")</f>
        <v>24</v>
      </c>
      <c r="G348" s="27">
        <f>IF('Working Sheet'!B533="ITEM",'Working Sheet'!F533,"")</f>
        <v>1.4545999999999999</v>
      </c>
      <c r="H348" s="27">
        <f>IF('Working Sheet'!B533="ITEM",'Working Sheet'!G533,"")</f>
        <v>0.15629999999999999</v>
      </c>
      <c r="I348" s="27">
        <f>IF('Working Sheet'!B533="ITEM",'Working Sheet'!H533,"")</f>
        <v>5.8099999999999999E-2</v>
      </c>
      <c r="J348">
        <f>IF('Working Sheet'!B533="ITEM",'Working Sheet'!I533,"")</f>
        <v>31.957999999999998</v>
      </c>
      <c r="K348">
        <f>IF('Working Sheet'!B533="ITEM",'Working Sheet'!J533,"")</f>
        <v>3.1030000000000002</v>
      </c>
      <c r="L348">
        <f>IF('Working Sheet'!B533="ITEM",'Working Sheet'!K533,"")</f>
        <v>1.1613</v>
      </c>
      <c r="M348" s="33">
        <f>IFERROR(Table2[[#This Row],[Value(1000$) 2022]]/Table2[[#This Row],[Volume(1000) 2022]],0)</f>
        <v>4.5515989736529192E-2</v>
      </c>
      <c r="N348" s="33">
        <f>IFERROR(Table2[[#This Row],[Value(1000$) 2023]]/Table2[[#This Row],[Volume(1000) 2023]],0)</f>
        <v>5.0370609087979371E-2</v>
      </c>
      <c r="O348" s="33">
        <f>IFERROR(Table2[[#This Row],[Value(1000$) 2024]]/Table2[[#This Row],[Volume(1000) 2024]],0)</f>
        <v>5.0030138637733576E-2</v>
      </c>
      <c r="P348" s="33">
        <f>SUM(Table2[[#This Row],[Value(1000$) 2022]:[Value(1000$) 2024]])</f>
        <v>1.669</v>
      </c>
      <c r="Q348" s="33">
        <f>SUM(Table2[[#This Row],[Volume(1000) 2022]:[Volume(1000) 2024]])</f>
        <v>36.222299999999997</v>
      </c>
      <c r="R348" s="33">
        <f>AVERAGE(Table2[[#This Row],[Average Price(2022)]:[Average Price(2024)]])</f>
        <v>4.8638912487414053E-2</v>
      </c>
    </row>
    <row r="349" spans="1:18" x14ac:dyDescent="0.3">
      <c r="A349" t="s">
        <v>450</v>
      </c>
      <c r="B349" t="s">
        <v>786</v>
      </c>
      <c r="C349" t="s">
        <v>448</v>
      </c>
      <c r="D349" t="s">
        <v>9</v>
      </c>
      <c r="E349" t="s">
        <v>30</v>
      </c>
      <c r="F349" s="27" t="str">
        <f>IF('Working Sheet'!B534="ITEM",'Working Sheet'!E534,"")</f>
        <v>72</v>
      </c>
      <c r="G349" s="27">
        <f>IF('Working Sheet'!B534="ITEM",'Working Sheet'!F534,"")</f>
        <v>0.69610000000000005</v>
      </c>
      <c r="H349" s="27">
        <f>IF('Working Sheet'!B534="ITEM",'Working Sheet'!G534,"")</f>
        <v>0</v>
      </c>
      <c r="I349" s="27">
        <f>IF('Working Sheet'!B534="ITEM",'Working Sheet'!H534,"")</f>
        <v>0</v>
      </c>
      <c r="J349">
        <f>IF('Working Sheet'!B534="ITEM",'Working Sheet'!I534,"")</f>
        <v>23.8918</v>
      </c>
      <c r="K349">
        <f>IF('Working Sheet'!B534="ITEM",'Working Sheet'!J534,"")</f>
        <v>0</v>
      </c>
      <c r="L349">
        <f>IF('Working Sheet'!B534="ITEM",'Working Sheet'!K534,"")</f>
        <v>0</v>
      </c>
      <c r="M349" s="33">
        <f>IFERROR(Table2[[#This Row],[Value(1000$) 2022]]/Table2[[#This Row],[Volume(1000) 2022]],0)</f>
        <v>2.9135519299508621E-2</v>
      </c>
      <c r="N349" s="33">
        <f>IFERROR(Table2[[#This Row],[Value(1000$) 2023]]/Table2[[#This Row],[Volume(1000) 2023]],0)</f>
        <v>0</v>
      </c>
      <c r="O349" s="33">
        <f>IFERROR(Table2[[#This Row],[Value(1000$) 2024]]/Table2[[#This Row],[Volume(1000) 2024]],0)</f>
        <v>0</v>
      </c>
      <c r="P349" s="33">
        <f>SUM(Table2[[#This Row],[Value(1000$) 2022]:[Value(1000$) 2024]])</f>
        <v>0.69610000000000005</v>
      </c>
      <c r="Q349" s="33">
        <f>SUM(Table2[[#This Row],[Volume(1000) 2022]:[Volume(1000) 2024]])</f>
        <v>23.8918</v>
      </c>
      <c r="R349" s="33">
        <f>AVERAGE(Table2[[#This Row],[Average Price(2022)]:[Average Price(2024)]])</f>
        <v>9.7118397665028732E-3</v>
      </c>
    </row>
    <row r="350" spans="1:18" x14ac:dyDescent="0.3">
      <c r="A350" t="s">
        <v>452</v>
      </c>
      <c r="B350" t="s">
        <v>787</v>
      </c>
      <c r="C350" t="s">
        <v>451</v>
      </c>
      <c r="D350" t="s">
        <v>9</v>
      </c>
      <c r="E350" t="s">
        <v>30</v>
      </c>
      <c r="F350" s="27" t="str">
        <f>IF('Working Sheet'!B537="ITEM",'Working Sheet'!E537,"")</f>
        <v>25</v>
      </c>
      <c r="G350" s="27">
        <f>IF('Working Sheet'!B537="ITEM",'Working Sheet'!F537,"")</f>
        <v>0.83640000000000003</v>
      </c>
      <c r="H350" s="27">
        <f>IF('Working Sheet'!B537="ITEM",'Working Sheet'!G537,"")</f>
        <v>0.55679999999999996</v>
      </c>
      <c r="I350" s="27">
        <f>IF('Working Sheet'!B537="ITEM",'Working Sheet'!H537,"")</f>
        <v>0.16950000000000001</v>
      </c>
      <c r="J350">
        <f>IF('Working Sheet'!B537="ITEM",'Working Sheet'!I537,"")</f>
        <v>3.2871000000000001</v>
      </c>
      <c r="K350">
        <f>IF('Working Sheet'!B537="ITEM",'Working Sheet'!J537,"")</f>
        <v>1.9970000000000001</v>
      </c>
      <c r="L350">
        <f>IF('Working Sheet'!B537="ITEM",'Working Sheet'!K537,"")</f>
        <v>0.75749999999999995</v>
      </c>
      <c r="M350" s="33">
        <f>IFERROR(Table2[[#This Row],[Value(1000$) 2022]]/Table2[[#This Row],[Volume(1000) 2022]],0)</f>
        <v>0.25444921055033309</v>
      </c>
      <c r="N350" s="33">
        <f>IFERROR(Table2[[#This Row],[Value(1000$) 2023]]/Table2[[#This Row],[Volume(1000) 2023]],0)</f>
        <v>0.27881822734101147</v>
      </c>
      <c r="O350" s="33">
        <f>IFERROR(Table2[[#This Row],[Value(1000$) 2024]]/Table2[[#This Row],[Volume(1000) 2024]],0)</f>
        <v>0.22376237623762379</v>
      </c>
      <c r="P350" s="33">
        <f>SUM(Table2[[#This Row],[Value(1000$) 2022]:[Value(1000$) 2024]])</f>
        <v>1.5627</v>
      </c>
      <c r="Q350" s="33">
        <f>SUM(Table2[[#This Row],[Volume(1000) 2022]:[Volume(1000) 2024]])</f>
        <v>6.0416000000000007</v>
      </c>
      <c r="R350" s="33">
        <f>AVERAGE(Table2[[#This Row],[Average Price(2022)]:[Average Price(2024)]])</f>
        <v>0.25234327137632279</v>
      </c>
    </row>
    <row r="351" spans="1:18" x14ac:dyDescent="0.3">
      <c r="A351" t="s">
        <v>453</v>
      </c>
      <c r="B351" t="s">
        <v>787</v>
      </c>
      <c r="C351" t="s">
        <v>451</v>
      </c>
      <c r="D351" t="s">
        <v>9</v>
      </c>
      <c r="E351" t="s">
        <v>30</v>
      </c>
      <c r="F351" s="27" t="str">
        <f>IF('Working Sheet'!B538="ITEM",'Working Sheet'!E538,"")</f>
        <v>70</v>
      </c>
      <c r="G351" s="27">
        <f>IF('Working Sheet'!B538="ITEM",'Working Sheet'!F538,"")</f>
        <v>1.8599999999999998E-2</v>
      </c>
      <c r="H351" s="27">
        <f>IF('Working Sheet'!B538="ITEM",'Working Sheet'!G538,"")</f>
        <v>0</v>
      </c>
      <c r="I351" s="27">
        <f>IF('Working Sheet'!B538="ITEM",'Working Sheet'!H538,"")</f>
        <v>0</v>
      </c>
      <c r="J351">
        <f>IF('Working Sheet'!B538="ITEM",'Working Sheet'!I538,"")</f>
        <v>0.14000000000000001</v>
      </c>
      <c r="K351">
        <f>IF('Working Sheet'!B538="ITEM",'Working Sheet'!J538,"")</f>
        <v>0</v>
      </c>
      <c r="L351">
        <f>IF('Working Sheet'!B538="ITEM",'Working Sheet'!K538,"")</f>
        <v>0</v>
      </c>
      <c r="M351" s="33">
        <f>IFERROR(Table2[[#This Row],[Value(1000$) 2022]]/Table2[[#This Row],[Volume(1000) 2022]],0)</f>
        <v>0.13285714285714284</v>
      </c>
      <c r="N351" s="33">
        <f>IFERROR(Table2[[#This Row],[Value(1000$) 2023]]/Table2[[#This Row],[Volume(1000) 2023]],0)</f>
        <v>0</v>
      </c>
      <c r="O351" s="33">
        <f>IFERROR(Table2[[#This Row],[Value(1000$) 2024]]/Table2[[#This Row],[Volume(1000) 2024]],0)</f>
        <v>0</v>
      </c>
      <c r="P351" s="33">
        <f>SUM(Table2[[#This Row],[Value(1000$) 2022]:[Value(1000$) 2024]])</f>
        <v>1.8599999999999998E-2</v>
      </c>
      <c r="Q351" s="33">
        <f>SUM(Table2[[#This Row],[Volume(1000) 2022]:[Volume(1000) 2024]])</f>
        <v>0.14000000000000001</v>
      </c>
      <c r="R351" s="33">
        <f>AVERAGE(Table2[[#This Row],[Average Price(2022)]:[Average Price(2024)]])</f>
        <v>4.4285714285714282E-2</v>
      </c>
    </row>
    <row r="352" spans="1:18" x14ac:dyDescent="0.3">
      <c r="A352" t="s">
        <v>454</v>
      </c>
      <c r="B352" t="s">
        <v>787</v>
      </c>
      <c r="C352" t="s">
        <v>451</v>
      </c>
      <c r="D352" t="s">
        <v>9</v>
      </c>
      <c r="E352" t="s">
        <v>30</v>
      </c>
      <c r="F352" s="27" t="str">
        <f>IF('Working Sheet'!B539="ITEM",'Working Sheet'!E539,"")</f>
        <v>70</v>
      </c>
      <c r="G352" s="27">
        <f>IF('Working Sheet'!B539="ITEM",'Working Sheet'!F539,"")</f>
        <v>0.34599999999999997</v>
      </c>
      <c r="H352" s="27">
        <f>IF('Working Sheet'!B539="ITEM",'Working Sheet'!G539,"")</f>
        <v>0.3881</v>
      </c>
      <c r="I352" s="27">
        <f>IF('Working Sheet'!B539="ITEM",'Working Sheet'!H539,"")</f>
        <v>0.2717</v>
      </c>
      <c r="J352">
        <f>IF('Working Sheet'!B539="ITEM",'Working Sheet'!I539,"")</f>
        <v>2.4157999999999999</v>
      </c>
      <c r="K352">
        <f>IF('Working Sheet'!B539="ITEM",'Working Sheet'!J539,"")</f>
        <v>2.4979</v>
      </c>
      <c r="L352">
        <f>IF('Working Sheet'!B539="ITEM",'Working Sheet'!K539,"")</f>
        <v>1.68</v>
      </c>
      <c r="M352" s="33">
        <f>IFERROR(Table2[[#This Row],[Value(1000$) 2022]]/Table2[[#This Row],[Volume(1000) 2022]],0)</f>
        <v>0.14322377680271545</v>
      </c>
      <c r="N352" s="33">
        <f>IFERROR(Table2[[#This Row],[Value(1000$) 2023]]/Table2[[#This Row],[Volume(1000) 2023]],0)</f>
        <v>0.15537051122943271</v>
      </c>
      <c r="O352" s="33">
        <f>IFERROR(Table2[[#This Row],[Value(1000$) 2024]]/Table2[[#This Row],[Volume(1000) 2024]],0)</f>
        <v>0.16172619047619047</v>
      </c>
      <c r="P352" s="33">
        <f>SUM(Table2[[#This Row],[Value(1000$) 2022]:[Value(1000$) 2024]])</f>
        <v>1.0058</v>
      </c>
      <c r="Q352" s="33">
        <f>SUM(Table2[[#This Row],[Volume(1000) 2022]:[Volume(1000) 2024]])</f>
        <v>6.5937000000000001</v>
      </c>
      <c r="R352" s="33">
        <f>AVERAGE(Table2[[#This Row],[Average Price(2022)]:[Average Price(2024)]])</f>
        <v>0.15344015950277953</v>
      </c>
    </row>
    <row r="353" spans="1:18" x14ac:dyDescent="0.3">
      <c r="A353" t="s">
        <v>455</v>
      </c>
      <c r="B353" t="s">
        <v>787</v>
      </c>
      <c r="C353" t="s">
        <v>451</v>
      </c>
      <c r="D353" t="s">
        <v>9</v>
      </c>
      <c r="E353" t="s">
        <v>30</v>
      </c>
      <c r="F353" s="27" t="str">
        <f>IF('Working Sheet'!B540="ITEM",'Working Sheet'!E540,"")</f>
        <v>70</v>
      </c>
      <c r="G353" s="27">
        <f>IF('Working Sheet'!B540="ITEM",'Working Sheet'!F540,"")</f>
        <v>0.25569999999999998</v>
      </c>
      <c r="H353" s="27">
        <f>IF('Working Sheet'!B540="ITEM",'Working Sheet'!G540,"")</f>
        <v>2.6200000000000001E-2</v>
      </c>
      <c r="I353" s="27">
        <f>IF('Working Sheet'!B540="ITEM",'Working Sheet'!H540,"")</f>
        <v>0</v>
      </c>
      <c r="J353">
        <f>IF('Working Sheet'!B540="ITEM",'Working Sheet'!I540,"")</f>
        <v>2.27</v>
      </c>
      <c r="K353">
        <f>IF('Working Sheet'!B540="ITEM",'Working Sheet'!J540,"")</f>
        <v>0.31</v>
      </c>
      <c r="L353">
        <f>IF('Working Sheet'!B540="ITEM",'Working Sheet'!K540,"")</f>
        <v>0</v>
      </c>
      <c r="M353" s="33">
        <f>IFERROR(Table2[[#This Row],[Value(1000$) 2022]]/Table2[[#This Row],[Volume(1000) 2022]],0)</f>
        <v>0.1126431718061674</v>
      </c>
      <c r="N353" s="33">
        <f>IFERROR(Table2[[#This Row],[Value(1000$) 2023]]/Table2[[#This Row],[Volume(1000) 2023]],0)</f>
        <v>8.4516129032258067E-2</v>
      </c>
      <c r="O353" s="33">
        <f>IFERROR(Table2[[#This Row],[Value(1000$) 2024]]/Table2[[#This Row],[Volume(1000) 2024]],0)</f>
        <v>0</v>
      </c>
      <c r="P353" s="33">
        <f>SUM(Table2[[#This Row],[Value(1000$) 2022]:[Value(1000$) 2024]])</f>
        <v>0.28189999999999998</v>
      </c>
      <c r="Q353" s="33">
        <f>SUM(Table2[[#This Row],[Volume(1000) 2022]:[Volume(1000) 2024]])</f>
        <v>2.58</v>
      </c>
      <c r="R353" s="33">
        <f>AVERAGE(Table2[[#This Row],[Average Price(2022)]:[Average Price(2024)]])</f>
        <v>6.571976694614183E-2</v>
      </c>
    </row>
    <row r="354" spans="1:18" x14ac:dyDescent="0.3">
      <c r="A354" t="s">
        <v>457</v>
      </c>
      <c r="B354" t="s">
        <v>788</v>
      </c>
      <c r="C354" t="s">
        <v>456</v>
      </c>
      <c r="D354" t="s">
        <v>9</v>
      </c>
      <c r="E354" t="s">
        <v>20</v>
      </c>
      <c r="F354" s="27" t="str">
        <f>IF('Working Sheet'!B543="ITEM",'Working Sheet'!E543,"")</f>
        <v>60</v>
      </c>
      <c r="G354" s="27">
        <f>IF('Working Sheet'!B543="ITEM",'Working Sheet'!F543,"")</f>
        <v>4.2514000000000003</v>
      </c>
      <c r="H354" s="27">
        <f>IF('Working Sheet'!B543="ITEM",'Working Sheet'!G543,"")</f>
        <v>9.5349000000000004</v>
      </c>
      <c r="I354" s="27">
        <f>IF('Working Sheet'!B543="ITEM",'Working Sheet'!H543,"")</f>
        <v>4.3247999999999998</v>
      </c>
      <c r="J354">
        <f>IF('Working Sheet'!B543="ITEM",'Working Sheet'!I543,"")</f>
        <v>118.9742</v>
      </c>
      <c r="K354">
        <f>IF('Working Sheet'!B543="ITEM",'Working Sheet'!J543,"")</f>
        <v>264.43900000000002</v>
      </c>
      <c r="L354">
        <f>IF('Working Sheet'!B543="ITEM",'Working Sheet'!K543,"")</f>
        <v>116.2043</v>
      </c>
      <c r="M354" s="33">
        <f>IFERROR(Table2[[#This Row],[Value(1000$) 2022]]/Table2[[#This Row],[Volume(1000) 2022]],0)</f>
        <v>3.5733797747746994E-2</v>
      </c>
      <c r="N354" s="33">
        <f>IFERROR(Table2[[#This Row],[Value(1000$) 2023]]/Table2[[#This Row],[Volume(1000) 2023]],0)</f>
        <v>3.6057086889604031E-2</v>
      </c>
      <c r="O354" s="33">
        <f>IFERROR(Table2[[#This Row],[Value(1000$) 2024]]/Table2[[#This Row],[Volume(1000) 2024]],0)</f>
        <v>3.7217211411281682E-2</v>
      </c>
      <c r="P354" s="33">
        <f>SUM(Table2[[#This Row],[Value(1000$) 2022]:[Value(1000$) 2024]])</f>
        <v>18.1111</v>
      </c>
      <c r="Q354" s="33">
        <f>SUM(Table2[[#This Row],[Volume(1000) 2022]:[Volume(1000) 2024]])</f>
        <v>499.61750000000001</v>
      </c>
      <c r="R354" s="33">
        <f>AVERAGE(Table2[[#This Row],[Average Price(2022)]:[Average Price(2024)]])</f>
        <v>3.6336032016210905E-2</v>
      </c>
    </row>
    <row r="355" spans="1:18" x14ac:dyDescent="0.3">
      <c r="A355" t="s">
        <v>458</v>
      </c>
      <c r="B355" t="s">
        <v>788</v>
      </c>
      <c r="C355" t="s">
        <v>456</v>
      </c>
      <c r="D355" t="s">
        <v>9</v>
      </c>
      <c r="E355" t="s">
        <v>20</v>
      </c>
      <c r="F355" s="27" t="str">
        <f>IF('Working Sheet'!B544="ITEM",'Working Sheet'!E544,"")</f>
        <v>60</v>
      </c>
      <c r="G355" s="27">
        <f>IF('Working Sheet'!B544="ITEM",'Working Sheet'!F544,"")</f>
        <v>0</v>
      </c>
      <c r="H355" s="27">
        <f>IF('Working Sheet'!B544="ITEM",'Working Sheet'!G544,"")</f>
        <v>3.1814</v>
      </c>
      <c r="I355" s="27">
        <f>IF('Working Sheet'!B544="ITEM",'Working Sheet'!H544,"")</f>
        <v>1.8621000000000001</v>
      </c>
      <c r="J355">
        <f>IF('Working Sheet'!B544="ITEM",'Working Sheet'!I544,"")</f>
        <v>0</v>
      </c>
      <c r="K355">
        <f>IF('Working Sheet'!B544="ITEM",'Working Sheet'!J544,"")</f>
        <v>84.536500000000004</v>
      </c>
      <c r="L355">
        <f>IF('Working Sheet'!B544="ITEM",'Working Sheet'!K544,"")</f>
        <v>48.9773</v>
      </c>
      <c r="M355" s="33">
        <f>IFERROR(Table2[[#This Row],[Value(1000$) 2022]]/Table2[[#This Row],[Volume(1000) 2022]],0)</f>
        <v>0</v>
      </c>
      <c r="N355" s="33">
        <f>IFERROR(Table2[[#This Row],[Value(1000$) 2023]]/Table2[[#This Row],[Volume(1000) 2023]],0)</f>
        <v>3.7633448273822548E-2</v>
      </c>
      <c r="O355" s="33">
        <f>IFERROR(Table2[[#This Row],[Value(1000$) 2024]]/Table2[[#This Row],[Volume(1000) 2024]],0)</f>
        <v>3.801965400297689E-2</v>
      </c>
      <c r="P355" s="33">
        <f>SUM(Table2[[#This Row],[Value(1000$) 2022]:[Value(1000$) 2024]])</f>
        <v>5.0434999999999999</v>
      </c>
      <c r="Q355" s="33">
        <f>SUM(Table2[[#This Row],[Volume(1000) 2022]:[Volume(1000) 2024]])</f>
        <v>133.5138</v>
      </c>
      <c r="R355" s="33">
        <f>AVERAGE(Table2[[#This Row],[Average Price(2022)]:[Average Price(2024)]])</f>
        <v>2.5217700758933148E-2</v>
      </c>
    </row>
    <row r="356" spans="1:18" x14ac:dyDescent="0.3">
      <c r="A356" t="s">
        <v>459</v>
      </c>
      <c r="B356" t="s">
        <v>788</v>
      </c>
      <c r="C356" t="s">
        <v>456</v>
      </c>
      <c r="D356" t="s">
        <v>9</v>
      </c>
      <c r="E356" t="s">
        <v>10</v>
      </c>
      <c r="F356" s="27" t="str">
        <f>IF('Working Sheet'!B545="ITEM",'Working Sheet'!E545,"")</f>
        <v>60</v>
      </c>
      <c r="G356" s="27">
        <f>IF('Working Sheet'!B545="ITEM",'Working Sheet'!F545,"")</f>
        <v>9.6434999999999995</v>
      </c>
      <c r="H356" s="27">
        <f>IF('Working Sheet'!B545="ITEM",'Working Sheet'!G545,"")</f>
        <v>0</v>
      </c>
      <c r="I356" s="27">
        <f>IF('Working Sheet'!B545="ITEM",'Working Sheet'!H545,"")</f>
        <v>0</v>
      </c>
      <c r="J356">
        <f>IF('Working Sheet'!B545="ITEM",'Working Sheet'!I545,"")</f>
        <v>280.5643</v>
      </c>
      <c r="K356">
        <f>IF('Working Sheet'!B545="ITEM",'Working Sheet'!J545,"")</f>
        <v>0</v>
      </c>
      <c r="L356">
        <f>IF('Working Sheet'!B545="ITEM",'Working Sheet'!K545,"")</f>
        <v>0</v>
      </c>
      <c r="M356" s="33">
        <f>IFERROR(Table2[[#This Row],[Value(1000$) 2022]]/Table2[[#This Row],[Volume(1000) 2022]],0)</f>
        <v>3.4371799975976981E-2</v>
      </c>
      <c r="N356" s="33">
        <f>IFERROR(Table2[[#This Row],[Value(1000$) 2023]]/Table2[[#This Row],[Volume(1000) 2023]],0)</f>
        <v>0</v>
      </c>
      <c r="O356" s="33">
        <f>IFERROR(Table2[[#This Row],[Value(1000$) 2024]]/Table2[[#This Row],[Volume(1000) 2024]],0)</f>
        <v>0</v>
      </c>
      <c r="P356" s="33">
        <f>SUM(Table2[[#This Row],[Value(1000$) 2022]:[Value(1000$) 2024]])</f>
        <v>9.6434999999999995</v>
      </c>
      <c r="Q356" s="33">
        <f>SUM(Table2[[#This Row],[Volume(1000) 2022]:[Volume(1000) 2024]])</f>
        <v>280.5643</v>
      </c>
      <c r="R356" s="33">
        <f>AVERAGE(Table2[[#This Row],[Average Price(2022)]:[Average Price(2024)]])</f>
        <v>1.1457266658658994E-2</v>
      </c>
    </row>
    <row r="357" spans="1:18" x14ac:dyDescent="0.3">
      <c r="A357" t="s">
        <v>460</v>
      </c>
      <c r="B357" t="s">
        <v>788</v>
      </c>
      <c r="C357" t="s">
        <v>456</v>
      </c>
      <c r="D357" t="s">
        <v>9</v>
      </c>
      <c r="E357" t="s">
        <v>10</v>
      </c>
      <c r="F357" s="27" t="str">
        <f>IF('Working Sheet'!B546="ITEM",'Working Sheet'!E546,"")</f>
        <v>60</v>
      </c>
      <c r="G357" s="27">
        <f>IF('Working Sheet'!B546="ITEM",'Working Sheet'!F546,"")</f>
        <v>12.711499999999999</v>
      </c>
      <c r="H357" s="27">
        <f>IF('Working Sheet'!B546="ITEM",'Working Sheet'!G546,"")</f>
        <v>0</v>
      </c>
      <c r="I357" s="27">
        <f>IF('Working Sheet'!B546="ITEM",'Working Sheet'!H546,"")</f>
        <v>0</v>
      </c>
      <c r="J357">
        <f>IF('Working Sheet'!B546="ITEM",'Working Sheet'!I546,"")</f>
        <v>374.43990000000002</v>
      </c>
      <c r="K357">
        <f>IF('Working Sheet'!B546="ITEM",'Working Sheet'!J546,"")</f>
        <v>0</v>
      </c>
      <c r="L357">
        <f>IF('Working Sheet'!B546="ITEM",'Working Sheet'!K546,"")</f>
        <v>0</v>
      </c>
      <c r="M357" s="33">
        <f>IFERROR(Table2[[#This Row],[Value(1000$) 2022]]/Table2[[#This Row],[Volume(1000) 2022]],0)</f>
        <v>3.3948038123073954E-2</v>
      </c>
      <c r="N357" s="33">
        <f>IFERROR(Table2[[#This Row],[Value(1000$) 2023]]/Table2[[#This Row],[Volume(1000) 2023]],0)</f>
        <v>0</v>
      </c>
      <c r="O357" s="33">
        <f>IFERROR(Table2[[#This Row],[Value(1000$) 2024]]/Table2[[#This Row],[Volume(1000) 2024]],0)</f>
        <v>0</v>
      </c>
      <c r="P357" s="33">
        <f>SUM(Table2[[#This Row],[Value(1000$) 2022]:[Value(1000$) 2024]])</f>
        <v>12.711499999999999</v>
      </c>
      <c r="Q357" s="33">
        <f>SUM(Table2[[#This Row],[Volume(1000) 2022]:[Volume(1000) 2024]])</f>
        <v>374.43990000000002</v>
      </c>
      <c r="R357" s="33">
        <f>AVERAGE(Table2[[#This Row],[Average Price(2022)]:[Average Price(2024)]])</f>
        <v>1.1316012707691317E-2</v>
      </c>
    </row>
    <row r="358" spans="1:18" x14ac:dyDescent="0.3">
      <c r="A358" t="s">
        <v>462</v>
      </c>
      <c r="B358" t="s">
        <v>789</v>
      </c>
      <c r="C358" t="s">
        <v>461</v>
      </c>
      <c r="D358" t="s">
        <v>9</v>
      </c>
      <c r="E358" t="s">
        <v>64</v>
      </c>
      <c r="F358" s="27" t="str">
        <f>IF('Working Sheet'!B549="ITEM",'Working Sheet'!E549,"")</f>
        <v>120</v>
      </c>
      <c r="G358" s="27">
        <f>IF('Working Sheet'!B549="ITEM",'Working Sheet'!F549,"")</f>
        <v>0</v>
      </c>
      <c r="H358" s="27">
        <f>IF('Working Sheet'!B549="ITEM",'Working Sheet'!G549,"")</f>
        <v>0</v>
      </c>
      <c r="I358" s="27">
        <f>IF('Working Sheet'!B549="ITEM",'Working Sheet'!H549,"")</f>
        <v>0.624</v>
      </c>
      <c r="J358">
        <f>IF('Working Sheet'!B549="ITEM",'Working Sheet'!I549,"")</f>
        <v>0</v>
      </c>
      <c r="K358">
        <f>IF('Working Sheet'!B549="ITEM",'Working Sheet'!J549,"")</f>
        <v>0</v>
      </c>
      <c r="L358">
        <f>IF('Working Sheet'!B549="ITEM",'Working Sheet'!K549,"")</f>
        <v>34.035699999999999</v>
      </c>
      <c r="M358" s="33">
        <f>IFERROR(Table2[[#This Row],[Value(1000$) 2022]]/Table2[[#This Row],[Volume(1000) 2022]],0)</f>
        <v>0</v>
      </c>
      <c r="N358" s="33">
        <f>IFERROR(Table2[[#This Row],[Value(1000$) 2023]]/Table2[[#This Row],[Volume(1000) 2023]],0)</f>
        <v>0</v>
      </c>
      <c r="O358" s="33">
        <f>IFERROR(Table2[[#This Row],[Value(1000$) 2024]]/Table2[[#This Row],[Volume(1000) 2024]],0)</f>
        <v>1.8333690801129402E-2</v>
      </c>
      <c r="P358" s="33">
        <f>SUM(Table2[[#This Row],[Value(1000$) 2022]:[Value(1000$) 2024]])</f>
        <v>0.624</v>
      </c>
      <c r="Q358" s="33">
        <f>SUM(Table2[[#This Row],[Volume(1000) 2022]:[Volume(1000) 2024]])</f>
        <v>34.035699999999999</v>
      </c>
      <c r="R358" s="33">
        <f>AVERAGE(Table2[[#This Row],[Average Price(2022)]:[Average Price(2024)]])</f>
        <v>6.1112302670431337E-3</v>
      </c>
    </row>
    <row r="359" spans="1:18" x14ac:dyDescent="0.3">
      <c r="A359" t="s">
        <v>464</v>
      </c>
      <c r="B359" t="s">
        <v>790</v>
      </c>
      <c r="C359" t="s">
        <v>463</v>
      </c>
      <c r="D359" t="s">
        <v>9</v>
      </c>
      <c r="E359" t="s">
        <v>10</v>
      </c>
      <c r="F359" s="27" t="str">
        <f>IF('Working Sheet'!B552="ITEM",'Working Sheet'!E552,"")</f>
        <v>64</v>
      </c>
      <c r="G359" s="27">
        <f>IF('Working Sheet'!B552="ITEM",'Working Sheet'!F552,"")</f>
        <v>192.72300000000001</v>
      </c>
      <c r="H359" s="27">
        <f>IF('Working Sheet'!B552="ITEM",'Working Sheet'!G552,"")</f>
        <v>183.24340000000001</v>
      </c>
      <c r="I359" s="27">
        <f>IF('Working Sheet'!B552="ITEM",'Working Sheet'!H552,"")</f>
        <v>97.209599999999995</v>
      </c>
      <c r="J359">
        <f>IF('Working Sheet'!B552="ITEM",'Working Sheet'!I552,"")</f>
        <v>7900.9691000000003</v>
      </c>
      <c r="K359">
        <f>IF('Working Sheet'!B552="ITEM",'Working Sheet'!J552,"")</f>
        <v>6838.8454000000002</v>
      </c>
      <c r="L359">
        <f>IF('Working Sheet'!B552="ITEM",'Working Sheet'!K552,"")</f>
        <v>3264.5805999999998</v>
      </c>
      <c r="M359" s="33">
        <f>IFERROR(Table2[[#This Row],[Value(1000$) 2022]]/Table2[[#This Row],[Volume(1000) 2022]],0)</f>
        <v>2.4392324227669744E-2</v>
      </c>
      <c r="N359" s="33">
        <f>IFERROR(Table2[[#This Row],[Value(1000$) 2023]]/Table2[[#This Row],[Volume(1000) 2023]],0)</f>
        <v>2.6794493702109425E-2</v>
      </c>
      <c r="O359" s="33">
        <f>IFERROR(Table2[[#This Row],[Value(1000$) 2024]]/Table2[[#This Row],[Volume(1000) 2024]],0)</f>
        <v>2.9777056201338695E-2</v>
      </c>
      <c r="P359" s="33">
        <f>SUM(Table2[[#This Row],[Value(1000$) 2022]:[Value(1000$) 2024]])</f>
        <v>473.17600000000004</v>
      </c>
      <c r="Q359" s="33">
        <f>SUM(Table2[[#This Row],[Volume(1000) 2022]:[Volume(1000) 2024]])</f>
        <v>18004.395100000002</v>
      </c>
      <c r="R359" s="33">
        <f>AVERAGE(Table2[[#This Row],[Average Price(2022)]:[Average Price(2024)]])</f>
        <v>2.6987958043705951E-2</v>
      </c>
    </row>
    <row r="360" spans="1:18" x14ac:dyDescent="0.3">
      <c r="A360" t="s">
        <v>466</v>
      </c>
      <c r="B360" t="s">
        <v>791</v>
      </c>
      <c r="C360" t="s">
        <v>465</v>
      </c>
      <c r="D360" t="s">
        <v>9</v>
      </c>
      <c r="E360" t="s">
        <v>30</v>
      </c>
      <c r="F360" s="27" t="str">
        <f>IF('Working Sheet'!B555="ITEM",'Working Sheet'!E555,"")</f>
        <v>12</v>
      </c>
      <c r="G360" s="27">
        <f>IF('Working Sheet'!B555="ITEM",'Working Sheet'!F555,"")</f>
        <v>6.59E-2</v>
      </c>
      <c r="H360" s="27">
        <f>IF('Working Sheet'!B555="ITEM",'Working Sheet'!G555,"")</f>
        <v>0.95820000000000005</v>
      </c>
      <c r="I360" s="27">
        <f>IF('Working Sheet'!B555="ITEM",'Working Sheet'!H555,"")</f>
        <v>0</v>
      </c>
      <c r="J360">
        <f>IF('Working Sheet'!B555="ITEM",'Working Sheet'!I555,"")</f>
        <v>0.18509999999999999</v>
      </c>
      <c r="K360">
        <f>IF('Working Sheet'!B555="ITEM",'Working Sheet'!J555,"")</f>
        <v>3.0327999999999999</v>
      </c>
      <c r="L360">
        <f>IF('Working Sheet'!B555="ITEM",'Working Sheet'!K555,"")</f>
        <v>0</v>
      </c>
      <c r="M360" s="33">
        <f>IFERROR(Table2[[#This Row],[Value(1000$) 2022]]/Table2[[#This Row],[Volume(1000) 2022]],0)</f>
        <v>0.35602377093462995</v>
      </c>
      <c r="N360" s="33">
        <f>IFERROR(Table2[[#This Row],[Value(1000$) 2023]]/Table2[[#This Row],[Volume(1000) 2023]],0)</f>
        <v>0.315945660775521</v>
      </c>
      <c r="O360" s="33">
        <f>IFERROR(Table2[[#This Row],[Value(1000$) 2024]]/Table2[[#This Row],[Volume(1000) 2024]],0)</f>
        <v>0</v>
      </c>
      <c r="P360" s="33">
        <f>SUM(Table2[[#This Row],[Value(1000$) 2022]:[Value(1000$) 2024]])</f>
        <v>1.0241</v>
      </c>
      <c r="Q360" s="33">
        <f>SUM(Table2[[#This Row],[Volume(1000) 2022]:[Volume(1000) 2024]])</f>
        <v>3.2178999999999998</v>
      </c>
      <c r="R360" s="33">
        <f>AVERAGE(Table2[[#This Row],[Average Price(2022)]:[Average Price(2024)]])</f>
        <v>0.22398981057005032</v>
      </c>
    </row>
    <row r="361" spans="1:18" x14ac:dyDescent="0.3">
      <c r="A361" t="s">
        <v>467</v>
      </c>
      <c r="B361" t="s">
        <v>791</v>
      </c>
      <c r="C361" t="s">
        <v>465</v>
      </c>
      <c r="D361" t="s">
        <v>9</v>
      </c>
      <c r="E361" t="s">
        <v>30</v>
      </c>
      <c r="F361" s="27" t="str">
        <f>IF('Working Sheet'!B556="ITEM",'Working Sheet'!E556,"")</f>
        <v>12</v>
      </c>
      <c r="G361" s="27">
        <f>IF('Working Sheet'!B556="ITEM",'Working Sheet'!F556,"")</f>
        <v>5.1000000000000004E-3</v>
      </c>
      <c r="H361" s="27">
        <f>IF('Working Sheet'!B556="ITEM",'Working Sheet'!G556,"")</f>
        <v>0.40570000000000001</v>
      </c>
      <c r="I361" s="27">
        <f>IF('Working Sheet'!B556="ITEM",'Working Sheet'!H556,"")</f>
        <v>0</v>
      </c>
      <c r="J361">
        <f>IF('Working Sheet'!B556="ITEM",'Working Sheet'!I556,"")</f>
        <v>1.37E-2</v>
      </c>
      <c r="K361">
        <f>IF('Working Sheet'!B556="ITEM",'Working Sheet'!J556,"")</f>
        <v>1.3527</v>
      </c>
      <c r="L361">
        <f>IF('Working Sheet'!B556="ITEM",'Working Sheet'!K556,"")</f>
        <v>0</v>
      </c>
      <c r="M361" s="33">
        <f>IFERROR(Table2[[#This Row],[Value(1000$) 2022]]/Table2[[#This Row],[Volume(1000) 2022]],0)</f>
        <v>0.37226277372262773</v>
      </c>
      <c r="N361" s="33">
        <f>IFERROR(Table2[[#This Row],[Value(1000$) 2023]]/Table2[[#This Row],[Volume(1000) 2023]],0)</f>
        <v>0.29991868115620612</v>
      </c>
      <c r="O361" s="33">
        <f>IFERROR(Table2[[#This Row],[Value(1000$) 2024]]/Table2[[#This Row],[Volume(1000) 2024]],0)</f>
        <v>0</v>
      </c>
      <c r="P361" s="33">
        <f>SUM(Table2[[#This Row],[Value(1000$) 2022]:[Value(1000$) 2024]])</f>
        <v>0.4108</v>
      </c>
      <c r="Q361" s="33">
        <f>SUM(Table2[[#This Row],[Volume(1000) 2022]:[Volume(1000) 2024]])</f>
        <v>1.3664000000000001</v>
      </c>
      <c r="R361" s="33">
        <f>AVERAGE(Table2[[#This Row],[Average Price(2022)]:[Average Price(2024)]])</f>
        <v>0.22406048495961128</v>
      </c>
    </row>
    <row r="362" spans="1:18" x14ac:dyDescent="0.3">
      <c r="A362" t="s">
        <v>468</v>
      </c>
      <c r="B362" t="s">
        <v>791</v>
      </c>
      <c r="C362" t="s">
        <v>465</v>
      </c>
      <c r="D362" t="s">
        <v>9</v>
      </c>
      <c r="E362" t="s">
        <v>30</v>
      </c>
      <c r="F362" s="27" t="str">
        <f>IF('Working Sheet'!B557="ITEM",'Working Sheet'!E557,"")</f>
        <v>12</v>
      </c>
      <c r="G362" s="27">
        <f>IF('Working Sheet'!B557="ITEM",'Working Sheet'!F557,"")</f>
        <v>0.1182</v>
      </c>
      <c r="H362" s="27">
        <f>IF('Working Sheet'!B557="ITEM",'Working Sheet'!G557,"")</f>
        <v>1.0884</v>
      </c>
      <c r="I362" s="27">
        <f>IF('Working Sheet'!B557="ITEM",'Working Sheet'!H557,"")</f>
        <v>0</v>
      </c>
      <c r="J362">
        <f>IF('Working Sheet'!B557="ITEM",'Working Sheet'!I557,"")</f>
        <v>0.31890000000000002</v>
      </c>
      <c r="K362">
        <f>IF('Working Sheet'!B557="ITEM",'Working Sheet'!J557,"")</f>
        <v>3.3033999999999999</v>
      </c>
      <c r="L362">
        <f>IF('Working Sheet'!B557="ITEM",'Working Sheet'!K557,"")</f>
        <v>0</v>
      </c>
      <c r="M362" s="33">
        <f>IFERROR(Table2[[#This Row],[Value(1000$) 2022]]/Table2[[#This Row],[Volume(1000) 2022]],0)</f>
        <v>0.37064910630291625</v>
      </c>
      <c r="N362" s="33">
        <f>IFERROR(Table2[[#This Row],[Value(1000$) 2023]]/Table2[[#This Row],[Volume(1000) 2023]],0)</f>
        <v>0.32947871889568325</v>
      </c>
      <c r="O362" s="33">
        <f>IFERROR(Table2[[#This Row],[Value(1000$) 2024]]/Table2[[#This Row],[Volume(1000) 2024]],0)</f>
        <v>0</v>
      </c>
      <c r="P362" s="33">
        <f>SUM(Table2[[#This Row],[Value(1000$) 2022]:[Value(1000$) 2024]])</f>
        <v>1.2066000000000001</v>
      </c>
      <c r="Q362" s="33">
        <f>SUM(Table2[[#This Row],[Volume(1000) 2022]:[Volume(1000) 2024]])</f>
        <v>3.6223000000000001</v>
      </c>
      <c r="R362" s="33">
        <f>AVERAGE(Table2[[#This Row],[Average Price(2022)]:[Average Price(2024)]])</f>
        <v>0.23337594173286649</v>
      </c>
    </row>
    <row r="363" spans="1:18" x14ac:dyDescent="0.3">
      <c r="A363" t="s">
        <v>469</v>
      </c>
      <c r="B363" t="s">
        <v>791</v>
      </c>
      <c r="C363" t="s">
        <v>465</v>
      </c>
      <c r="D363" t="s">
        <v>9</v>
      </c>
      <c r="E363" t="s">
        <v>64</v>
      </c>
      <c r="F363" s="27" t="str">
        <f>IF('Working Sheet'!B558="ITEM",'Working Sheet'!E558,"")</f>
        <v>12</v>
      </c>
      <c r="G363" s="27">
        <f>IF('Working Sheet'!B558="ITEM",'Working Sheet'!F558,"")</f>
        <v>0.87180000000000002</v>
      </c>
      <c r="H363" s="27">
        <f>IF('Working Sheet'!B558="ITEM",'Working Sheet'!G558,"")</f>
        <v>4.3999999999999997E-2</v>
      </c>
      <c r="I363" s="27">
        <f>IF('Working Sheet'!B558="ITEM",'Working Sheet'!H558,"")</f>
        <v>0</v>
      </c>
      <c r="J363">
        <f>IF('Working Sheet'!B558="ITEM",'Working Sheet'!I558,"")</f>
        <v>8.5823999999999998</v>
      </c>
      <c r="K363">
        <f>IF('Working Sheet'!B558="ITEM",'Working Sheet'!J558,"")</f>
        <v>0.58599999999999997</v>
      </c>
      <c r="L363">
        <f>IF('Working Sheet'!B558="ITEM",'Working Sheet'!K558,"")</f>
        <v>0</v>
      </c>
      <c r="M363" s="33">
        <f>IFERROR(Table2[[#This Row],[Value(1000$) 2022]]/Table2[[#This Row],[Volume(1000) 2022]],0)</f>
        <v>0.10157997762863535</v>
      </c>
      <c r="N363" s="33">
        <f>IFERROR(Table2[[#This Row],[Value(1000$) 2023]]/Table2[[#This Row],[Volume(1000) 2023]],0)</f>
        <v>7.5085324232081918E-2</v>
      </c>
      <c r="O363" s="33">
        <f>IFERROR(Table2[[#This Row],[Value(1000$) 2024]]/Table2[[#This Row],[Volume(1000) 2024]],0)</f>
        <v>0</v>
      </c>
      <c r="P363" s="33">
        <f>SUM(Table2[[#This Row],[Value(1000$) 2022]:[Value(1000$) 2024]])</f>
        <v>0.91580000000000006</v>
      </c>
      <c r="Q363" s="33">
        <f>SUM(Table2[[#This Row],[Volume(1000) 2022]:[Volume(1000) 2024]])</f>
        <v>9.1684000000000001</v>
      </c>
      <c r="R363" s="33">
        <f>AVERAGE(Table2[[#This Row],[Average Price(2022)]:[Average Price(2024)]])</f>
        <v>5.8888433953572426E-2</v>
      </c>
    </row>
    <row r="364" spans="1:18" x14ac:dyDescent="0.3">
      <c r="A364" t="s">
        <v>470</v>
      </c>
      <c r="B364" t="s">
        <v>791</v>
      </c>
      <c r="C364" t="s">
        <v>465</v>
      </c>
      <c r="D364" t="s">
        <v>9</v>
      </c>
      <c r="E364" t="s">
        <v>64</v>
      </c>
      <c r="F364" s="27" t="str">
        <f>IF('Working Sheet'!B559="ITEM",'Working Sheet'!E559,"")</f>
        <v>12</v>
      </c>
      <c r="G364" s="27">
        <f>IF('Working Sheet'!B559="ITEM",'Working Sheet'!F559,"")</f>
        <v>5.4508000000000001</v>
      </c>
      <c r="H364" s="27">
        <f>IF('Working Sheet'!B559="ITEM",'Working Sheet'!G559,"")</f>
        <v>2.1189</v>
      </c>
      <c r="I364" s="27">
        <f>IF('Working Sheet'!B559="ITEM",'Working Sheet'!H559,"")</f>
        <v>0.77749999999999997</v>
      </c>
      <c r="J364">
        <f>IF('Working Sheet'!B559="ITEM",'Working Sheet'!I559,"")</f>
        <v>70.866600000000005</v>
      </c>
      <c r="K364">
        <f>IF('Working Sheet'!B559="ITEM",'Working Sheet'!J559,"")</f>
        <v>26.7118</v>
      </c>
      <c r="L364">
        <f>IF('Working Sheet'!B559="ITEM",'Working Sheet'!K559,"")</f>
        <v>8.9403000000000006</v>
      </c>
      <c r="M364" s="33">
        <f>IFERROR(Table2[[#This Row],[Value(1000$) 2022]]/Table2[[#This Row],[Volume(1000) 2022]],0)</f>
        <v>7.6916347052066833E-2</v>
      </c>
      <c r="N364" s="33">
        <f>IFERROR(Table2[[#This Row],[Value(1000$) 2023]]/Table2[[#This Row],[Volume(1000) 2023]],0)</f>
        <v>7.9324493295098053E-2</v>
      </c>
      <c r="O364" s="33">
        <f>IFERROR(Table2[[#This Row],[Value(1000$) 2024]]/Table2[[#This Row],[Volume(1000) 2024]],0)</f>
        <v>8.6965761775331912E-2</v>
      </c>
      <c r="P364" s="33">
        <f>SUM(Table2[[#This Row],[Value(1000$) 2022]:[Value(1000$) 2024]])</f>
        <v>8.3472000000000008</v>
      </c>
      <c r="Q364" s="33">
        <f>SUM(Table2[[#This Row],[Volume(1000) 2022]:[Volume(1000) 2024]])</f>
        <v>106.5187</v>
      </c>
      <c r="R364" s="33">
        <f>AVERAGE(Table2[[#This Row],[Average Price(2022)]:[Average Price(2024)]])</f>
        <v>8.1068867374165604E-2</v>
      </c>
    </row>
    <row r="365" spans="1:18" x14ac:dyDescent="0.3">
      <c r="A365" t="s">
        <v>471</v>
      </c>
      <c r="B365" t="s">
        <v>791</v>
      </c>
      <c r="C365" t="s">
        <v>465</v>
      </c>
      <c r="D365" t="s">
        <v>9</v>
      </c>
      <c r="E365" t="s">
        <v>64</v>
      </c>
      <c r="F365" s="27" t="str">
        <f>IF('Working Sheet'!B560="ITEM",'Working Sheet'!E560,"")</f>
        <v>12</v>
      </c>
      <c r="G365" s="27">
        <f>IF('Working Sheet'!B560="ITEM",'Working Sheet'!F560,"")</f>
        <v>0</v>
      </c>
      <c r="H365" s="27">
        <f>IF('Working Sheet'!B560="ITEM",'Working Sheet'!G560,"")</f>
        <v>0</v>
      </c>
      <c r="I365" s="27">
        <f>IF('Working Sheet'!B560="ITEM",'Working Sheet'!H560,"")</f>
        <v>0</v>
      </c>
      <c r="J365">
        <f>IF('Working Sheet'!B560="ITEM",'Working Sheet'!I560,"")</f>
        <v>0</v>
      </c>
      <c r="K365">
        <f>IF('Working Sheet'!B560="ITEM",'Working Sheet'!J560,"")</f>
        <v>0</v>
      </c>
      <c r="L365">
        <f>IF('Working Sheet'!B560="ITEM",'Working Sheet'!K560,"")</f>
        <v>0</v>
      </c>
      <c r="M365" s="33">
        <f>IFERROR(Table2[[#This Row],[Value(1000$) 2022]]/Table2[[#This Row],[Volume(1000) 2022]],0)</f>
        <v>0</v>
      </c>
      <c r="N365" s="33">
        <f>IFERROR(Table2[[#This Row],[Value(1000$) 2023]]/Table2[[#This Row],[Volume(1000) 2023]],0)</f>
        <v>0</v>
      </c>
      <c r="O365" s="33">
        <f>IFERROR(Table2[[#This Row],[Value(1000$) 2024]]/Table2[[#This Row],[Volume(1000) 2024]],0)</f>
        <v>0</v>
      </c>
      <c r="P365" s="33">
        <f>SUM(Table2[[#This Row],[Value(1000$) 2022]:[Value(1000$) 2024]])</f>
        <v>0</v>
      </c>
      <c r="Q365" s="33">
        <f>SUM(Table2[[#This Row],[Volume(1000) 2022]:[Volume(1000) 2024]])</f>
        <v>0</v>
      </c>
      <c r="R365" s="33">
        <f>AVERAGE(Table2[[#This Row],[Average Price(2022)]:[Average Price(2024)]])</f>
        <v>0</v>
      </c>
    </row>
    <row r="366" spans="1:18" x14ac:dyDescent="0.3">
      <c r="A366" t="s">
        <v>472</v>
      </c>
      <c r="B366" t="s">
        <v>791</v>
      </c>
      <c r="C366" t="s">
        <v>465</v>
      </c>
      <c r="D366" t="s">
        <v>9</v>
      </c>
      <c r="E366" t="s">
        <v>30</v>
      </c>
      <c r="F366" s="27" t="str">
        <f>IF('Working Sheet'!B561="ITEM",'Working Sheet'!E561,"")</f>
        <v>24</v>
      </c>
      <c r="G366" s="27">
        <f>IF('Working Sheet'!B561="ITEM",'Working Sheet'!F561,"")</f>
        <v>9.06E-2</v>
      </c>
      <c r="H366" s="27">
        <f>IF('Working Sheet'!B561="ITEM",'Working Sheet'!G561,"")</f>
        <v>0</v>
      </c>
      <c r="I366" s="27">
        <f>IF('Working Sheet'!B561="ITEM",'Working Sheet'!H561,"")</f>
        <v>0</v>
      </c>
      <c r="J366">
        <f>IF('Working Sheet'!B561="ITEM",'Working Sheet'!I561,"")</f>
        <v>1.3372999999999999</v>
      </c>
      <c r="K366">
        <f>IF('Working Sheet'!B561="ITEM",'Working Sheet'!J561,"")</f>
        <v>0</v>
      </c>
      <c r="L366">
        <f>IF('Working Sheet'!B561="ITEM",'Working Sheet'!K561,"")</f>
        <v>0</v>
      </c>
      <c r="M366" s="33">
        <f>IFERROR(Table2[[#This Row],[Value(1000$) 2022]]/Table2[[#This Row],[Volume(1000) 2022]],0)</f>
        <v>6.7748448366110825E-2</v>
      </c>
      <c r="N366" s="33">
        <f>IFERROR(Table2[[#This Row],[Value(1000$) 2023]]/Table2[[#This Row],[Volume(1000) 2023]],0)</f>
        <v>0</v>
      </c>
      <c r="O366" s="33">
        <f>IFERROR(Table2[[#This Row],[Value(1000$) 2024]]/Table2[[#This Row],[Volume(1000) 2024]],0)</f>
        <v>0</v>
      </c>
      <c r="P366" s="33">
        <f>SUM(Table2[[#This Row],[Value(1000$) 2022]:[Value(1000$) 2024]])</f>
        <v>9.06E-2</v>
      </c>
      <c r="Q366" s="33">
        <f>SUM(Table2[[#This Row],[Volume(1000) 2022]:[Volume(1000) 2024]])</f>
        <v>1.3372999999999999</v>
      </c>
      <c r="R366" s="33">
        <f>AVERAGE(Table2[[#This Row],[Average Price(2022)]:[Average Price(2024)]])</f>
        <v>2.2582816122036942E-2</v>
      </c>
    </row>
    <row r="367" spans="1:18" x14ac:dyDescent="0.3">
      <c r="A367" t="s">
        <v>473</v>
      </c>
      <c r="B367" t="s">
        <v>791</v>
      </c>
      <c r="C367" t="s">
        <v>465</v>
      </c>
      <c r="D367" t="s">
        <v>9</v>
      </c>
      <c r="E367" t="s">
        <v>10</v>
      </c>
      <c r="F367" s="27" t="str">
        <f>IF('Working Sheet'!B562="ITEM",'Working Sheet'!E562,"")</f>
        <v>37</v>
      </c>
      <c r="G367" s="27">
        <f>IF('Working Sheet'!B562="ITEM",'Working Sheet'!F562,"")</f>
        <v>1.3827</v>
      </c>
      <c r="H367" s="27">
        <f>IF('Working Sheet'!B562="ITEM",'Working Sheet'!G562,"")</f>
        <v>0.7681</v>
      </c>
      <c r="I367" s="27">
        <f>IF('Working Sheet'!B562="ITEM",'Working Sheet'!H562,"")</f>
        <v>2.3199999999999998E-2</v>
      </c>
      <c r="J367">
        <f>IF('Working Sheet'!B562="ITEM",'Working Sheet'!I562,"")</f>
        <v>23.328099999999999</v>
      </c>
      <c r="K367">
        <f>IF('Working Sheet'!B562="ITEM",'Working Sheet'!J562,"")</f>
        <v>13.2523</v>
      </c>
      <c r="L367">
        <f>IF('Working Sheet'!B562="ITEM",'Working Sheet'!K562,"")</f>
        <v>0.52669999999999995</v>
      </c>
      <c r="M367" s="33">
        <f>IFERROR(Table2[[#This Row],[Value(1000$) 2022]]/Table2[[#This Row],[Volume(1000) 2022]],0)</f>
        <v>5.9271865261208589E-2</v>
      </c>
      <c r="N367" s="33">
        <f>IFERROR(Table2[[#This Row],[Value(1000$) 2023]]/Table2[[#This Row],[Volume(1000) 2023]],0)</f>
        <v>5.7959750382952396E-2</v>
      </c>
      <c r="O367" s="33">
        <f>IFERROR(Table2[[#This Row],[Value(1000$) 2024]]/Table2[[#This Row],[Volume(1000) 2024]],0)</f>
        <v>4.4047845073096642E-2</v>
      </c>
      <c r="P367" s="33">
        <f>SUM(Table2[[#This Row],[Value(1000$) 2022]:[Value(1000$) 2024]])</f>
        <v>2.1740000000000004</v>
      </c>
      <c r="Q367" s="33">
        <f>SUM(Table2[[#This Row],[Volume(1000) 2022]:[Volume(1000) 2024]])</f>
        <v>37.107099999999996</v>
      </c>
      <c r="R367" s="33">
        <f>AVERAGE(Table2[[#This Row],[Average Price(2022)]:[Average Price(2024)]])</f>
        <v>5.3759820239085876E-2</v>
      </c>
    </row>
    <row r="368" spans="1:18" x14ac:dyDescent="0.3">
      <c r="A368" t="s">
        <v>475</v>
      </c>
      <c r="B368" t="s">
        <v>791</v>
      </c>
      <c r="C368" t="s">
        <v>465</v>
      </c>
      <c r="D368" t="s">
        <v>9</v>
      </c>
      <c r="E368" t="s">
        <v>30</v>
      </c>
      <c r="F368" s="27" t="str">
        <f>IF('Working Sheet'!B563="ITEM",'Working Sheet'!E563,"")</f>
        <v>48</v>
      </c>
      <c r="G368" s="27">
        <f>IF('Working Sheet'!B563="ITEM",'Working Sheet'!F563,"")</f>
        <v>0</v>
      </c>
      <c r="H368" s="27">
        <f>IF('Working Sheet'!B563="ITEM",'Working Sheet'!G563,"")</f>
        <v>0</v>
      </c>
      <c r="I368" s="27">
        <f>IF('Working Sheet'!B563="ITEM",'Working Sheet'!H563,"")</f>
        <v>20.740400000000001</v>
      </c>
      <c r="J368">
        <f>IF('Working Sheet'!B563="ITEM",'Working Sheet'!I563,"")</f>
        <v>0</v>
      </c>
      <c r="K368">
        <f>IF('Working Sheet'!B563="ITEM",'Working Sheet'!J563,"")</f>
        <v>0</v>
      </c>
      <c r="L368">
        <f>IF('Working Sheet'!B563="ITEM",'Working Sheet'!K563,"")</f>
        <v>310.0301</v>
      </c>
      <c r="M368" s="33">
        <f>IFERROR(Table2[[#This Row],[Value(1000$) 2022]]/Table2[[#This Row],[Volume(1000) 2022]],0)</f>
        <v>0</v>
      </c>
      <c r="N368" s="33">
        <f>IFERROR(Table2[[#This Row],[Value(1000$) 2023]]/Table2[[#This Row],[Volume(1000) 2023]],0)</f>
        <v>0</v>
      </c>
      <c r="O368" s="33">
        <f>IFERROR(Table2[[#This Row],[Value(1000$) 2024]]/Table2[[#This Row],[Volume(1000) 2024]],0)</f>
        <v>6.689802054703721E-2</v>
      </c>
      <c r="P368" s="33">
        <f>SUM(Table2[[#This Row],[Value(1000$) 2022]:[Value(1000$) 2024]])</f>
        <v>20.740400000000001</v>
      </c>
      <c r="Q368" s="33">
        <f>SUM(Table2[[#This Row],[Volume(1000) 2022]:[Volume(1000) 2024]])</f>
        <v>310.0301</v>
      </c>
      <c r="R368" s="33">
        <f>AVERAGE(Table2[[#This Row],[Average Price(2022)]:[Average Price(2024)]])</f>
        <v>2.2299340182345737E-2</v>
      </c>
    </row>
    <row r="369" spans="1:18" x14ac:dyDescent="0.3">
      <c r="A369" t="s">
        <v>477</v>
      </c>
      <c r="B369" t="s">
        <v>791</v>
      </c>
      <c r="C369" t="s">
        <v>465</v>
      </c>
      <c r="D369" t="s">
        <v>9</v>
      </c>
      <c r="E369" t="s">
        <v>30</v>
      </c>
      <c r="F369" s="27" t="str">
        <f>IF('Working Sheet'!B564="ITEM",'Working Sheet'!E564,"")</f>
        <v>48</v>
      </c>
      <c r="G369" s="27">
        <f>IF('Working Sheet'!B564="ITEM",'Working Sheet'!F564,"")</f>
        <v>0</v>
      </c>
      <c r="H369" s="27">
        <f>IF('Working Sheet'!B564="ITEM",'Working Sheet'!G564,"")</f>
        <v>0</v>
      </c>
      <c r="I369" s="27">
        <f>IF('Working Sheet'!B564="ITEM",'Working Sheet'!H564,"")</f>
        <v>1.2435</v>
      </c>
      <c r="J369">
        <f>IF('Working Sheet'!B564="ITEM",'Working Sheet'!I564,"")</f>
        <v>0</v>
      </c>
      <c r="K369">
        <f>IF('Working Sheet'!B564="ITEM",'Working Sheet'!J564,"")</f>
        <v>0</v>
      </c>
      <c r="L369">
        <f>IF('Working Sheet'!B564="ITEM",'Working Sheet'!K564,"")</f>
        <v>17.1813</v>
      </c>
      <c r="M369" s="33">
        <f>IFERROR(Table2[[#This Row],[Value(1000$) 2022]]/Table2[[#This Row],[Volume(1000) 2022]],0)</f>
        <v>0</v>
      </c>
      <c r="N369" s="33">
        <f>IFERROR(Table2[[#This Row],[Value(1000$) 2023]]/Table2[[#This Row],[Volume(1000) 2023]],0)</f>
        <v>0</v>
      </c>
      <c r="O369" s="33">
        <f>IFERROR(Table2[[#This Row],[Value(1000$) 2024]]/Table2[[#This Row],[Volume(1000) 2024]],0)</f>
        <v>7.237519861710115E-2</v>
      </c>
      <c r="P369" s="33">
        <f>SUM(Table2[[#This Row],[Value(1000$) 2022]:[Value(1000$) 2024]])</f>
        <v>1.2435</v>
      </c>
      <c r="Q369" s="33">
        <f>SUM(Table2[[#This Row],[Volume(1000) 2022]:[Volume(1000) 2024]])</f>
        <v>17.1813</v>
      </c>
      <c r="R369" s="33">
        <f>AVERAGE(Table2[[#This Row],[Average Price(2022)]:[Average Price(2024)]])</f>
        <v>2.4125066205700384E-2</v>
      </c>
    </row>
    <row r="370" spans="1:18" x14ac:dyDescent="0.3">
      <c r="A370" t="s">
        <v>478</v>
      </c>
      <c r="B370" t="s">
        <v>791</v>
      </c>
      <c r="C370" t="s">
        <v>465</v>
      </c>
      <c r="D370" t="s">
        <v>9</v>
      </c>
      <c r="E370" t="s">
        <v>30</v>
      </c>
      <c r="F370" s="27" t="str">
        <f>IF('Working Sheet'!B565="ITEM",'Working Sheet'!E565,"")</f>
        <v>48</v>
      </c>
      <c r="G370" s="27">
        <f>IF('Working Sheet'!B565="ITEM",'Working Sheet'!F565,"")</f>
        <v>4.0780000000000003</v>
      </c>
      <c r="H370" s="27">
        <f>IF('Working Sheet'!B565="ITEM",'Working Sheet'!G565,"")</f>
        <v>35.126199999999997</v>
      </c>
      <c r="I370" s="27">
        <f>IF('Working Sheet'!B565="ITEM",'Working Sheet'!H565,"")</f>
        <v>26.273900000000001</v>
      </c>
      <c r="J370">
        <f>IF('Working Sheet'!B565="ITEM",'Working Sheet'!I565,"")</f>
        <v>71.718599999999995</v>
      </c>
      <c r="K370">
        <f>IF('Working Sheet'!B565="ITEM",'Working Sheet'!J565,"")</f>
        <v>592.5693</v>
      </c>
      <c r="L370">
        <f>IF('Working Sheet'!B565="ITEM",'Working Sheet'!K565,"")</f>
        <v>441.30500000000001</v>
      </c>
      <c r="M370" s="33">
        <f>IFERROR(Table2[[#This Row],[Value(1000$) 2022]]/Table2[[#This Row],[Volume(1000) 2022]],0)</f>
        <v>5.6861121103869858E-2</v>
      </c>
      <c r="N370" s="33">
        <f>IFERROR(Table2[[#This Row],[Value(1000$) 2023]]/Table2[[#This Row],[Volume(1000) 2023]],0)</f>
        <v>5.9277792487730969E-2</v>
      </c>
      <c r="O370" s="33">
        <f>IFERROR(Table2[[#This Row],[Value(1000$) 2024]]/Table2[[#This Row],[Volume(1000) 2024]],0)</f>
        <v>5.9536828270697138E-2</v>
      </c>
      <c r="P370" s="33">
        <f>SUM(Table2[[#This Row],[Value(1000$) 2022]:[Value(1000$) 2024]])</f>
        <v>65.478099999999998</v>
      </c>
      <c r="Q370" s="33">
        <f>SUM(Table2[[#This Row],[Volume(1000) 2022]:[Volume(1000) 2024]])</f>
        <v>1105.5929000000001</v>
      </c>
      <c r="R370" s="33">
        <f>AVERAGE(Table2[[#This Row],[Average Price(2022)]:[Average Price(2024)]])</f>
        <v>5.8558580620765993E-2</v>
      </c>
    </row>
    <row r="371" spans="1:18" x14ac:dyDescent="0.3">
      <c r="A371" t="s">
        <v>479</v>
      </c>
      <c r="B371" t="s">
        <v>791</v>
      </c>
      <c r="C371" t="s">
        <v>465</v>
      </c>
      <c r="D371" t="s">
        <v>9</v>
      </c>
      <c r="E371" t="s">
        <v>30</v>
      </c>
      <c r="F371" s="27" t="str">
        <f>IF('Working Sheet'!B566="ITEM",'Working Sheet'!E566,"")</f>
        <v>48</v>
      </c>
      <c r="G371" s="27">
        <f>IF('Working Sheet'!B566="ITEM",'Working Sheet'!F566,"")</f>
        <v>264.06810000000002</v>
      </c>
      <c r="H371" s="27">
        <f>IF('Working Sheet'!B566="ITEM",'Working Sheet'!G566,"")</f>
        <v>329.44319999999999</v>
      </c>
      <c r="I371" s="27">
        <f>IF('Working Sheet'!B566="ITEM",'Working Sheet'!H566,"")</f>
        <v>205.9486</v>
      </c>
      <c r="J371">
        <f>IF('Working Sheet'!B566="ITEM",'Working Sheet'!I566,"")</f>
        <v>3958.0279</v>
      </c>
      <c r="K371">
        <f>IF('Working Sheet'!B566="ITEM",'Working Sheet'!J566,"")</f>
        <v>5113.9928</v>
      </c>
      <c r="L371">
        <f>IF('Working Sheet'!B566="ITEM",'Working Sheet'!K566,"")</f>
        <v>2876.5592000000001</v>
      </c>
      <c r="M371" s="33">
        <f>IFERROR(Table2[[#This Row],[Value(1000$) 2022]]/Table2[[#This Row],[Volume(1000) 2022]],0)</f>
        <v>6.6717089083682304E-2</v>
      </c>
      <c r="N371" s="33">
        <f>IFERROR(Table2[[#This Row],[Value(1000$) 2023]]/Table2[[#This Row],[Volume(1000) 2023]],0)</f>
        <v>6.4419957728528668E-2</v>
      </c>
      <c r="O371" s="33">
        <f>IFERROR(Table2[[#This Row],[Value(1000$) 2024]]/Table2[[#This Row],[Volume(1000) 2024]],0)</f>
        <v>7.1595467251291053E-2</v>
      </c>
      <c r="P371" s="33">
        <f>SUM(Table2[[#This Row],[Value(1000$) 2022]:[Value(1000$) 2024]])</f>
        <v>799.45990000000006</v>
      </c>
      <c r="Q371" s="33">
        <f>SUM(Table2[[#This Row],[Volume(1000) 2022]:[Volume(1000) 2024]])</f>
        <v>11948.579900000001</v>
      </c>
      <c r="R371" s="33">
        <f>AVERAGE(Table2[[#This Row],[Average Price(2022)]:[Average Price(2024)]])</f>
        <v>6.7577504687834009E-2</v>
      </c>
    </row>
    <row r="372" spans="1:18" x14ac:dyDescent="0.3">
      <c r="A372" t="s">
        <v>480</v>
      </c>
      <c r="B372" t="s">
        <v>791</v>
      </c>
      <c r="C372" t="s">
        <v>465</v>
      </c>
      <c r="D372" t="s">
        <v>9</v>
      </c>
      <c r="E372" t="s">
        <v>64</v>
      </c>
      <c r="F372" s="27" t="str">
        <f>IF('Working Sheet'!B567="ITEM",'Working Sheet'!E567,"")</f>
        <v>50</v>
      </c>
      <c r="G372" s="27">
        <f>IF('Working Sheet'!B567="ITEM",'Working Sheet'!F567,"")</f>
        <v>0</v>
      </c>
      <c r="H372" s="27">
        <f>IF('Working Sheet'!B567="ITEM",'Working Sheet'!G567,"")</f>
        <v>0</v>
      </c>
      <c r="I372" s="27">
        <f>IF('Working Sheet'!B567="ITEM",'Working Sheet'!H567,"")</f>
        <v>0</v>
      </c>
      <c r="J372">
        <f>IF('Working Sheet'!B567="ITEM",'Working Sheet'!I567,"")</f>
        <v>0</v>
      </c>
      <c r="K372">
        <f>IF('Working Sheet'!B567="ITEM",'Working Sheet'!J567,"")</f>
        <v>0</v>
      </c>
      <c r="L372">
        <f>IF('Working Sheet'!B567="ITEM",'Working Sheet'!K567,"")</f>
        <v>0</v>
      </c>
      <c r="M372" s="33">
        <f>IFERROR(Table2[[#This Row],[Value(1000$) 2022]]/Table2[[#This Row],[Volume(1000) 2022]],0)</f>
        <v>0</v>
      </c>
      <c r="N372" s="33">
        <f>IFERROR(Table2[[#This Row],[Value(1000$) 2023]]/Table2[[#This Row],[Volume(1000) 2023]],0)</f>
        <v>0</v>
      </c>
      <c r="O372" s="33">
        <f>IFERROR(Table2[[#This Row],[Value(1000$) 2024]]/Table2[[#This Row],[Volume(1000) 2024]],0)</f>
        <v>0</v>
      </c>
      <c r="P372" s="33">
        <f>SUM(Table2[[#This Row],[Value(1000$) 2022]:[Value(1000$) 2024]])</f>
        <v>0</v>
      </c>
      <c r="Q372" s="33">
        <f>SUM(Table2[[#This Row],[Volume(1000) 2022]:[Volume(1000) 2024]])</f>
        <v>0</v>
      </c>
      <c r="R372" s="33">
        <f>AVERAGE(Table2[[#This Row],[Average Price(2022)]:[Average Price(2024)]])</f>
        <v>0</v>
      </c>
    </row>
    <row r="373" spans="1:18" x14ac:dyDescent="0.3">
      <c r="A373" t="s">
        <v>481</v>
      </c>
      <c r="B373" t="s">
        <v>791</v>
      </c>
      <c r="C373" t="s">
        <v>465</v>
      </c>
      <c r="D373" t="s">
        <v>9</v>
      </c>
      <c r="E373" t="s">
        <v>30</v>
      </c>
      <c r="F373" s="27" t="str">
        <f>IF('Working Sheet'!B568="ITEM",'Working Sheet'!E568,"")</f>
        <v>52</v>
      </c>
      <c r="G373" s="27">
        <f>IF('Working Sheet'!B568="ITEM",'Working Sheet'!F568,"")</f>
        <v>8.5046999999999997</v>
      </c>
      <c r="H373" s="27">
        <f>IF('Working Sheet'!B568="ITEM",'Working Sheet'!G568,"")</f>
        <v>12.872299999999999</v>
      </c>
      <c r="I373" s="27">
        <f>IF('Working Sheet'!B568="ITEM",'Working Sheet'!H568,"")</f>
        <v>4.3821000000000003</v>
      </c>
      <c r="J373">
        <f>IF('Working Sheet'!B568="ITEM",'Working Sheet'!I568,"")</f>
        <v>194.4057</v>
      </c>
      <c r="K373">
        <f>IF('Working Sheet'!B568="ITEM",'Working Sheet'!J568,"")</f>
        <v>338.25259999999997</v>
      </c>
      <c r="L373">
        <f>IF('Working Sheet'!B568="ITEM",'Working Sheet'!K568,"")</f>
        <v>110.48520000000001</v>
      </c>
      <c r="M373" s="33">
        <f>IFERROR(Table2[[#This Row],[Value(1000$) 2022]]/Table2[[#This Row],[Volume(1000) 2022]],0)</f>
        <v>4.3747174079772355E-2</v>
      </c>
      <c r="N373" s="33">
        <f>IFERROR(Table2[[#This Row],[Value(1000$) 2023]]/Table2[[#This Row],[Volume(1000) 2023]],0)</f>
        <v>3.8055287675541886E-2</v>
      </c>
      <c r="O373" s="33">
        <f>IFERROR(Table2[[#This Row],[Value(1000$) 2024]]/Table2[[#This Row],[Volume(1000) 2024]],0)</f>
        <v>3.9662325813774151E-2</v>
      </c>
      <c r="P373" s="33">
        <f>SUM(Table2[[#This Row],[Value(1000$) 2022]:[Value(1000$) 2024]])</f>
        <v>25.7591</v>
      </c>
      <c r="Q373" s="33">
        <f>SUM(Table2[[#This Row],[Volume(1000) 2022]:[Volume(1000) 2024]])</f>
        <v>643.1434999999999</v>
      </c>
      <c r="R373" s="33">
        <f>AVERAGE(Table2[[#This Row],[Average Price(2022)]:[Average Price(2024)]])</f>
        <v>4.0488262523029471E-2</v>
      </c>
    </row>
    <row r="374" spans="1:18" x14ac:dyDescent="0.3">
      <c r="A374" t="s">
        <v>482</v>
      </c>
      <c r="B374" t="s">
        <v>791</v>
      </c>
      <c r="C374" t="s">
        <v>465</v>
      </c>
      <c r="D374" t="s">
        <v>9</v>
      </c>
      <c r="E374" t="s">
        <v>30</v>
      </c>
      <c r="F374" s="27" t="str">
        <f>IF('Working Sheet'!B569="ITEM",'Working Sheet'!E569,"")</f>
        <v>52</v>
      </c>
      <c r="G374" s="27">
        <f>IF('Working Sheet'!B569="ITEM",'Working Sheet'!F569,"")</f>
        <v>171.4581</v>
      </c>
      <c r="H374" s="27">
        <f>IF('Working Sheet'!B569="ITEM",'Working Sheet'!G569,"")</f>
        <v>146.56880000000001</v>
      </c>
      <c r="I374" s="27">
        <f>IF('Working Sheet'!B569="ITEM",'Working Sheet'!H569,"")</f>
        <v>94.527100000000004</v>
      </c>
      <c r="J374">
        <f>IF('Working Sheet'!B569="ITEM",'Working Sheet'!I569,"")</f>
        <v>5827.8176999999996</v>
      </c>
      <c r="K374">
        <f>IF('Working Sheet'!B569="ITEM",'Working Sheet'!J569,"")</f>
        <v>5036.4476000000004</v>
      </c>
      <c r="L374">
        <f>IF('Working Sheet'!B569="ITEM",'Working Sheet'!K569,"")</f>
        <v>3121.8564000000001</v>
      </c>
      <c r="M374" s="33">
        <f>IFERROR(Table2[[#This Row],[Value(1000$) 2022]]/Table2[[#This Row],[Volume(1000) 2022]],0)</f>
        <v>2.9420635446438213E-2</v>
      </c>
      <c r="N374" s="33">
        <f>IFERROR(Table2[[#This Row],[Value(1000$) 2023]]/Table2[[#This Row],[Volume(1000) 2023]],0)</f>
        <v>2.9101623136116812E-2</v>
      </c>
      <c r="O374" s="33">
        <f>IFERROR(Table2[[#This Row],[Value(1000$) 2024]]/Table2[[#This Row],[Volume(1000) 2024]],0)</f>
        <v>3.0279131352742555E-2</v>
      </c>
      <c r="P374" s="33">
        <f>SUM(Table2[[#This Row],[Value(1000$) 2022]:[Value(1000$) 2024]])</f>
        <v>412.55400000000003</v>
      </c>
      <c r="Q374" s="33">
        <f>SUM(Table2[[#This Row],[Volume(1000) 2022]:[Volume(1000) 2024]])</f>
        <v>13986.1217</v>
      </c>
      <c r="R374" s="33">
        <f>AVERAGE(Table2[[#This Row],[Average Price(2022)]:[Average Price(2024)]])</f>
        <v>2.960046331176586E-2</v>
      </c>
    </row>
    <row r="375" spans="1:18" x14ac:dyDescent="0.3">
      <c r="A375" t="s">
        <v>483</v>
      </c>
      <c r="B375" t="s">
        <v>791</v>
      </c>
      <c r="C375" t="s">
        <v>465</v>
      </c>
      <c r="D375" t="s">
        <v>9</v>
      </c>
      <c r="E375" t="s">
        <v>30</v>
      </c>
      <c r="F375" s="27" t="str">
        <f>IF('Working Sheet'!B570="ITEM",'Working Sheet'!E570,"")</f>
        <v>52</v>
      </c>
      <c r="G375" s="27">
        <f>IF('Working Sheet'!B570="ITEM",'Working Sheet'!F570,"")</f>
        <v>195.73400000000001</v>
      </c>
      <c r="H375" s="27">
        <f>IF('Working Sheet'!B570="ITEM",'Working Sheet'!G570,"")</f>
        <v>242.5813</v>
      </c>
      <c r="I375" s="27">
        <f>IF('Working Sheet'!B570="ITEM",'Working Sheet'!H570,"")</f>
        <v>163.20820000000001</v>
      </c>
      <c r="J375">
        <f>IF('Working Sheet'!B570="ITEM",'Working Sheet'!I570,"")</f>
        <v>3936.1988000000001</v>
      </c>
      <c r="K375">
        <f>IF('Working Sheet'!B570="ITEM",'Working Sheet'!J570,"")</f>
        <v>5003.2757000000001</v>
      </c>
      <c r="L375">
        <f>IF('Working Sheet'!B570="ITEM",'Working Sheet'!K570,"")</f>
        <v>3062.0891000000001</v>
      </c>
      <c r="M375" s="33">
        <f>IFERROR(Table2[[#This Row],[Value(1000$) 2022]]/Table2[[#This Row],[Volume(1000) 2022]],0)</f>
        <v>4.9726655066304068E-2</v>
      </c>
      <c r="N375" s="33">
        <f>IFERROR(Table2[[#This Row],[Value(1000$) 2023]]/Table2[[#This Row],[Volume(1000) 2023]],0)</f>
        <v>4.8484495867377443E-2</v>
      </c>
      <c r="O375" s="33">
        <f>IFERROR(Table2[[#This Row],[Value(1000$) 2024]]/Table2[[#This Row],[Volume(1000) 2024]],0)</f>
        <v>5.3299624756183613E-2</v>
      </c>
      <c r="P375" s="33">
        <f>SUM(Table2[[#This Row],[Value(1000$) 2022]:[Value(1000$) 2024]])</f>
        <v>601.52350000000001</v>
      </c>
      <c r="Q375" s="33">
        <f>SUM(Table2[[#This Row],[Volume(1000) 2022]:[Volume(1000) 2024]])</f>
        <v>12001.563600000001</v>
      </c>
      <c r="R375" s="33">
        <f>AVERAGE(Table2[[#This Row],[Average Price(2022)]:[Average Price(2024)]])</f>
        <v>5.0503591896621708E-2</v>
      </c>
    </row>
    <row r="376" spans="1:18" x14ac:dyDescent="0.3">
      <c r="A376" t="s">
        <v>484</v>
      </c>
      <c r="B376" t="s">
        <v>791</v>
      </c>
      <c r="C376" t="s">
        <v>465</v>
      </c>
      <c r="D376" t="s">
        <v>9</v>
      </c>
      <c r="E376" t="s">
        <v>30</v>
      </c>
      <c r="F376" s="27" t="str">
        <f>IF('Working Sheet'!B571="ITEM",'Working Sheet'!E571,"")</f>
        <v>52</v>
      </c>
      <c r="G376" s="27">
        <f>IF('Working Sheet'!B571="ITEM",'Working Sheet'!F571,"")</f>
        <v>0.2492</v>
      </c>
      <c r="H376" s="27">
        <f>IF('Working Sheet'!B571="ITEM",'Working Sheet'!G571,"")</f>
        <v>5.8500000000000003E-2</v>
      </c>
      <c r="I376" s="27">
        <f>IF('Working Sheet'!B571="ITEM",'Working Sheet'!H571,"")</f>
        <v>0</v>
      </c>
      <c r="J376">
        <f>IF('Working Sheet'!B571="ITEM",'Working Sheet'!I571,"")</f>
        <v>4.6970000000000001</v>
      </c>
      <c r="K376">
        <f>IF('Working Sheet'!B571="ITEM",'Working Sheet'!J571,"")</f>
        <v>1.1557999999999999</v>
      </c>
      <c r="L376">
        <f>IF('Working Sheet'!B571="ITEM",'Working Sheet'!K571,"")</f>
        <v>0</v>
      </c>
      <c r="M376" s="33">
        <f>IFERROR(Table2[[#This Row],[Value(1000$) 2022]]/Table2[[#This Row],[Volume(1000) 2022]],0)</f>
        <v>5.3055141579731742E-2</v>
      </c>
      <c r="N376" s="33">
        <f>IFERROR(Table2[[#This Row],[Value(1000$) 2023]]/Table2[[#This Row],[Volume(1000) 2023]],0)</f>
        <v>5.0614293130299366E-2</v>
      </c>
      <c r="O376" s="33">
        <f>IFERROR(Table2[[#This Row],[Value(1000$) 2024]]/Table2[[#This Row],[Volume(1000) 2024]],0)</f>
        <v>0</v>
      </c>
      <c r="P376" s="33">
        <f>SUM(Table2[[#This Row],[Value(1000$) 2022]:[Value(1000$) 2024]])</f>
        <v>0.30770000000000003</v>
      </c>
      <c r="Q376" s="33">
        <f>SUM(Table2[[#This Row],[Volume(1000) 2022]:[Volume(1000) 2024]])</f>
        <v>5.8528000000000002</v>
      </c>
      <c r="R376" s="33">
        <f>AVERAGE(Table2[[#This Row],[Average Price(2022)]:[Average Price(2024)]])</f>
        <v>3.4556478236677034E-2</v>
      </c>
    </row>
    <row r="377" spans="1:18" x14ac:dyDescent="0.3">
      <c r="A377" t="s">
        <v>485</v>
      </c>
      <c r="B377" t="s">
        <v>791</v>
      </c>
      <c r="C377" t="s">
        <v>465</v>
      </c>
      <c r="D377" t="s">
        <v>9</v>
      </c>
      <c r="E377" t="s">
        <v>30</v>
      </c>
      <c r="F377" s="27" t="str">
        <f>IF('Working Sheet'!B572="ITEM",'Working Sheet'!E572,"")</f>
        <v>52</v>
      </c>
      <c r="G377" s="27">
        <f>IF('Working Sheet'!B572="ITEM",'Working Sheet'!F572,"")</f>
        <v>0.97950000000000004</v>
      </c>
      <c r="H377" s="27">
        <f>IF('Working Sheet'!B572="ITEM",'Working Sheet'!G572,"")</f>
        <v>0</v>
      </c>
      <c r="I377" s="27">
        <f>IF('Working Sheet'!B572="ITEM",'Working Sheet'!H572,"")</f>
        <v>0</v>
      </c>
      <c r="J377">
        <f>IF('Working Sheet'!B572="ITEM",'Working Sheet'!I572,"")</f>
        <v>23.239000000000001</v>
      </c>
      <c r="K377">
        <f>IF('Working Sheet'!B572="ITEM",'Working Sheet'!J572,"")</f>
        <v>0</v>
      </c>
      <c r="L377">
        <f>IF('Working Sheet'!B572="ITEM",'Working Sheet'!K572,"")</f>
        <v>0</v>
      </c>
      <c r="M377" s="33">
        <f>IFERROR(Table2[[#This Row],[Value(1000$) 2022]]/Table2[[#This Row],[Volume(1000) 2022]],0)</f>
        <v>4.214897370799088E-2</v>
      </c>
      <c r="N377" s="33">
        <f>IFERROR(Table2[[#This Row],[Value(1000$) 2023]]/Table2[[#This Row],[Volume(1000) 2023]],0)</f>
        <v>0</v>
      </c>
      <c r="O377" s="33">
        <f>IFERROR(Table2[[#This Row],[Value(1000$) 2024]]/Table2[[#This Row],[Volume(1000) 2024]],0)</f>
        <v>0</v>
      </c>
      <c r="P377" s="33">
        <f>SUM(Table2[[#This Row],[Value(1000$) 2022]:[Value(1000$) 2024]])</f>
        <v>0.97950000000000004</v>
      </c>
      <c r="Q377" s="33">
        <f>SUM(Table2[[#This Row],[Volume(1000) 2022]:[Volume(1000) 2024]])</f>
        <v>23.239000000000001</v>
      </c>
      <c r="R377" s="33">
        <f>AVERAGE(Table2[[#This Row],[Average Price(2022)]:[Average Price(2024)]])</f>
        <v>1.4049657902663626E-2</v>
      </c>
    </row>
    <row r="378" spans="1:18" x14ac:dyDescent="0.3">
      <c r="A378" t="s">
        <v>486</v>
      </c>
      <c r="B378" t="s">
        <v>791</v>
      </c>
      <c r="C378" t="s">
        <v>465</v>
      </c>
      <c r="D378" t="s">
        <v>9</v>
      </c>
      <c r="E378" t="s">
        <v>30</v>
      </c>
      <c r="F378" s="27" t="str">
        <f>IF('Working Sheet'!B573="ITEM",'Working Sheet'!E573,"")</f>
        <v>52</v>
      </c>
      <c r="G378" s="27">
        <f>IF('Working Sheet'!B573="ITEM",'Working Sheet'!F573,"")</f>
        <v>1.0518000000000001</v>
      </c>
      <c r="H378" s="27">
        <f>IF('Working Sheet'!B573="ITEM",'Working Sheet'!G573,"")</f>
        <v>0</v>
      </c>
      <c r="I378" s="27">
        <f>IF('Working Sheet'!B573="ITEM",'Working Sheet'!H573,"")</f>
        <v>0</v>
      </c>
      <c r="J378">
        <f>IF('Working Sheet'!B573="ITEM",'Working Sheet'!I573,"")</f>
        <v>15.4772</v>
      </c>
      <c r="K378">
        <f>IF('Working Sheet'!B573="ITEM",'Working Sheet'!J573,"")</f>
        <v>0</v>
      </c>
      <c r="L378">
        <f>IF('Working Sheet'!B573="ITEM",'Working Sheet'!K573,"")</f>
        <v>0</v>
      </c>
      <c r="M378" s="33">
        <f>IFERROR(Table2[[#This Row],[Value(1000$) 2022]]/Table2[[#This Row],[Volume(1000) 2022]],0)</f>
        <v>6.7958028583981603E-2</v>
      </c>
      <c r="N378" s="33">
        <f>IFERROR(Table2[[#This Row],[Value(1000$) 2023]]/Table2[[#This Row],[Volume(1000) 2023]],0)</f>
        <v>0</v>
      </c>
      <c r="O378" s="33">
        <f>IFERROR(Table2[[#This Row],[Value(1000$) 2024]]/Table2[[#This Row],[Volume(1000) 2024]],0)</f>
        <v>0</v>
      </c>
      <c r="P378" s="33">
        <f>SUM(Table2[[#This Row],[Value(1000$) 2022]:[Value(1000$) 2024]])</f>
        <v>1.0518000000000001</v>
      </c>
      <c r="Q378" s="33">
        <f>SUM(Table2[[#This Row],[Volume(1000) 2022]:[Volume(1000) 2024]])</f>
        <v>15.4772</v>
      </c>
      <c r="R378" s="33">
        <f>AVERAGE(Table2[[#This Row],[Average Price(2022)]:[Average Price(2024)]])</f>
        <v>2.2652676194660534E-2</v>
      </c>
    </row>
    <row r="379" spans="1:18" x14ac:dyDescent="0.3">
      <c r="A379" t="s">
        <v>487</v>
      </c>
      <c r="B379" t="s">
        <v>791</v>
      </c>
      <c r="C379" t="s">
        <v>465</v>
      </c>
      <c r="D379" t="s">
        <v>9</v>
      </c>
      <c r="E379" t="s">
        <v>30</v>
      </c>
      <c r="F379" s="27" t="str">
        <f>IF('Working Sheet'!B574="ITEM",'Working Sheet'!E574,"")</f>
        <v>52</v>
      </c>
      <c r="G379" s="27">
        <f>IF('Working Sheet'!B574="ITEM",'Working Sheet'!F574,"")</f>
        <v>1.23</v>
      </c>
      <c r="H379" s="27">
        <f>IF('Working Sheet'!B574="ITEM",'Working Sheet'!G574,"")</f>
        <v>5.5100000000000003E-2</v>
      </c>
      <c r="I379" s="27">
        <f>IF('Working Sheet'!B574="ITEM",'Working Sheet'!H574,"")</f>
        <v>0</v>
      </c>
      <c r="J379">
        <f>IF('Working Sheet'!B574="ITEM",'Working Sheet'!I574,"")</f>
        <v>22.518699999999999</v>
      </c>
      <c r="K379">
        <f>IF('Working Sheet'!B574="ITEM",'Working Sheet'!J574,"")</f>
        <v>1.0911</v>
      </c>
      <c r="L379">
        <f>IF('Working Sheet'!B574="ITEM",'Working Sheet'!K574,"")</f>
        <v>0</v>
      </c>
      <c r="M379" s="33">
        <f>IFERROR(Table2[[#This Row],[Value(1000$) 2022]]/Table2[[#This Row],[Volume(1000) 2022]],0)</f>
        <v>5.4621270321999052E-2</v>
      </c>
      <c r="N379" s="33">
        <f>IFERROR(Table2[[#This Row],[Value(1000$) 2023]]/Table2[[#This Row],[Volume(1000) 2023]],0)</f>
        <v>5.0499495921547066E-2</v>
      </c>
      <c r="O379" s="33">
        <f>IFERROR(Table2[[#This Row],[Value(1000$) 2024]]/Table2[[#This Row],[Volume(1000) 2024]],0)</f>
        <v>0</v>
      </c>
      <c r="P379" s="33">
        <f>SUM(Table2[[#This Row],[Value(1000$) 2022]:[Value(1000$) 2024]])</f>
        <v>1.2850999999999999</v>
      </c>
      <c r="Q379" s="33">
        <f>SUM(Table2[[#This Row],[Volume(1000) 2022]:[Volume(1000) 2024]])</f>
        <v>23.6098</v>
      </c>
      <c r="R379" s="33">
        <f>AVERAGE(Table2[[#This Row],[Average Price(2022)]:[Average Price(2024)]])</f>
        <v>3.5040255414515373E-2</v>
      </c>
    </row>
    <row r="380" spans="1:18" x14ac:dyDescent="0.3">
      <c r="A380" t="s">
        <v>488</v>
      </c>
      <c r="B380" t="s">
        <v>791</v>
      </c>
      <c r="C380" t="s">
        <v>465</v>
      </c>
      <c r="D380" t="s">
        <v>9</v>
      </c>
      <c r="E380" t="s">
        <v>30</v>
      </c>
      <c r="F380" s="27" t="str">
        <f>IF('Working Sheet'!B575="ITEM",'Working Sheet'!E575,"")</f>
        <v>52</v>
      </c>
      <c r="G380" s="27">
        <f>IF('Working Sheet'!B575="ITEM",'Working Sheet'!F575,"")</f>
        <v>0.64070000000000005</v>
      </c>
      <c r="H380" s="27">
        <f>IF('Working Sheet'!B575="ITEM",'Working Sheet'!G575,"")</f>
        <v>0</v>
      </c>
      <c r="I380" s="27">
        <f>IF('Working Sheet'!B575="ITEM",'Working Sheet'!H575,"")</f>
        <v>0</v>
      </c>
      <c r="J380">
        <f>IF('Working Sheet'!B575="ITEM",'Working Sheet'!I575,"")</f>
        <v>15.170299999999999</v>
      </c>
      <c r="K380">
        <f>IF('Working Sheet'!B575="ITEM",'Working Sheet'!J575,"")</f>
        <v>0</v>
      </c>
      <c r="L380">
        <f>IF('Working Sheet'!B575="ITEM",'Working Sheet'!K575,"")</f>
        <v>0</v>
      </c>
      <c r="M380" s="33">
        <f>IFERROR(Table2[[#This Row],[Value(1000$) 2022]]/Table2[[#This Row],[Volume(1000) 2022]],0)</f>
        <v>4.2233838487043769E-2</v>
      </c>
      <c r="N380" s="33">
        <f>IFERROR(Table2[[#This Row],[Value(1000$) 2023]]/Table2[[#This Row],[Volume(1000) 2023]],0)</f>
        <v>0</v>
      </c>
      <c r="O380" s="33">
        <f>IFERROR(Table2[[#This Row],[Value(1000$) 2024]]/Table2[[#This Row],[Volume(1000) 2024]],0)</f>
        <v>0</v>
      </c>
      <c r="P380" s="33">
        <f>SUM(Table2[[#This Row],[Value(1000$) 2022]:[Value(1000$) 2024]])</f>
        <v>0.64070000000000005</v>
      </c>
      <c r="Q380" s="33">
        <f>SUM(Table2[[#This Row],[Volume(1000) 2022]:[Volume(1000) 2024]])</f>
        <v>15.170299999999999</v>
      </c>
      <c r="R380" s="33">
        <f>AVERAGE(Table2[[#This Row],[Average Price(2022)]:[Average Price(2024)]])</f>
        <v>1.4077946162347922E-2</v>
      </c>
    </row>
    <row r="381" spans="1:18" x14ac:dyDescent="0.3">
      <c r="A381" t="s">
        <v>489</v>
      </c>
      <c r="B381" t="s">
        <v>791</v>
      </c>
      <c r="C381" t="s">
        <v>465</v>
      </c>
      <c r="D381" t="s">
        <v>9</v>
      </c>
      <c r="E381" t="s">
        <v>30</v>
      </c>
      <c r="F381" s="27" t="str">
        <f>IF('Working Sheet'!B576="ITEM",'Working Sheet'!E576,"")</f>
        <v>52</v>
      </c>
      <c r="G381" s="27">
        <f>IF('Working Sheet'!B576="ITEM",'Working Sheet'!F576,"")</f>
        <v>0.8125</v>
      </c>
      <c r="H381" s="27">
        <f>IF('Working Sheet'!B576="ITEM",'Working Sheet'!G576,"")</f>
        <v>2.2100000000000002E-2</v>
      </c>
      <c r="I381" s="27">
        <f>IF('Working Sheet'!B576="ITEM",'Working Sheet'!H576,"")</f>
        <v>0</v>
      </c>
      <c r="J381">
        <f>IF('Working Sheet'!B576="ITEM",'Working Sheet'!I576,"")</f>
        <v>14.451000000000001</v>
      </c>
      <c r="K381">
        <f>IF('Working Sheet'!B576="ITEM",'Working Sheet'!J576,"")</f>
        <v>0.38290000000000002</v>
      </c>
      <c r="L381">
        <f>IF('Working Sheet'!B576="ITEM",'Working Sheet'!K576,"")</f>
        <v>0</v>
      </c>
      <c r="M381" s="33">
        <f>IFERROR(Table2[[#This Row],[Value(1000$) 2022]]/Table2[[#This Row],[Volume(1000) 2022]],0)</f>
        <v>5.6224482734758836E-2</v>
      </c>
      <c r="N381" s="33">
        <f>IFERROR(Table2[[#This Row],[Value(1000$) 2023]]/Table2[[#This Row],[Volume(1000) 2023]],0)</f>
        <v>5.771741969182554E-2</v>
      </c>
      <c r="O381" s="33">
        <f>IFERROR(Table2[[#This Row],[Value(1000$) 2024]]/Table2[[#This Row],[Volume(1000) 2024]],0)</f>
        <v>0</v>
      </c>
      <c r="P381" s="33">
        <f>SUM(Table2[[#This Row],[Value(1000$) 2022]:[Value(1000$) 2024]])</f>
        <v>0.83460000000000001</v>
      </c>
      <c r="Q381" s="33">
        <f>SUM(Table2[[#This Row],[Volume(1000) 2022]:[Volume(1000) 2024]])</f>
        <v>14.8339</v>
      </c>
      <c r="R381" s="33">
        <f>AVERAGE(Table2[[#This Row],[Average Price(2022)]:[Average Price(2024)]])</f>
        <v>3.798063414219479E-2</v>
      </c>
    </row>
    <row r="382" spans="1:18" x14ac:dyDescent="0.3">
      <c r="A382" t="s">
        <v>490</v>
      </c>
      <c r="B382" t="s">
        <v>791</v>
      </c>
      <c r="C382" t="s">
        <v>465</v>
      </c>
      <c r="D382" t="s">
        <v>9</v>
      </c>
      <c r="E382" t="s">
        <v>30</v>
      </c>
      <c r="F382" s="27" t="str">
        <f>IF('Working Sheet'!B577="ITEM",'Working Sheet'!E577,"")</f>
        <v>52</v>
      </c>
      <c r="G382" s="27">
        <f>IF('Working Sheet'!B577="ITEM",'Working Sheet'!F577,"")</f>
        <v>0.40889999999999999</v>
      </c>
      <c r="H382" s="27">
        <f>IF('Working Sheet'!B577="ITEM",'Working Sheet'!G577,"")</f>
        <v>7.7899999999999997E-2</v>
      </c>
      <c r="I382" s="27">
        <f>IF('Working Sheet'!B577="ITEM",'Working Sheet'!H577,"")</f>
        <v>0</v>
      </c>
      <c r="J382">
        <f>IF('Working Sheet'!B577="ITEM",'Working Sheet'!I577,"")</f>
        <v>9.6999999999999993</v>
      </c>
      <c r="K382">
        <f>IF('Working Sheet'!B577="ITEM",'Working Sheet'!J577,"")</f>
        <v>1.9962</v>
      </c>
      <c r="L382">
        <f>IF('Working Sheet'!B577="ITEM",'Working Sheet'!K577,"")</f>
        <v>0</v>
      </c>
      <c r="M382" s="33">
        <f>IFERROR(Table2[[#This Row],[Value(1000$) 2022]]/Table2[[#This Row],[Volume(1000) 2022]],0)</f>
        <v>4.2154639175257733E-2</v>
      </c>
      <c r="N382" s="33">
        <f>IFERROR(Table2[[#This Row],[Value(1000$) 2023]]/Table2[[#This Row],[Volume(1000) 2023]],0)</f>
        <v>3.9024145877166613E-2</v>
      </c>
      <c r="O382" s="33">
        <f>IFERROR(Table2[[#This Row],[Value(1000$) 2024]]/Table2[[#This Row],[Volume(1000) 2024]],0)</f>
        <v>0</v>
      </c>
      <c r="P382" s="33">
        <f>SUM(Table2[[#This Row],[Value(1000$) 2022]:[Value(1000$) 2024]])</f>
        <v>0.48680000000000001</v>
      </c>
      <c r="Q382" s="33">
        <f>SUM(Table2[[#This Row],[Volume(1000) 2022]:[Volume(1000) 2024]])</f>
        <v>11.696199999999999</v>
      </c>
      <c r="R382" s="33">
        <f>AVERAGE(Table2[[#This Row],[Average Price(2022)]:[Average Price(2024)]])</f>
        <v>2.7059595017474781E-2</v>
      </c>
    </row>
    <row r="383" spans="1:18" x14ac:dyDescent="0.3">
      <c r="A383" t="s">
        <v>491</v>
      </c>
      <c r="B383" t="s">
        <v>791</v>
      </c>
      <c r="C383" t="s">
        <v>465</v>
      </c>
      <c r="D383" t="s">
        <v>9</v>
      </c>
      <c r="E383" t="s">
        <v>30</v>
      </c>
      <c r="F383" s="27" t="str">
        <f>IF('Working Sheet'!B578="ITEM",'Working Sheet'!E578,"")</f>
        <v>52</v>
      </c>
      <c r="G383" s="27">
        <f>IF('Working Sheet'!B578="ITEM",'Working Sheet'!F578,"")</f>
        <v>1.716</v>
      </c>
      <c r="H383" s="27">
        <f>IF('Working Sheet'!B578="ITEM",'Working Sheet'!G578,"")</f>
        <v>0</v>
      </c>
      <c r="I383" s="27">
        <f>IF('Working Sheet'!B578="ITEM",'Working Sheet'!H578,"")</f>
        <v>0</v>
      </c>
      <c r="J383">
        <f>IF('Working Sheet'!B578="ITEM",'Working Sheet'!I578,"")</f>
        <v>43.815600000000003</v>
      </c>
      <c r="K383">
        <f>IF('Working Sheet'!B578="ITEM",'Working Sheet'!J578,"")</f>
        <v>0</v>
      </c>
      <c r="L383">
        <f>IF('Working Sheet'!B578="ITEM",'Working Sheet'!K578,"")</f>
        <v>0</v>
      </c>
      <c r="M383" s="33">
        <f>IFERROR(Table2[[#This Row],[Value(1000$) 2022]]/Table2[[#This Row],[Volume(1000) 2022]],0)</f>
        <v>3.9164133322378329E-2</v>
      </c>
      <c r="N383" s="33">
        <f>IFERROR(Table2[[#This Row],[Value(1000$) 2023]]/Table2[[#This Row],[Volume(1000) 2023]],0)</f>
        <v>0</v>
      </c>
      <c r="O383" s="33">
        <f>IFERROR(Table2[[#This Row],[Value(1000$) 2024]]/Table2[[#This Row],[Volume(1000) 2024]],0)</f>
        <v>0</v>
      </c>
      <c r="P383" s="33">
        <f>SUM(Table2[[#This Row],[Value(1000$) 2022]:[Value(1000$) 2024]])</f>
        <v>1.716</v>
      </c>
      <c r="Q383" s="33">
        <f>SUM(Table2[[#This Row],[Volume(1000) 2022]:[Volume(1000) 2024]])</f>
        <v>43.815600000000003</v>
      </c>
      <c r="R383" s="33">
        <f>AVERAGE(Table2[[#This Row],[Average Price(2022)]:[Average Price(2024)]])</f>
        <v>1.3054711107459442E-2</v>
      </c>
    </row>
    <row r="384" spans="1:18" x14ac:dyDescent="0.3">
      <c r="A384" t="s">
        <v>492</v>
      </c>
      <c r="B384" t="s">
        <v>791</v>
      </c>
      <c r="C384" t="s">
        <v>465</v>
      </c>
      <c r="D384" t="s">
        <v>9</v>
      </c>
      <c r="E384" t="s">
        <v>30</v>
      </c>
      <c r="F384" s="27" t="str">
        <f>IF('Working Sheet'!B579="ITEM",'Working Sheet'!E579,"")</f>
        <v>52</v>
      </c>
      <c r="G384" s="27">
        <f>IF('Working Sheet'!B579="ITEM",'Working Sheet'!F579,"")</f>
        <v>0.17050000000000001</v>
      </c>
      <c r="H384" s="27">
        <f>IF('Working Sheet'!B579="ITEM",'Working Sheet'!G579,"")</f>
        <v>7.7700000000000005E-2</v>
      </c>
      <c r="I384" s="27">
        <f>IF('Working Sheet'!B579="ITEM",'Working Sheet'!H579,"")</f>
        <v>0</v>
      </c>
      <c r="J384">
        <f>IF('Working Sheet'!B579="ITEM",'Working Sheet'!I579,"")</f>
        <v>3.5674000000000001</v>
      </c>
      <c r="K384">
        <f>IF('Working Sheet'!B579="ITEM",'Working Sheet'!J579,"")</f>
        <v>1.7087000000000001</v>
      </c>
      <c r="L384">
        <f>IF('Working Sheet'!B579="ITEM",'Working Sheet'!K579,"")</f>
        <v>0</v>
      </c>
      <c r="M384" s="33">
        <f>IFERROR(Table2[[#This Row],[Value(1000$) 2022]]/Table2[[#This Row],[Volume(1000) 2022]],0)</f>
        <v>4.7793911532208334E-2</v>
      </c>
      <c r="N384" s="33">
        <f>IFERROR(Table2[[#This Row],[Value(1000$) 2023]]/Table2[[#This Row],[Volume(1000) 2023]],0)</f>
        <v>4.5473166734944698E-2</v>
      </c>
      <c r="O384" s="33">
        <f>IFERROR(Table2[[#This Row],[Value(1000$) 2024]]/Table2[[#This Row],[Volume(1000) 2024]],0)</f>
        <v>0</v>
      </c>
      <c r="P384" s="33">
        <f>SUM(Table2[[#This Row],[Value(1000$) 2022]:[Value(1000$) 2024]])</f>
        <v>0.24820000000000003</v>
      </c>
      <c r="Q384" s="33">
        <f>SUM(Table2[[#This Row],[Volume(1000) 2022]:[Volume(1000) 2024]])</f>
        <v>5.2761000000000005</v>
      </c>
      <c r="R384" s="33">
        <f>AVERAGE(Table2[[#This Row],[Average Price(2022)]:[Average Price(2024)]])</f>
        <v>3.1089026089051008E-2</v>
      </c>
    </row>
    <row r="385" spans="1:18" x14ac:dyDescent="0.3">
      <c r="A385" t="s">
        <v>493</v>
      </c>
      <c r="B385" t="s">
        <v>791</v>
      </c>
      <c r="C385" t="s">
        <v>465</v>
      </c>
      <c r="D385" t="s">
        <v>9</v>
      </c>
      <c r="E385" t="s">
        <v>30</v>
      </c>
      <c r="F385" s="27" t="str">
        <f>IF('Working Sheet'!B580="ITEM",'Working Sheet'!E580,"")</f>
        <v>52</v>
      </c>
      <c r="G385" s="27">
        <f>IF('Working Sheet'!B580="ITEM",'Working Sheet'!F580,"")</f>
        <v>1.5501</v>
      </c>
      <c r="H385" s="27">
        <f>IF('Working Sheet'!B580="ITEM",'Working Sheet'!G580,"")</f>
        <v>0.42659999999999998</v>
      </c>
      <c r="I385" s="27">
        <f>IF('Working Sheet'!B580="ITEM",'Working Sheet'!H580,"")</f>
        <v>0.12859999999999999</v>
      </c>
      <c r="J385">
        <f>IF('Working Sheet'!B580="ITEM",'Working Sheet'!I580,"")</f>
        <v>28.959800000000001</v>
      </c>
      <c r="K385">
        <f>IF('Working Sheet'!B580="ITEM",'Working Sheet'!J580,"")</f>
        <v>8.7736999999999998</v>
      </c>
      <c r="L385">
        <f>IF('Working Sheet'!B580="ITEM",'Working Sheet'!K580,"")</f>
        <v>2.5320999999999998</v>
      </c>
      <c r="M385" s="33">
        <f>IFERROR(Table2[[#This Row],[Value(1000$) 2022]]/Table2[[#This Row],[Volume(1000) 2022]],0)</f>
        <v>5.3525922140346273E-2</v>
      </c>
      <c r="N385" s="33">
        <f>IFERROR(Table2[[#This Row],[Value(1000$) 2023]]/Table2[[#This Row],[Volume(1000) 2023]],0)</f>
        <v>4.8622587961749321E-2</v>
      </c>
      <c r="O385" s="33">
        <f>IFERROR(Table2[[#This Row],[Value(1000$) 2024]]/Table2[[#This Row],[Volume(1000) 2024]],0)</f>
        <v>5.0787883574898308E-2</v>
      </c>
      <c r="P385" s="33">
        <f>SUM(Table2[[#This Row],[Value(1000$) 2022]:[Value(1000$) 2024]])</f>
        <v>2.1053000000000002</v>
      </c>
      <c r="Q385" s="33">
        <f>SUM(Table2[[#This Row],[Volume(1000) 2022]:[Volume(1000) 2024]])</f>
        <v>40.265599999999999</v>
      </c>
      <c r="R385" s="33">
        <f>AVERAGE(Table2[[#This Row],[Average Price(2022)]:[Average Price(2024)]])</f>
        <v>5.0978797892331305E-2</v>
      </c>
    </row>
    <row r="386" spans="1:18" x14ac:dyDescent="0.3">
      <c r="A386" t="s">
        <v>494</v>
      </c>
      <c r="B386" t="s">
        <v>791</v>
      </c>
      <c r="C386" t="s">
        <v>465</v>
      </c>
      <c r="D386" t="s">
        <v>9</v>
      </c>
      <c r="E386" t="s">
        <v>30</v>
      </c>
      <c r="F386" s="27" t="str">
        <f>IF('Working Sheet'!B581="ITEM",'Working Sheet'!E581,"")</f>
        <v>52</v>
      </c>
      <c r="G386" s="27">
        <f>IF('Working Sheet'!B581="ITEM",'Working Sheet'!F581,"")</f>
        <v>0.83640000000000003</v>
      </c>
      <c r="H386" s="27">
        <f>IF('Working Sheet'!B581="ITEM",'Working Sheet'!G581,"")</f>
        <v>0.51139999999999997</v>
      </c>
      <c r="I386" s="27">
        <f>IF('Working Sheet'!B581="ITEM",'Working Sheet'!H581,"")</f>
        <v>0</v>
      </c>
      <c r="J386">
        <f>IF('Working Sheet'!B581="ITEM",'Working Sheet'!I581,"")</f>
        <v>18.6389</v>
      </c>
      <c r="K386">
        <f>IF('Working Sheet'!B581="ITEM",'Working Sheet'!J581,"")</f>
        <v>9.5508000000000006</v>
      </c>
      <c r="L386">
        <f>IF('Working Sheet'!B581="ITEM",'Working Sheet'!K581,"")</f>
        <v>0</v>
      </c>
      <c r="M386" s="33">
        <f>IFERROR(Table2[[#This Row],[Value(1000$) 2022]]/Table2[[#This Row],[Volume(1000) 2022]],0)</f>
        <v>4.4873892772642164E-2</v>
      </c>
      <c r="N386" s="33">
        <f>IFERROR(Table2[[#This Row],[Value(1000$) 2023]]/Table2[[#This Row],[Volume(1000) 2023]],0)</f>
        <v>5.3545252753696017E-2</v>
      </c>
      <c r="O386" s="33">
        <f>IFERROR(Table2[[#This Row],[Value(1000$) 2024]]/Table2[[#This Row],[Volume(1000) 2024]],0)</f>
        <v>0</v>
      </c>
      <c r="P386" s="33">
        <f>SUM(Table2[[#This Row],[Value(1000$) 2022]:[Value(1000$) 2024]])</f>
        <v>1.3477999999999999</v>
      </c>
      <c r="Q386" s="33">
        <f>SUM(Table2[[#This Row],[Volume(1000) 2022]:[Volume(1000) 2024]])</f>
        <v>28.189700000000002</v>
      </c>
      <c r="R386" s="33">
        <f>AVERAGE(Table2[[#This Row],[Average Price(2022)]:[Average Price(2024)]])</f>
        <v>3.2806381842112729E-2</v>
      </c>
    </row>
    <row r="387" spans="1:18" x14ac:dyDescent="0.3">
      <c r="A387" t="s">
        <v>495</v>
      </c>
      <c r="B387" t="s">
        <v>791</v>
      </c>
      <c r="C387" t="s">
        <v>465</v>
      </c>
      <c r="D387" t="s">
        <v>9</v>
      </c>
      <c r="E387" t="s">
        <v>30</v>
      </c>
      <c r="F387" s="27" t="str">
        <f>IF('Working Sheet'!B582="ITEM",'Working Sheet'!E582,"")</f>
        <v>52</v>
      </c>
      <c r="G387" s="27">
        <f>IF('Working Sheet'!B582="ITEM",'Working Sheet'!F582,"")</f>
        <v>0.72089999999999999</v>
      </c>
      <c r="H387" s="27">
        <f>IF('Working Sheet'!B582="ITEM",'Working Sheet'!G582,"")</f>
        <v>0</v>
      </c>
      <c r="I387" s="27">
        <f>IF('Working Sheet'!B582="ITEM",'Working Sheet'!H582,"")</f>
        <v>0</v>
      </c>
      <c r="J387">
        <f>IF('Working Sheet'!B582="ITEM",'Working Sheet'!I582,"")</f>
        <v>9.8262</v>
      </c>
      <c r="K387">
        <f>IF('Working Sheet'!B582="ITEM",'Working Sheet'!J582,"")</f>
        <v>0</v>
      </c>
      <c r="L387">
        <f>IF('Working Sheet'!B582="ITEM",'Working Sheet'!K582,"")</f>
        <v>0</v>
      </c>
      <c r="M387" s="33">
        <f>IFERROR(Table2[[#This Row],[Value(1000$) 2022]]/Table2[[#This Row],[Volume(1000) 2022]],0)</f>
        <v>7.3365085180435982E-2</v>
      </c>
      <c r="N387" s="33">
        <f>IFERROR(Table2[[#This Row],[Value(1000$) 2023]]/Table2[[#This Row],[Volume(1000) 2023]],0)</f>
        <v>0</v>
      </c>
      <c r="O387" s="33">
        <f>IFERROR(Table2[[#This Row],[Value(1000$) 2024]]/Table2[[#This Row],[Volume(1000) 2024]],0)</f>
        <v>0</v>
      </c>
      <c r="P387" s="33">
        <f>SUM(Table2[[#This Row],[Value(1000$) 2022]:[Value(1000$) 2024]])</f>
        <v>0.72089999999999999</v>
      </c>
      <c r="Q387" s="33">
        <f>SUM(Table2[[#This Row],[Volume(1000) 2022]:[Volume(1000) 2024]])</f>
        <v>9.8262</v>
      </c>
      <c r="R387" s="33">
        <f>AVERAGE(Table2[[#This Row],[Average Price(2022)]:[Average Price(2024)]])</f>
        <v>2.445502839347866E-2</v>
      </c>
    </row>
    <row r="388" spans="1:18" x14ac:dyDescent="0.3">
      <c r="A388" t="s">
        <v>496</v>
      </c>
      <c r="B388" t="s">
        <v>791</v>
      </c>
      <c r="C388" t="s">
        <v>465</v>
      </c>
      <c r="D388" t="s">
        <v>9</v>
      </c>
      <c r="E388" t="s">
        <v>30</v>
      </c>
      <c r="F388" s="27" t="str">
        <f>IF('Working Sheet'!B583="ITEM",'Working Sheet'!E583,"")</f>
        <v>52</v>
      </c>
      <c r="G388" s="27">
        <f>IF('Working Sheet'!B583="ITEM",'Working Sheet'!F583,"")</f>
        <v>0.48470000000000002</v>
      </c>
      <c r="H388" s="27">
        <f>IF('Working Sheet'!B583="ITEM",'Working Sheet'!G583,"")</f>
        <v>0</v>
      </c>
      <c r="I388" s="27">
        <f>IF('Working Sheet'!B583="ITEM",'Working Sheet'!H583,"")</f>
        <v>0</v>
      </c>
      <c r="J388">
        <f>IF('Working Sheet'!B583="ITEM",'Working Sheet'!I583,"")</f>
        <v>10.088699999999999</v>
      </c>
      <c r="K388">
        <f>IF('Working Sheet'!B583="ITEM",'Working Sheet'!J583,"")</f>
        <v>0</v>
      </c>
      <c r="L388">
        <f>IF('Working Sheet'!B583="ITEM",'Working Sheet'!K583,"")</f>
        <v>0</v>
      </c>
      <c r="M388" s="33">
        <f>IFERROR(Table2[[#This Row],[Value(1000$) 2022]]/Table2[[#This Row],[Volume(1000) 2022]],0)</f>
        <v>4.8043851041263991E-2</v>
      </c>
      <c r="N388" s="33">
        <f>IFERROR(Table2[[#This Row],[Value(1000$) 2023]]/Table2[[#This Row],[Volume(1000) 2023]],0)</f>
        <v>0</v>
      </c>
      <c r="O388" s="33">
        <f>IFERROR(Table2[[#This Row],[Value(1000$) 2024]]/Table2[[#This Row],[Volume(1000) 2024]],0)</f>
        <v>0</v>
      </c>
      <c r="P388" s="33">
        <f>SUM(Table2[[#This Row],[Value(1000$) 2022]:[Value(1000$) 2024]])</f>
        <v>0.48470000000000002</v>
      </c>
      <c r="Q388" s="33">
        <f>SUM(Table2[[#This Row],[Volume(1000) 2022]:[Volume(1000) 2024]])</f>
        <v>10.088699999999999</v>
      </c>
      <c r="R388" s="33">
        <f>AVERAGE(Table2[[#This Row],[Average Price(2022)]:[Average Price(2024)]])</f>
        <v>1.6014617013754662E-2</v>
      </c>
    </row>
    <row r="389" spans="1:18" x14ac:dyDescent="0.3">
      <c r="A389" t="s">
        <v>497</v>
      </c>
      <c r="B389" t="s">
        <v>791</v>
      </c>
      <c r="C389" t="s">
        <v>465</v>
      </c>
      <c r="D389" t="s">
        <v>9</v>
      </c>
      <c r="E389" t="s">
        <v>30</v>
      </c>
      <c r="F389" s="27" t="str">
        <f>IF('Working Sheet'!B584="ITEM",'Working Sheet'!E584,"")</f>
        <v>52</v>
      </c>
      <c r="G389" s="27">
        <f>IF('Working Sheet'!B584="ITEM",'Working Sheet'!F584,"")</f>
        <v>1.3634999999999999</v>
      </c>
      <c r="H389" s="27">
        <f>IF('Working Sheet'!B584="ITEM",'Working Sheet'!G584,"")</f>
        <v>2.1999999999999999E-2</v>
      </c>
      <c r="I389" s="27">
        <f>IF('Working Sheet'!B584="ITEM",'Working Sheet'!H584,"")</f>
        <v>0</v>
      </c>
      <c r="J389">
        <f>IF('Working Sheet'!B584="ITEM",'Working Sheet'!I584,"")</f>
        <v>21.971299999999999</v>
      </c>
      <c r="K389">
        <f>IF('Working Sheet'!B584="ITEM",'Working Sheet'!J584,"")</f>
        <v>0.34660000000000002</v>
      </c>
      <c r="L389">
        <f>IF('Working Sheet'!B584="ITEM",'Working Sheet'!K584,"")</f>
        <v>0</v>
      </c>
      <c r="M389" s="33">
        <f>IFERROR(Table2[[#This Row],[Value(1000$) 2022]]/Table2[[#This Row],[Volume(1000) 2022]],0)</f>
        <v>6.2058230509801422E-2</v>
      </c>
      <c r="N389" s="33">
        <f>IFERROR(Table2[[#This Row],[Value(1000$) 2023]]/Table2[[#This Row],[Volume(1000) 2023]],0)</f>
        <v>6.3473744950952093E-2</v>
      </c>
      <c r="O389" s="33">
        <f>IFERROR(Table2[[#This Row],[Value(1000$) 2024]]/Table2[[#This Row],[Volume(1000) 2024]],0)</f>
        <v>0</v>
      </c>
      <c r="P389" s="33">
        <f>SUM(Table2[[#This Row],[Value(1000$) 2022]:[Value(1000$) 2024]])</f>
        <v>1.3855</v>
      </c>
      <c r="Q389" s="33">
        <f>SUM(Table2[[#This Row],[Volume(1000) 2022]:[Volume(1000) 2024]])</f>
        <v>22.317899999999998</v>
      </c>
      <c r="R389" s="33">
        <f>AVERAGE(Table2[[#This Row],[Average Price(2022)]:[Average Price(2024)]])</f>
        <v>4.184399182025117E-2</v>
      </c>
    </row>
    <row r="390" spans="1:18" x14ac:dyDescent="0.3">
      <c r="A390" t="s">
        <v>498</v>
      </c>
      <c r="B390" t="s">
        <v>791</v>
      </c>
      <c r="C390" t="s">
        <v>465</v>
      </c>
      <c r="D390" t="s">
        <v>9</v>
      </c>
      <c r="E390" t="s">
        <v>30</v>
      </c>
      <c r="F390" s="27" t="str">
        <f>IF('Working Sheet'!B585="ITEM",'Working Sheet'!E585,"")</f>
        <v>52</v>
      </c>
      <c r="G390" s="27">
        <f>IF('Working Sheet'!B585="ITEM",'Working Sheet'!F585,"")</f>
        <v>0.2001</v>
      </c>
      <c r="H390" s="27">
        <f>IF('Working Sheet'!B585="ITEM",'Working Sheet'!G585,"")</f>
        <v>0</v>
      </c>
      <c r="I390" s="27">
        <f>IF('Working Sheet'!B585="ITEM",'Working Sheet'!H585,"")</f>
        <v>0</v>
      </c>
      <c r="J390">
        <f>IF('Working Sheet'!B585="ITEM",'Working Sheet'!I585,"")</f>
        <v>3.1530999999999998</v>
      </c>
      <c r="K390">
        <f>IF('Working Sheet'!B585="ITEM",'Working Sheet'!J585,"")</f>
        <v>0</v>
      </c>
      <c r="L390">
        <f>IF('Working Sheet'!B585="ITEM",'Working Sheet'!K585,"")</f>
        <v>0</v>
      </c>
      <c r="M390" s="33">
        <f>IFERROR(Table2[[#This Row],[Value(1000$) 2022]]/Table2[[#This Row],[Volume(1000) 2022]],0)</f>
        <v>6.3461355491421151E-2</v>
      </c>
      <c r="N390" s="33">
        <f>IFERROR(Table2[[#This Row],[Value(1000$) 2023]]/Table2[[#This Row],[Volume(1000) 2023]],0)</f>
        <v>0</v>
      </c>
      <c r="O390" s="33">
        <f>IFERROR(Table2[[#This Row],[Value(1000$) 2024]]/Table2[[#This Row],[Volume(1000) 2024]],0)</f>
        <v>0</v>
      </c>
      <c r="P390" s="33">
        <f>SUM(Table2[[#This Row],[Value(1000$) 2022]:[Value(1000$) 2024]])</f>
        <v>0.2001</v>
      </c>
      <c r="Q390" s="33">
        <f>SUM(Table2[[#This Row],[Volume(1000) 2022]:[Volume(1000) 2024]])</f>
        <v>3.1530999999999998</v>
      </c>
      <c r="R390" s="33">
        <f>AVERAGE(Table2[[#This Row],[Average Price(2022)]:[Average Price(2024)]])</f>
        <v>2.1153785163807049E-2</v>
      </c>
    </row>
    <row r="391" spans="1:18" x14ac:dyDescent="0.3">
      <c r="A391" t="s">
        <v>499</v>
      </c>
      <c r="B391" t="s">
        <v>791</v>
      </c>
      <c r="C391" t="s">
        <v>465</v>
      </c>
      <c r="D391" t="s">
        <v>9</v>
      </c>
      <c r="E391" t="s">
        <v>30</v>
      </c>
      <c r="F391" s="27" t="str">
        <f>IF('Working Sheet'!B586="ITEM",'Working Sheet'!E586,"")</f>
        <v>52</v>
      </c>
      <c r="G391" s="27">
        <f>IF('Working Sheet'!B586="ITEM",'Working Sheet'!F586,"")</f>
        <v>0.30409999999999998</v>
      </c>
      <c r="H391" s="27">
        <f>IF('Working Sheet'!B586="ITEM",'Working Sheet'!G586,"")</f>
        <v>0</v>
      </c>
      <c r="I391" s="27">
        <f>IF('Working Sheet'!B586="ITEM",'Working Sheet'!H586,"")</f>
        <v>0</v>
      </c>
      <c r="J391">
        <f>IF('Working Sheet'!B586="ITEM",'Working Sheet'!I586,"")</f>
        <v>4.4311999999999996</v>
      </c>
      <c r="K391">
        <f>IF('Working Sheet'!B586="ITEM",'Working Sheet'!J586,"")</f>
        <v>0</v>
      </c>
      <c r="L391">
        <f>IF('Working Sheet'!B586="ITEM",'Working Sheet'!K586,"")</f>
        <v>0</v>
      </c>
      <c r="M391" s="33">
        <f>IFERROR(Table2[[#This Row],[Value(1000$) 2022]]/Table2[[#This Row],[Volume(1000) 2022]],0)</f>
        <v>6.8627008485286162E-2</v>
      </c>
      <c r="N391" s="33">
        <f>IFERROR(Table2[[#This Row],[Value(1000$) 2023]]/Table2[[#This Row],[Volume(1000) 2023]],0)</f>
        <v>0</v>
      </c>
      <c r="O391" s="33">
        <f>IFERROR(Table2[[#This Row],[Value(1000$) 2024]]/Table2[[#This Row],[Volume(1000) 2024]],0)</f>
        <v>0</v>
      </c>
      <c r="P391" s="33">
        <f>SUM(Table2[[#This Row],[Value(1000$) 2022]:[Value(1000$) 2024]])</f>
        <v>0.30409999999999998</v>
      </c>
      <c r="Q391" s="33">
        <f>SUM(Table2[[#This Row],[Volume(1000) 2022]:[Volume(1000) 2024]])</f>
        <v>4.4311999999999996</v>
      </c>
      <c r="R391" s="33">
        <f>AVERAGE(Table2[[#This Row],[Average Price(2022)]:[Average Price(2024)]])</f>
        <v>2.2875669495095386E-2</v>
      </c>
    </row>
    <row r="392" spans="1:18" x14ac:dyDescent="0.3">
      <c r="A392" t="s">
        <v>500</v>
      </c>
      <c r="B392" t="s">
        <v>791</v>
      </c>
      <c r="C392" t="s">
        <v>465</v>
      </c>
      <c r="D392" t="s">
        <v>9</v>
      </c>
      <c r="E392" t="s">
        <v>30</v>
      </c>
      <c r="F392" s="27" t="str">
        <f>IF('Working Sheet'!B587="ITEM",'Working Sheet'!E587,"")</f>
        <v>52</v>
      </c>
      <c r="G392" s="27">
        <f>IF('Working Sheet'!B587="ITEM",'Working Sheet'!F587,"")</f>
        <v>1.4756</v>
      </c>
      <c r="H392" s="27">
        <f>IF('Working Sheet'!B587="ITEM",'Working Sheet'!G587,"")</f>
        <v>0.29549999999999998</v>
      </c>
      <c r="I392" s="27">
        <f>IF('Working Sheet'!B587="ITEM",'Working Sheet'!H587,"")</f>
        <v>0.13869999999999999</v>
      </c>
      <c r="J392">
        <f>IF('Working Sheet'!B587="ITEM",'Working Sheet'!I587,"")</f>
        <v>38.575499999999998</v>
      </c>
      <c r="K392">
        <f>IF('Working Sheet'!B587="ITEM",'Working Sheet'!J587,"")</f>
        <v>5.6929999999999996</v>
      </c>
      <c r="L392">
        <f>IF('Working Sheet'!B587="ITEM",'Working Sheet'!K587,"")</f>
        <v>2.5320999999999998</v>
      </c>
      <c r="M392" s="33">
        <f>IFERROR(Table2[[#This Row],[Value(1000$) 2022]]/Table2[[#This Row],[Volume(1000) 2022]],0)</f>
        <v>3.8252258557892965E-2</v>
      </c>
      <c r="N392" s="33">
        <f>IFERROR(Table2[[#This Row],[Value(1000$) 2023]]/Table2[[#This Row],[Volume(1000) 2023]],0)</f>
        <v>5.1905849288600037E-2</v>
      </c>
      <c r="O392" s="33">
        <f>IFERROR(Table2[[#This Row],[Value(1000$) 2024]]/Table2[[#This Row],[Volume(1000) 2024]],0)</f>
        <v>5.4776667588167925E-2</v>
      </c>
      <c r="P392" s="33">
        <f>SUM(Table2[[#This Row],[Value(1000$) 2022]:[Value(1000$) 2024]])</f>
        <v>1.9098000000000002</v>
      </c>
      <c r="Q392" s="33">
        <f>SUM(Table2[[#This Row],[Volume(1000) 2022]:[Volume(1000) 2024]])</f>
        <v>46.800599999999996</v>
      </c>
      <c r="R392" s="33">
        <f>AVERAGE(Table2[[#This Row],[Average Price(2022)]:[Average Price(2024)]])</f>
        <v>4.8311591811553645E-2</v>
      </c>
    </row>
    <row r="393" spans="1:18" x14ac:dyDescent="0.3">
      <c r="A393" t="s">
        <v>501</v>
      </c>
      <c r="B393" t="s">
        <v>791</v>
      </c>
      <c r="C393" t="s">
        <v>465</v>
      </c>
      <c r="D393" t="s">
        <v>9</v>
      </c>
      <c r="E393" t="s">
        <v>30</v>
      </c>
      <c r="F393" s="27" t="str">
        <f>IF('Working Sheet'!B588="ITEM",'Working Sheet'!E588,"")</f>
        <v>52</v>
      </c>
      <c r="G393" s="27">
        <f>IF('Working Sheet'!B588="ITEM",'Working Sheet'!F588,"")</f>
        <v>0.92279999999999995</v>
      </c>
      <c r="H393" s="27">
        <f>IF('Working Sheet'!B588="ITEM",'Working Sheet'!G588,"")</f>
        <v>0</v>
      </c>
      <c r="I393" s="27">
        <f>IF('Working Sheet'!B588="ITEM",'Working Sheet'!H588,"")</f>
        <v>0</v>
      </c>
      <c r="J393">
        <f>IF('Working Sheet'!B588="ITEM",'Working Sheet'!I588,"")</f>
        <v>21.822199999999999</v>
      </c>
      <c r="K393">
        <f>IF('Working Sheet'!B588="ITEM",'Working Sheet'!J588,"")</f>
        <v>0</v>
      </c>
      <c r="L393">
        <f>IF('Working Sheet'!B588="ITEM",'Working Sheet'!K588,"")</f>
        <v>0</v>
      </c>
      <c r="M393" s="33">
        <f>IFERROR(Table2[[#This Row],[Value(1000$) 2022]]/Table2[[#This Row],[Volume(1000) 2022]],0)</f>
        <v>4.2287212105103979E-2</v>
      </c>
      <c r="N393" s="33">
        <f>IFERROR(Table2[[#This Row],[Value(1000$) 2023]]/Table2[[#This Row],[Volume(1000) 2023]],0)</f>
        <v>0</v>
      </c>
      <c r="O393" s="33">
        <f>IFERROR(Table2[[#This Row],[Value(1000$) 2024]]/Table2[[#This Row],[Volume(1000) 2024]],0)</f>
        <v>0</v>
      </c>
      <c r="P393" s="33">
        <f>SUM(Table2[[#This Row],[Value(1000$) 2022]:[Value(1000$) 2024]])</f>
        <v>0.92279999999999995</v>
      </c>
      <c r="Q393" s="33">
        <f>SUM(Table2[[#This Row],[Volume(1000) 2022]:[Volume(1000) 2024]])</f>
        <v>21.822199999999999</v>
      </c>
      <c r="R393" s="33">
        <f>AVERAGE(Table2[[#This Row],[Average Price(2022)]:[Average Price(2024)]])</f>
        <v>1.4095737368367993E-2</v>
      </c>
    </row>
    <row r="394" spans="1:18" x14ac:dyDescent="0.3">
      <c r="A394" t="s">
        <v>502</v>
      </c>
      <c r="B394" t="s">
        <v>791</v>
      </c>
      <c r="C394" t="s">
        <v>465</v>
      </c>
      <c r="D394" t="s">
        <v>9</v>
      </c>
      <c r="E394" t="s">
        <v>30</v>
      </c>
      <c r="F394" s="27" t="str">
        <f>IF('Working Sheet'!B589="ITEM",'Working Sheet'!E589,"")</f>
        <v>52</v>
      </c>
      <c r="G394" s="27">
        <f>IF('Working Sheet'!B589="ITEM",'Working Sheet'!F589,"")</f>
        <v>105.723</v>
      </c>
      <c r="H394" s="27">
        <f>IF('Working Sheet'!B589="ITEM",'Working Sheet'!G589,"")</f>
        <v>231.39109999999999</v>
      </c>
      <c r="I394" s="27">
        <f>IF('Working Sheet'!B589="ITEM",'Working Sheet'!H589,"")</f>
        <v>190.30779999999999</v>
      </c>
      <c r="J394">
        <f>IF('Working Sheet'!B589="ITEM",'Working Sheet'!I589,"")</f>
        <v>3632.1455999999998</v>
      </c>
      <c r="K394">
        <f>IF('Working Sheet'!B589="ITEM",'Working Sheet'!J589,"")</f>
        <v>7878.6941999999999</v>
      </c>
      <c r="L394">
        <f>IF('Working Sheet'!B589="ITEM",'Working Sheet'!K589,"")</f>
        <v>6167.0902999999998</v>
      </c>
      <c r="M394" s="33">
        <f>IFERROR(Table2[[#This Row],[Value(1000$) 2022]]/Table2[[#This Row],[Volume(1000) 2022]],0)</f>
        <v>2.9107588638517135E-2</v>
      </c>
      <c r="N394" s="33">
        <f>IFERROR(Table2[[#This Row],[Value(1000$) 2023]]/Table2[[#This Row],[Volume(1000) 2023]],0)</f>
        <v>2.9369219584636244E-2</v>
      </c>
      <c r="O394" s="33">
        <f>IFERROR(Table2[[#This Row],[Value(1000$) 2024]]/Table2[[#This Row],[Volume(1000) 2024]],0)</f>
        <v>3.0858604421602192E-2</v>
      </c>
      <c r="P394" s="33">
        <f>SUM(Table2[[#This Row],[Value(1000$) 2022]:[Value(1000$) 2024]])</f>
        <v>527.42190000000005</v>
      </c>
      <c r="Q394" s="33">
        <f>SUM(Table2[[#This Row],[Volume(1000) 2022]:[Volume(1000) 2024]])</f>
        <v>17677.930099999998</v>
      </c>
      <c r="R394" s="33">
        <f>AVERAGE(Table2[[#This Row],[Average Price(2022)]:[Average Price(2024)]])</f>
        <v>2.9778470881585192E-2</v>
      </c>
    </row>
    <row r="395" spans="1:18" x14ac:dyDescent="0.3">
      <c r="A395" t="s">
        <v>503</v>
      </c>
      <c r="B395" t="s">
        <v>791</v>
      </c>
      <c r="C395" t="s">
        <v>465</v>
      </c>
      <c r="D395" t="s">
        <v>9</v>
      </c>
      <c r="E395" t="s">
        <v>30</v>
      </c>
      <c r="F395" s="27" t="str">
        <f>IF('Working Sheet'!B590="ITEM",'Working Sheet'!E590,"")</f>
        <v>52</v>
      </c>
      <c r="G395" s="27">
        <f>IF('Working Sheet'!B590="ITEM",'Working Sheet'!F590,"")</f>
        <v>0.97140000000000004</v>
      </c>
      <c r="H395" s="27">
        <f>IF('Working Sheet'!B590="ITEM",'Working Sheet'!G590,"")</f>
        <v>3.1E-2</v>
      </c>
      <c r="I395" s="27">
        <f>IF('Working Sheet'!B590="ITEM",'Working Sheet'!H590,"")</f>
        <v>0</v>
      </c>
      <c r="J395">
        <f>IF('Working Sheet'!B590="ITEM",'Working Sheet'!I590,"")</f>
        <v>22.952100000000002</v>
      </c>
      <c r="K395">
        <f>IF('Working Sheet'!B590="ITEM",'Working Sheet'!J590,"")</f>
        <v>0.70540000000000003</v>
      </c>
      <c r="L395">
        <f>IF('Working Sheet'!B590="ITEM",'Working Sheet'!K590,"")</f>
        <v>0</v>
      </c>
      <c r="M395" s="33">
        <f>IFERROR(Table2[[#This Row],[Value(1000$) 2022]]/Table2[[#This Row],[Volume(1000) 2022]],0)</f>
        <v>4.2322924699700677E-2</v>
      </c>
      <c r="N395" s="33">
        <f>IFERROR(Table2[[#This Row],[Value(1000$) 2023]]/Table2[[#This Row],[Volume(1000) 2023]],0)</f>
        <v>4.3946696909554862E-2</v>
      </c>
      <c r="O395" s="33">
        <f>IFERROR(Table2[[#This Row],[Value(1000$) 2024]]/Table2[[#This Row],[Volume(1000) 2024]],0)</f>
        <v>0</v>
      </c>
      <c r="P395" s="33">
        <f>SUM(Table2[[#This Row],[Value(1000$) 2022]:[Value(1000$) 2024]])</f>
        <v>1.0024</v>
      </c>
      <c r="Q395" s="33">
        <f>SUM(Table2[[#This Row],[Volume(1000) 2022]:[Volume(1000) 2024]])</f>
        <v>23.657500000000002</v>
      </c>
      <c r="R395" s="33">
        <f>AVERAGE(Table2[[#This Row],[Average Price(2022)]:[Average Price(2024)]])</f>
        <v>2.8756540536418514E-2</v>
      </c>
    </row>
    <row r="396" spans="1:18" x14ac:dyDescent="0.3">
      <c r="A396" t="s">
        <v>504</v>
      </c>
      <c r="B396" t="s">
        <v>791</v>
      </c>
      <c r="C396" t="s">
        <v>465</v>
      </c>
      <c r="D396" t="s">
        <v>9</v>
      </c>
      <c r="E396" t="s">
        <v>30</v>
      </c>
      <c r="F396" s="27" t="str">
        <f>IF('Working Sheet'!B591="ITEM",'Working Sheet'!E591,"")</f>
        <v>52</v>
      </c>
      <c r="G396" s="27">
        <f>IF('Working Sheet'!B591="ITEM",'Working Sheet'!F591,"")</f>
        <v>0.23680000000000001</v>
      </c>
      <c r="H396" s="27">
        <f>IF('Working Sheet'!B591="ITEM",'Working Sheet'!G591,"")</f>
        <v>0</v>
      </c>
      <c r="I396" s="27">
        <f>IF('Working Sheet'!B591="ITEM",'Working Sheet'!H591,"")</f>
        <v>0</v>
      </c>
      <c r="J396">
        <f>IF('Working Sheet'!B591="ITEM",'Working Sheet'!I591,"")</f>
        <v>4.3052000000000001</v>
      </c>
      <c r="K396">
        <f>IF('Working Sheet'!B591="ITEM",'Working Sheet'!J591,"")</f>
        <v>0</v>
      </c>
      <c r="L396">
        <f>IF('Working Sheet'!B591="ITEM",'Working Sheet'!K591,"")</f>
        <v>0</v>
      </c>
      <c r="M396" s="33">
        <f>IFERROR(Table2[[#This Row],[Value(1000$) 2022]]/Table2[[#This Row],[Volume(1000) 2022]],0)</f>
        <v>5.5003251881445697E-2</v>
      </c>
      <c r="N396" s="33">
        <f>IFERROR(Table2[[#This Row],[Value(1000$) 2023]]/Table2[[#This Row],[Volume(1000) 2023]],0)</f>
        <v>0</v>
      </c>
      <c r="O396" s="33">
        <f>IFERROR(Table2[[#This Row],[Value(1000$) 2024]]/Table2[[#This Row],[Volume(1000) 2024]],0)</f>
        <v>0</v>
      </c>
      <c r="P396" s="33">
        <f>SUM(Table2[[#This Row],[Value(1000$) 2022]:[Value(1000$) 2024]])</f>
        <v>0.23680000000000001</v>
      </c>
      <c r="Q396" s="33">
        <f>SUM(Table2[[#This Row],[Volume(1000) 2022]:[Volume(1000) 2024]])</f>
        <v>4.3052000000000001</v>
      </c>
      <c r="R396" s="33">
        <f>AVERAGE(Table2[[#This Row],[Average Price(2022)]:[Average Price(2024)]])</f>
        <v>1.8334417293815231E-2</v>
      </c>
    </row>
    <row r="397" spans="1:18" x14ac:dyDescent="0.3">
      <c r="A397" t="s">
        <v>505</v>
      </c>
      <c r="B397" t="s">
        <v>791</v>
      </c>
      <c r="C397" t="s">
        <v>465</v>
      </c>
      <c r="D397" t="s">
        <v>9</v>
      </c>
      <c r="E397" t="s">
        <v>64</v>
      </c>
      <c r="F397" s="27" t="str">
        <f>IF('Working Sheet'!B592="ITEM",'Working Sheet'!E592,"")</f>
        <v>52</v>
      </c>
      <c r="G397" s="27">
        <f>IF('Working Sheet'!B592="ITEM",'Working Sheet'!F592,"")</f>
        <v>40.155500000000004</v>
      </c>
      <c r="H397" s="27">
        <f>IF('Working Sheet'!B592="ITEM",'Working Sheet'!G592,"")</f>
        <v>53.039099999999998</v>
      </c>
      <c r="I397" s="27">
        <f>IF('Working Sheet'!B592="ITEM",'Working Sheet'!H592,"")</f>
        <v>19.640599999999999</v>
      </c>
      <c r="J397">
        <f>IF('Working Sheet'!B592="ITEM",'Working Sheet'!I592,"")</f>
        <v>809.24120000000005</v>
      </c>
      <c r="K397">
        <f>IF('Working Sheet'!B592="ITEM",'Working Sheet'!J592,"")</f>
        <v>1117.5988</v>
      </c>
      <c r="L397">
        <f>IF('Working Sheet'!B592="ITEM",'Working Sheet'!K592,"")</f>
        <v>353.57029999999997</v>
      </c>
      <c r="M397" s="33">
        <f>IFERROR(Table2[[#This Row],[Value(1000$) 2022]]/Table2[[#This Row],[Volume(1000) 2022]],0)</f>
        <v>4.9621175985602319E-2</v>
      </c>
      <c r="N397" s="33">
        <f>IFERROR(Table2[[#This Row],[Value(1000$) 2023]]/Table2[[#This Row],[Volume(1000) 2023]],0)</f>
        <v>4.745808603230426E-2</v>
      </c>
      <c r="O397" s="33">
        <f>IFERROR(Table2[[#This Row],[Value(1000$) 2024]]/Table2[[#This Row],[Volume(1000) 2024]],0)</f>
        <v>5.5549349026204974E-2</v>
      </c>
      <c r="P397" s="33">
        <f>SUM(Table2[[#This Row],[Value(1000$) 2022]:[Value(1000$) 2024]])</f>
        <v>112.83520000000001</v>
      </c>
      <c r="Q397" s="33">
        <f>SUM(Table2[[#This Row],[Volume(1000) 2022]:[Volume(1000) 2024]])</f>
        <v>2280.4103</v>
      </c>
      <c r="R397" s="33">
        <f>AVERAGE(Table2[[#This Row],[Average Price(2022)]:[Average Price(2024)]])</f>
        <v>5.0876203681370517E-2</v>
      </c>
    </row>
    <row r="398" spans="1:18" x14ac:dyDescent="0.3">
      <c r="A398" t="s">
        <v>506</v>
      </c>
      <c r="B398" t="s">
        <v>791</v>
      </c>
      <c r="C398" t="s">
        <v>465</v>
      </c>
      <c r="D398" t="s">
        <v>9</v>
      </c>
      <c r="E398" t="s">
        <v>64</v>
      </c>
      <c r="F398" s="27" t="str">
        <f>IF('Working Sheet'!B593="ITEM",'Working Sheet'!E593,"")</f>
        <v>52</v>
      </c>
      <c r="G398" s="27">
        <f>IF('Working Sheet'!B593="ITEM",'Working Sheet'!F593,"")</f>
        <v>124.0141</v>
      </c>
      <c r="H398" s="27">
        <f>IF('Working Sheet'!B593="ITEM",'Working Sheet'!G593,"")</f>
        <v>119.1621</v>
      </c>
      <c r="I398" s="27">
        <f>IF('Working Sheet'!B593="ITEM",'Working Sheet'!H593,"")</f>
        <v>72.991100000000003</v>
      </c>
      <c r="J398">
        <f>IF('Working Sheet'!B593="ITEM",'Working Sheet'!I593,"")</f>
        <v>4179.8078999999998</v>
      </c>
      <c r="K398">
        <f>IF('Working Sheet'!B593="ITEM",'Working Sheet'!J593,"")</f>
        <v>4057.9854</v>
      </c>
      <c r="L398">
        <f>IF('Working Sheet'!B593="ITEM",'Working Sheet'!K593,"")</f>
        <v>2439.5360000000001</v>
      </c>
      <c r="M398" s="33">
        <f>IFERROR(Table2[[#This Row],[Value(1000$) 2022]]/Table2[[#This Row],[Volume(1000) 2022]],0)</f>
        <v>2.9669808509620744E-2</v>
      </c>
      <c r="N398" s="33">
        <f>IFERROR(Table2[[#This Row],[Value(1000$) 2023]]/Table2[[#This Row],[Volume(1000) 2023]],0)</f>
        <v>2.9364841973063775E-2</v>
      </c>
      <c r="O398" s="33">
        <f>IFERROR(Table2[[#This Row],[Value(1000$) 2024]]/Table2[[#This Row],[Volume(1000) 2024]],0)</f>
        <v>2.9920074965075327E-2</v>
      </c>
      <c r="P398" s="33">
        <f>SUM(Table2[[#This Row],[Value(1000$) 2022]:[Value(1000$) 2024]])</f>
        <v>316.16730000000001</v>
      </c>
      <c r="Q398" s="33">
        <f>SUM(Table2[[#This Row],[Volume(1000) 2022]:[Volume(1000) 2024]])</f>
        <v>10677.329299999999</v>
      </c>
      <c r="R398" s="33">
        <f>AVERAGE(Table2[[#This Row],[Average Price(2022)]:[Average Price(2024)]])</f>
        <v>2.9651575149253279E-2</v>
      </c>
    </row>
    <row r="399" spans="1:18" x14ac:dyDescent="0.3">
      <c r="A399" t="s">
        <v>507</v>
      </c>
      <c r="B399" t="s">
        <v>791</v>
      </c>
      <c r="C399" t="s">
        <v>465</v>
      </c>
      <c r="D399" t="s">
        <v>9</v>
      </c>
      <c r="E399" t="s">
        <v>64</v>
      </c>
      <c r="F399" s="27" t="str">
        <f>IF('Working Sheet'!B594="ITEM",'Working Sheet'!E594,"")</f>
        <v>52</v>
      </c>
      <c r="G399" s="27">
        <f>IF('Working Sheet'!B594="ITEM",'Working Sheet'!F594,"")</f>
        <v>126.2456</v>
      </c>
      <c r="H399" s="27">
        <f>IF('Working Sheet'!B594="ITEM",'Working Sheet'!G594,"")</f>
        <v>161.7927</v>
      </c>
      <c r="I399" s="27">
        <f>IF('Working Sheet'!B594="ITEM",'Working Sheet'!H594,"")</f>
        <v>82.616799999999998</v>
      </c>
      <c r="J399">
        <f>IF('Working Sheet'!B594="ITEM",'Working Sheet'!I594,"")</f>
        <v>2585.6873000000001</v>
      </c>
      <c r="K399">
        <f>IF('Working Sheet'!B594="ITEM",'Working Sheet'!J594,"")</f>
        <v>3416.431</v>
      </c>
      <c r="L399">
        <f>IF('Working Sheet'!B594="ITEM",'Working Sheet'!K594,"")</f>
        <v>1611.8206</v>
      </c>
      <c r="M399" s="33">
        <f>IFERROR(Table2[[#This Row],[Value(1000$) 2022]]/Table2[[#This Row],[Volume(1000) 2022]],0)</f>
        <v>4.8824774751378482E-2</v>
      </c>
      <c r="N399" s="33">
        <f>IFERROR(Table2[[#This Row],[Value(1000$) 2023]]/Table2[[#This Row],[Volume(1000) 2023]],0)</f>
        <v>4.7357227469250807E-2</v>
      </c>
      <c r="O399" s="33">
        <f>IFERROR(Table2[[#This Row],[Value(1000$) 2024]]/Table2[[#This Row],[Volume(1000) 2024]],0)</f>
        <v>5.1256821013455217E-2</v>
      </c>
      <c r="P399" s="33">
        <f>SUM(Table2[[#This Row],[Value(1000$) 2022]:[Value(1000$) 2024]])</f>
        <v>370.6551</v>
      </c>
      <c r="Q399" s="33">
        <f>SUM(Table2[[#This Row],[Volume(1000) 2022]:[Volume(1000) 2024]])</f>
        <v>7613.9389000000001</v>
      </c>
      <c r="R399" s="33">
        <f>AVERAGE(Table2[[#This Row],[Average Price(2022)]:[Average Price(2024)]])</f>
        <v>4.9146274411361497E-2</v>
      </c>
    </row>
    <row r="400" spans="1:18" x14ac:dyDescent="0.3">
      <c r="A400" t="s">
        <v>508</v>
      </c>
      <c r="B400" t="s">
        <v>791</v>
      </c>
      <c r="C400" t="s">
        <v>465</v>
      </c>
      <c r="D400" t="s">
        <v>9</v>
      </c>
      <c r="E400" t="s">
        <v>64</v>
      </c>
      <c r="F400" s="27" t="str">
        <f>IF('Working Sheet'!B595="ITEM",'Working Sheet'!E595,"")</f>
        <v>52</v>
      </c>
      <c r="G400" s="27">
        <f>IF('Working Sheet'!B595="ITEM",'Working Sheet'!F595,"")</f>
        <v>95.148099999999999</v>
      </c>
      <c r="H400" s="27">
        <f>IF('Working Sheet'!B595="ITEM",'Working Sheet'!G595,"")</f>
        <v>213.16730000000001</v>
      </c>
      <c r="I400" s="27">
        <f>IF('Working Sheet'!B595="ITEM",'Working Sheet'!H595,"")</f>
        <v>155.60400000000001</v>
      </c>
      <c r="J400">
        <f>IF('Working Sheet'!B595="ITEM",'Working Sheet'!I595,"")</f>
        <v>3171.4767999999999</v>
      </c>
      <c r="K400">
        <f>IF('Working Sheet'!B595="ITEM",'Working Sheet'!J595,"")</f>
        <v>7264.2154</v>
      </c>
      <c r="L400">
        <f>IF('Working Sheet'!B595="ITEM",'Working Sheet'!K595,"")</f>
        <v>5013.7686000000003</v>
      </c>
      <c r="M400" s="33">
        <f>IFERROR(Table2[[#This Row],[Value(1000$) 2022]]/Table2[[#This Row],[Volume(1000) 2022]],0)</f>
        <v>3.0001196918735148E-2</v>
      </c>
      <c r="N400" s="33">
        <f>IFERROR(Table2[[#This Row],[Value(1000$) 2023]]/Table2[[#This Row],[Volume(1000) 2023]],0)</f>
        <v>2.9344848447087624E-2</v>
      </c>
      <c r="O400" s="33">
        <f>IFERROR(Table2[[#This Row],[Value(1000$) 2024]]/Table2[[#This Row],[Volume(1000) 2024]],0)</f>
        <v>3.1035337370775348E-2</v>
      </c>
      <c r="P400" s="33">
        <f>SUM(Table2[[#This Row],[Value(1000$) 2022]:[Value(1000$) 2024]])</f>
        <v>463.9194</v>
      </c>
      <c r="Q400" s="33">
        <f>SUM(Table2[[#This Row],[Volume(1000) 2022]:[Volume(1000) 2024]])</f>
        <v>15449.460800000001</v>
      </c>
      <c r="R400" s="33">
        <f>AVERAGE(Table2[[#This Row],[Average Price(2022)]:[Average Price(2024)]])</f>
        <v>3.0127127578866042E-2</v>
      </c>
    </row>
    <row r="401" spans="1:18" x14ac:dyDescent="0.3">
      <c r="A401" t="s">
        <v>509</v>
      </c>
      <c r="B401" t="s">
        <v>791</v>
      </c>
      <c r="C401" t="s">
        <v>465</v>
      </c>
      <c r="D401" t="s">
        <v>9</v>
      </c>
      <c r="E401" t="s">
        <v>64</v>
      </c>
      <c r="F401" s="27" t="str">
        <f>IF('Working Sheet'!B596="ITEM",'Working Sheet'!E596,"")</f>
        <v>54</v>
      </c>
      <c r="G401" s="27">
        <f>IF('Working Sheet'!B596="ITEM",'Working Sheet'!F596,"")</f>
        <v>19.249199999999998</v>
      </c>
      <c r="H401" s="27">
        <f>IF('Working Sheet'!B596="ITEM",'Working Sheet'!G596,"")</f>
        <v>1.4004000000000001</v>
      </c>
      <c r="I401" s="27">
        <f>IF('Working Sheet'!B596="ITEM",'Working Sheet'!H596,"")</f>
        <v>0</v>
      </c>
      <c r="J401">
        <f>IF('Working Sheet'!B596="ITEM",'Working Sheet'!I596,"")</f>
        <v>316.69850000000002</v>
      </c>
      <c r="K401">
        <f>IF('Working Sheet'!B596="ITEM",'Working Sheet'!J596,"")</f>
        <v>25.215900000000001</v>
      </c>
      <c r="L401">
        <f>IF('Working Sheet'!B596="ITEM",'Working Sheet'!K596,"")</f>
        <v>0</v>
      </c>
      <c r="M401" s="33">
        <f>IFERROR(Table2[[#This Row],[Value(1000$) 2022]]/Table2[[#This Row],[Volume(1000) 2022]],0)</f>
        <v>6.07808372947772E-2</v>
      </c>
      <c r="N401" s="33">
        <f>IFERROR(Table2[[#This Row],[Value(1000$) 2023]]/Table2[[#This Row],[Volume(1000) 2023]],0)</f>
        <v>5.5536387755344842E-2</v>
      </c>
      <c r="O401" s="33">
        <f>IFERROR(Table2[[#This Row],[Value(1000$) 2024]]/Table2[[#This Row],[Volume(1000) 2024]],0)</f>
        <v>0</v>
      </c>
      <c r="P401" s="33">
        <f>SUM(Table2[[#This Row],[Value(1000$) 2022]:[Value(1000$) 2024]])</f>
        <v>20.6496</v>
      </c>
      <c r="Q401" s="33">
        <f>SUM(Table2[[#This Row],[Volume(1000) 2022]:[Volume(1000) 2024]])</f>
        <v>341.9144</v>
      </c>
      <c r="R401" s="33">
        <f>AVERAGE(Table2[[#This Row],[Average Price(2022)]:[Average Price(2024)]])</f>
        <v>3.8772408350040678E-2</v>
      </c>
    </row>
    <row r="402" spans="1:18" x14ac:dyDescent="0.3">
      <c r="A402" t="s">
        <v>510</v>
      </c>
      <c r="B402" t="s">
        <v>791</v>
      </c>
      <c r="C402" t="s">
        <v>465</v>
      </c>
      <c r="D402" t="s">
        <v>9</v>
      </c>
      <c r="E402" t="s">
        <v>64</v>
      </c>
      <c r="F402" s="27" t="str">
        <f>IF('Working Sheet'!B597="ITEM",'Working Sheet'!E597,"")</f>
        <v>56</v>
      </c>
      <c r="G402" s="27">
        <f>IF('Working Sheet'!B597="ITEM",'Working Sheet'!F597,"")</f>
        <v>0.76639999999999997</v>
      </c>
      <c r="H402" s="27">
        <f>IF('Working Sheet'!B597="ITEM",'Working Sheet'!G597,"")</f>
        <v>3.6499999999999998E-2</v>
      </c>
      <c r="I402" s="27">
        <f>IF('Working Sheet'!B597="ITEM",'Working Sheet'!H597,"")</f>
        <v>0</v>
      </c>
      <c r="J402">
        <f>IF('Working Sheet'!B597="ITEM",'Working Sheet'!I597,"")</f>
        <v>14.48</v>
      </c>
      <c r="K402">
        <f>IF('Working Sheet'!B597="ITEM",'Working Sheet'!J597,"")</f>
        <v>0.67200000000000004</v>
      </c>
      <c r="L402">
        <f>IF('Working Sheet'!B597="ITEM",'Working Sheet'!K597,"")</f>
        <v>0</v>
      </c>
      <c r="M402" s="33">
        <f>IFERROR(Table2[[#This Row],[Value(1000$) 2022]]/Table2[[#This Row],[Volume(1000) 2022]],0)</f>
        <v>5.2928176795580109E-2</v>
      </c>
      <c r="N402" s="33">
        <f>IFERROR(Table2[[#This Row],[Value(1000$) 2023]]/Table2[[#This Row],[Volume(1000) 2023]],0)</f>
        <v>5.4315476190476185E-2</v>
      </c>
      <c r="O402" s="33">
        <f>IFERROR(Table2[[#This Row],[Value(1000$) 2024]]/Table2[[#This Row],[Volume(1000) 2024]],0)</f>
        <v>0</v>
      </c>
      <c r="P402" s="33">
        <f>SUM(Table2[[#This Row],[Value(1000$) 2022]:[Value(1000$) 2024]])</f>
        <v>0.80289999999999995</v>
      </c>
      <c r="Q402" s="33">
        <f>SUM(Table2[[#This Row],[Volume(1000) 2022]:[Volume(1000) 2024]])</f>
        <v>15.152000000000001</v>
      </c>
      <c r="R402" s="33">
        <f>AVERAGE(Table2[[#This Row],[Average Price(2022)]:[Average Price(2024)]])</f>
        <v>3.5747884328685427E-2</v>
      </c>
    </row>
    <row r="403" spans="1:18" x14ac:dyDescent="0.3">
      <c r="A403" t="s">
        <v>511</v>
      </c>
      <c r="B403" t="s">
        <v>791</v>
      </c>
      <c r="C403" t="s">
        <v>465</v>
      </c>
      <c r="D403" t="s">
        <v>9</v>
      </c>
      <c r="E403" t="s">
        <v>64</v>
      </c>
      <c r="F403" s="27" t="str">
        <f>IF('Working Sheet'!B598="ITEM",'Working Sheet'!E598,"")</f>
        <v>56</v>
      </c>
      <c r="G403" s="27">
        <f>IF('Working Sheet'!B598="ITEM",'Working Sheet'!F598,"")</f>
        <v>0.17649999999999999</v>
      </c>
      <c r="H403" s="27">
        <f>IF('Working Sheet'!B598="ITEM",'Working Sheet'!G598,"")</f>
        <v>0</v>
      </c>
      <c r="I403" s="27">
        <f>IF('Working Sheet'!B598="ITEM",'Working Sheet'!H598,"")</f>
        <v>0</v>
      </c>
      <c r="J403">
        <f>IF('Working Sheet'!B598="ITEM",'Working Sheet'!I598,"")</f>
        <v>2.9144999999999999</v>
      </c>
      <c r="K403">
        <f>IF('Working Sheet'!B598="ITEM",'Working Sheet'!J598,"")</f>
        <v>0</v>
      </c>
      <c r="L403">
        <f>IF('Working Sheet'!B598="ITEM",'Working Sheet'!K598,"")</f>
        <v>0</v>
      </c>
      <c r="M403" s="33">
        <f>IFERROR(Table2[[#This Row],[Value(1000$) 2022]]/Table2[[#This Row],[Volume(1000) 2022]],0)</f>
        <v>6.0559272602504717E-2</v>
      </c>
      <c r="N403" s="33">
        <f>IFERROR(Table2[[#This Row],[Value(1000$) 2023]]/Table2[[#This Row],[Volume(1000) 2023]],0)</f>
        <v>0</v>
      </c>
      <c r="O403" s="33">
        <f>IFERROR(Table2[[#This Row],[Value(1000$) 2024]]/Table2[[#This Row],[Volume(1000) 2024]],0)</f>
        <v>0</v>
      </c>
      <c r="P403" s="33">
        <f>SUM(Table2[[#This Row],[Value(1000$) 2022]:[Value(1000$) 2024]])</f>
        <v>0.17649999999999999</v>
      </c>
      <c r="Q403" s="33">
        <f>SUM(Table2[[#This Row],[Volume(1000) 2022]:[Volume(1000) 2024]])</f>
        <v>2.9144999999999999</v>
      </c>
      <c r="R403" s="33">
        <f>AVERAGE(Table2[[#This Row],[Average Price(2022)]:[Average Price(2024)]])</f>
        <v>2.0186424200834906E-2</v>
      </c>
    </row>
    <row r="404" spans="1:18" x14ac:dyDescent="0.3">
      <c r="A404" t="s">
        <v>512</v>
      </c>
      <c r="B404" t="s">
        <v>791</v>
      </c>
      <c r="C404" t="s">
        <v>465</v>
      </c>
      <c r="D404" t="s">
        <v>9</v>
      </c>
      <c r="E404" t="s">
        <v>64</v>
      </c>
      <c r="F404" s="27" t="str">
        <f>IF('Working Sheet'!B599="ITEM",'Working Sheet'!E599,"")</f>
        <v>56</v>
      </c>
      <c r="G404" s="27">
        <f>IF('Working Sheet'!B599="ITEM",'Working Sheet'!F599,"")</f>
        <v>3.9998</v>
      </c>
      <c r="H404" s="27">
        <f>IF('Working Sheet'!B599="ITEM",'Working Sheet'!G599,"")</f>
        <v>2.0327000000000002</v>
      </c>
      <c r="I404" s="27">
        <f>IF('Working Sheet'!B599="ITEM",'Working Sheet'!H599,"")</f>
        <v>0.44619999999999999</v>
      </c>
      <c r="J404">
        <f>IF('Working Sheet'!B599="ITEM",'Working Sheet'!I599,"")</f>
        <v>76.599100000000007</v>
      </c>
      <c r="K404">
        <f>IF('Working Sheet'!B599="ITEM",'Working Sheet'!J599,"")</f>
        <v>45.206499999999998</v>
      </c>
      <c r="L404">
        <f>IF('Working Sheet'!B599="ITEM",'Working Sheet'!K599,"")</f>
        <v>9.7993000000000006</v>
      </c>
      <c r="M404" s="33">
        <f>IFERROR(Table2[[#This Row],[Value(1000$) 2022]]/Table2[[#This Row],[Volume(1000) 2022]],0)</f>
        <v>5.2217323702236709E-2</v>
      </c>
      <c r="N404" s="33">
        <f>IFERROR(Table2[[#This Row],[Value(1000$) 2023]]/Table2[[#This Row],[Volume(1000) 2023]],0)</f>
        <v>4.496477276497849E-2</v>
      </c>
      <c r="O404" s="33">
        <f>IFERROR(Table2[[#This Row],[Value(1000$) 2024]]/Table2[[#This Row],[Volume(1000) 2024]],0)</f>
        <v>4.5533864663802513E-2</v>
      </c>
      <c r="P404" s="33">
        <f>SUM(Table2[[#This Row],[Value(1000$) 2022]:[Value(1000$) 2024]])</f>
        <v>6.4787000000000008</v>
      </c>
      <c r="Q404" s="33">
        <f>SUM(Table2[[#This Row],[Volume(1000) 2022]:[Volume(1000) 2024]])</f>
        <v>131.60489999999999</v>
      </c>
      <c r="R404" s="33">
        <f>AVERAGE(Table2[[#This Row],[Average Price(2022)]:[Average Price(2024)]])</f>
        <v>4.7571987043672576E-2</v>
      </c>
    </row>
    <row r="405" spans="1:18" x14ac:dyDescent="0.3">
      <c r="A405" t="s">
        <v>513</v>
      </c>
      <c r="B405" t="s">
        <v>791</v>
      </c>
      <c r="C405" t="s">
        <v>465</v>
      </c>
      <c r="D405" t="s">
        <v>9</v>
      </c>
      <c r="E405" t="s">
        <v>64</v>
      </c>
      <c r="F405" s="27" t="str">
        <f>IF('Working Sheet'!B600="ITEM",'Working Sheet'!E600,"")</f>
        <v>56</v>
      </c>
      <c r="G405" s="27">
        <f>IF('Working Sheet'!B600="ITEM",'Working Sheet'!F600,"")</f>
        <v>3.4256000000000002</v>
      </c>
      <c r="H405" s="27">
        <f>IF('Working Sheet'!B600="ITEM",'Working Sheet'!G600,"")</f>
        <v>0.1051</v>
      </c>
      <c r="I405" s="27">
        <f>IF('Working Sheet'!B600="ITEM",'Working Sheet'!H600,"")</f>
        <v>0</v>
      </c>
      <c r="J405">
        <f>IF('Working Sheet'!B600="ITEM",'Working Sheet'!I600,"")</f>
        <v>52.9163</v>
      </c>
      <c r="K405">
        <f>IF('Working Sheet'!B600="ITEM",'Working Sheet'!J600,"")</f>
        <v>1.5987</v>
      </c>
      <c r="L405">
        <f>IF('Working Sheet'!B600="ITEM",'Working Sheet'!K600,"")</f>
        <v>0</v>
      </c>
      <c r="M405" s="33">
        <f>IFERROR(Table2[[#This Row],[Value(1000$) 2022]]/Table2[[#This Row],[Volume(1000) 2022]],0)</f>
        <v>6.4736196597267759E-2</v>
      </c>
      <c r="N405" s="33">
        <f>IFERROR(Table2[[#This Row],[Value(1000$) 2023]]/Table2[[#This Row],[Volume(1000) 2023]],0)</f>
        <v>6.5740914493025576E-2</v>
      </c>
      <c r="O405" s="33">
        <f>IFERROR(Table2[[#This Row],[Value(1000$) 2024]]/Table2[[#This Row],[Volume(1000) 2024]],0)</f>
        <v>0</v>
      </c>
      <c r="P405" s="33">
        <f>SUM(Table2[[#This Row],[Value(1000$) 2022]:[Value(1000$) 2024]])</f>
        <v>3.5307000000000004</v>
      </c>
      <c r="Q405" s="33">
        <f>SUM(Table2[[#This Row],[Volume(1000) 2022]:[Volume(1000) 2024]])</f>
        <v>54.515000000000001</v>
      </c>
      <c r="R405" s="33">
        <f>AVERAGE(Table2[[#This Row],[Average Price(2022)]:[Average Price(2024)]])</f>
        <v>4.3492370363431114E-2</v>
      </c>
    </row>
    <row r="406" spans="1:18" x14ac:dyDescent="0.3">
      <c r="A406" t="s">
        <v>514</v>
      </c>
      <c r="B406" t="s">
        <v>791</v>
      </c>
      <c r="C406" t="s">
        <v>465</v>
      </c>
      <c r="D406" t="s">
        <v>9</v>
      </c>
      <c r="E406" t="s">
        <v>64</v>
      </c>
      <c r="F406" s="27" t="str">
        <f>IF('Working Sheet'!B601="ITEM",'Working Sheet'!E601,"")</f>
        <v>56</v>
      </c>
      <c r="G406" s="27">
        <f>IF('Working Sheet'!B601="ITEM",'Working Sheet'!F601,"")</f>
        <v>2.7799999999999998E-2</v>
      </c>
      <c r="H406" s="27">
        <f>IF('Working Sheet'!B601="ITEM",'Working Sheet'!G601,"")</f>
        <v>0</v>
      </c>
      <c r="I406" s="27">
        <f>IF('Working Sheet'!B601="ITEM",'Working Sheet'!H601,"")</f>
        <v>0</v>
      </c>
      <c r="J406">
        <f>IF('Working Sheet'!B601="ITEM",'Working Sheet'!I601,"")</f>
        <v>0.59</v>
      </c>
      <c r="K406">
        <f>IF('Working Sheet'!B601="ITEM",'Working Sheet'!J601,"")</f>
        <v>0</v>
      </c>
      <c r="L406">
        <f>IF('Working Sheet'!B601="ITEM",'Working Sheet'!K601,"")</f>
        <v>0</v>
      </c>
      <c r="M406" s="33">
        <f>IFERROR(Table2[[#This Row],[Value(1000$) 2022]]/Table2[[#This Row],[Volume(1000) 2022]],0)</f>
        <v>4.711864406779661E-2</v>
      </c>
      <c r="N406" s="33">
        <f>IFERROR(Table2[[#This Row],[Value(1000$) 2023]]/Table2[[#This Row],[Volume(1000) 2023]],0)</f>
        <v>0</v>
      </c>
      <c r="O406" s="33">
        <f>IFERROR(Table2[[#This Row],[Value(1000$) 2024]]/Table2[[#This Row],[Volume(1000) 2024]],0)</f>
        <v>0</v>
      </c>
      <c r="P406" s="33">
        <f>SUM(Table2[[#This Row],[Value(1000$) 2022]:[Value(1000$) 2024]])</f>
        <v>2.7799999999999998E-2</v>
      </c>
      <c r="Q406" s="33">
        <f>SUM(Table2[[#This Row],[Volume(1000) 2022]:[Volume(1000) 2024]])</f>
        <v>0.59</v>
      </c>
      <c r="R406" s="33">
        <f>AVERAGE(Table2[[#This Row],[Average Price(2022)]:[Average Price(2024)]])</f>
        <v>1.5706214689265537E-2</v>
      </c>
    </row>
    <row r="407" spans="1:18" x14ac:dyDescent="0.3">
      <c r="A407" t="s">
        <v>515</v>
      </c>
      <c r="B407" t="s">
        <v>791</v>
      </c>
      <c r="C407" t="s">
        <v>465</v>
      </c>
      <c r="D407" t="s">
        <v>9</v>
      </c>
      <c r="E407" t="s">
        <v>64</v>
      </c>
      <c r="F407" s="27" t="str">
        <f>IF('Working Sheet'!B602="ITEM",'Working Sheet'!E602,"")</f>
        <v>56</v>
      </c>
      <c r="G407" s="27">
        <f>IF('Working Sheet'!B602="ITEM",'Working Sheet'!F602,"")</f>
        <v>2.0205000000000002</v>
      </c>
      <c r="H407" s="27">
        <f>IF('Working Sheet'!B602="ITEM",'Working Sheet'!G602,"")</f>
        <v>6.1100000000000002E-2</v>
      </c>
      <c r="I407" s="27">
        <f>IF('Working Sheet'!B602="ITEM",'Working Sheet'!H602,"")</f>
        <v>4.3E-3</v>
      </c>
      <c r="J407">
        <f>IF('Working Sheet'!B602="ITEM",'Working Sheet'!I602,"")</f>
        <v>30.746600000000001</v>
      </c>
      <c r="K407">
        <f>IF('Working Sheet'!B602="ITEM",'Working Sheet'!J602,"")</f>
        <v>0.89600000000000002</v>
      </c>
      <c r="L407">
        <f>IF('Working Sheet'!B602="ITEM",'Working Sheet'!K602,"")</f>
        <v>5.6000000000000001E-2</v>
      </c>
      <c r="M407" s="33">
        <f>IFERROR(Table2[[#This Row],[Value(1000$) 2022]]/Table2[[#This Row],[Volume(1000) 2022]],0)</f>
        <v>6.571458307585229E-2</v>
      </c>
      <c r="N407" s="33">
        <f>IFERROR(Table2[[#This Row],[Value(1000$) 2023]]/Table2[[#This Row],[Volume(1000) 2023]],0)</f>
        <v>6.8191964285714279E-2</v>
      </c>
      <c r="O407" s="33">
        <f>IFERROR(Table2[[#This Row],[Value(1000$) 2024]]/Table2[[#This Row],[Volume(1000) 2024]],0)</f>
        <v>7.678571428571429E-2</v>
      </c>
      <c r="P407" s="33">
        <f>SUM(Table2[[#This Row],[Value(1000$) 2022]:[Value(1000$) 2024]])</f>
        <v>2.0859000000000005</v>
      </c>
      <c r="Q407" s="33">
        <f>SUM(Table2[[#This Row],[Volume(1000) 2022]:[Volume(1000) 2024]])</f>
        <v>31.698600000000003</v>
      </c>
      <c r="R407" s="33">
        <f>AVERAGE(Table2[[#This Row],[Average Price(2022)]:[Average Price(2024)]])</f>
        <v>7.0230753882426958E-2</v>
      </c>
    </row>
    <row r="408" spans="1:18" x14ac:dyDescent="0.3">
      <c r="A408" t="s">
        <v>516</v>
      </c>
      <c r="B408" t="s">
        <v>791</v>
      </c>
      <c r="C408" t="s">
        <v>465</v>
      </c>
      <c r="D408" t="s">
        <v>9</v>
      </c>
      <c r="E408" t="s">
        <v>64</v>
      </c>
      <c r="F408" s="27" t="str">
        <f>IF('Working Sheet'!B603="ITEM",'Working Sheet'!E603,"")</f>
        <v>56</v>
      </c>
      <c r="G408" s="27">
        <f>IF('Working Sheet'!B603="ITEM",'Working Sheet'!F603,"")</f>
        <v>0</v>
      </c>
      <c r="H408" s="27">
        <f>IF('Working Sheet'!B603="ITEM",'Working Sheet'!G603,"")</f>
        <v>0</v>
      </c>
      <c r="I408" s="27">
        <f>IF('Working Sheet'!B603="ITEM",'Working Sheet'!H603,"")</f>
        <v>0</v>
      </c>
      <c r="J408">
        <f>IF('Working Sheet'!B603="ITEM",'Working Sheet'!I603,"")</f>
        <v>0</v>
      </c>
      <c r="K408">
        <f>IF('Working Sheet'!B603="ITEM",'Working Sheet'!J603,"")</f>
        <v>0</v>
      </c>
      <c r="L408">
        <f>IF('Working Sheet'!B603="ITEM",'Working Sheet'!K603,"")</f>
        <v>0</v>
      </c>
      <c r="M408" s="33">
        <f>IFERROR(Table2[[#This Row],[Value(1000$) 2022]]/Table2[[#This Row],[Volume(1000) 2022]],0)</f>
        <v>0</v>
      </c>
      <c r="N408" s="33">
        <f>IFERROR(Table2[[#This Row],[Value(1000$) 2023]]/Table2[[#This Row],[Volume(1000) 2023]],0)</f>
        <v>0</v>
      </c>
      <c r="O408" s="33">
        <f>IFERROR(Table2[[#This Row],[Value(1000$) 2024]]/Table2[[#This Row],[Volume(1000) 2024]],0)</f>
        <v>0</v>
      </c>
      <c r="P408" s="33">
        <f>SUM(Table2[[#This Row],[Value(1000$) 2022]:[Value(1000$) 2024]])</f>
        <v>0</v>
      </c>
      <c r="Q408" s="33">
        <f>SUM(Table2[[#This Row],[Volume(1000) 2022]:[Volume(1000) 2024]])</f>
        <v>0</v>
      </c>
      <c r="R408" s="33">
        <f>AVERAGE(Table2[[#This Row],[Average Price(2022)]:[Average Price(2024)]])</f>
        <v>0</v>
      </c>
    </row>
    <row r="409" spans="1:18" x14ac:dyDescent="0.3">
      <c r="A409" t="s">
        <v>517</v>
      </c>
      <c r="B409" t="s">
        <v>791</v>
      </c>
      <c r="C409" t="s">
        <v>465</v>
      </c>
      <c r="D409" t="s">
        <v>9</v>
      </c>
      <c r="E409" t="s">
        <v>64</v>
      </c>
      <c r="F409" s="27" t="str">
        <f>IF('Working Sheet'!B604="ITEM",'Working Sheet'!E604,"")</f>
        <v>56</v>
      </c>
      <c r="G409" s="27">
        <f>IF('Working Sheet'!B604="ITEM",'Working Sheet'!F604,"")</f>
        <v>2.1128999999999998</v>
      </c>
      <c r="H409" s="27">
        <f>IF('Working Sheet'!B604="ITEM",'Working Sheet'!G604,"")</f>
        <v>3.0200000000000001E-2</v>
      </c>
      <c r="I409" s="27">
        <f>IF('Working Sheet'!B604="ITEM",'Working Sheet'!H604,"")</f>
        <v>0</v>
      </c>
      <c r="J409">
        <f>IF('Working Sheet'!B604="ITEM",'Working Sheet'!I604,"")</f>
        <v>32.116500000000002</v>
      </c>
      <c r="K409">
        <f>IF('Working Sheet'!B604="ITEM",'Working Sheet'!J604,"")</f>
        <v>0.44800000000000001</v>
      </c>
      <c r="L409">
        <f>IF('Working Sheet'!B604="ITEM",'Working Sheet'!K604,"")</f>
        <v>0</v>
      </c>
      <c r="M409" s="33">
        <f>IFERROR(Table2[[#This Row],[Value(1000$) 2022]]/Table2[[#This Row],[Volume(1000) 2022]],0)</f>
        <v>6.5788613329596929E-2</v>
      </c>
      <c r="N409" s="33">
        <f>IFERROR(Table2[[#This Row],[Value(1000$) 2023]]/Table2[[#This Row],[Volume(1000) 2023]],0)</f>
        <v>6.7410714285714282E-2</v>
      </c>
      <c r="O409" s="33">
        <f>IFERROR(Table2[[#This Row],[Value(1000$) 2024]]/Table2[[#This Row],[Volume(1000) 2024]],0)</f>
        <v>0</v>
      </c>
      <c r="P409" s="33">
        <f>SUM(Table2[[#This Row],[Value(1000$) 2022]:[Value(1000$) 2024]])</f>
        <v>2.1430999999999996</v>
      </c>
      <c r="Q409" s="33">
        <f>SUM(Table2[[#This Row],[Volume(1000) 2022]:[Volume(1000) 2024]])</f>
        <v>32.564500000000002</v>
      </c>
      <c r="R409" s="33">
        <f>AVERAGE(Table2[[#This Row],[Average Price(2022)]:[Average Price(2024)]])</f>
        <v>4.4399775871770408E-2</v>
      </c>
    </row>
    <row r="410" spans="1:18" x14ac:dyDescent="0.3">
      <c r="A410" t="s">
        <v>518</v>
      </c>
      <c r="B410" t="s">
        <v>791</v>
      </c>
      <c r="C410" t="s">
        <v>465</v>
      </c>
      <c r="D410" t="s">
        <v>9</v>
      </c>
      <c r="E410" t="s">
        <v>64</v>
      </c>
      <c r="F410" s="27" t="str">
        <f>IF('Working Sheet'!B605="ITEM",'Working Sheet'!E605,"")</f>
        <v>56</v>
      </c>
      <c r="G410" s="27">
        <f>IF('Working Sheet'!B605="ITEM",'Working Sheet'!F605,"")</f>
        <v>0</v>
      </c>
      <c r="H410" s="27">
        <f>IF('Working Sheet'!B605="ITEM",'Working Sheet'!G605,"")</f>
        <v>0</v>
      </c>
      <c r="I410" s="27">
        <f>IF('Working Sheet'!B605="ITEM",'Working Sheet'!H605,"")</f>
        <v>0</v>
      </c>
      <c r="J410">
        <f>IF('Working Sheet'!B605="ITEM",'Working Sheet'!I605,"")</f>
        <v>0</v>
      </c>
      <c r="K410">
        <f>IF('Working Sheet'!B605="ITEM",'Working Sheet'!J605,"")</f>
        <v>0</v>
      </c>
      <c r="L410">
        <f>IF('Working Sheet'!B605="ITEM",'Working Sheet'!K605,"")</f>
        <v>0</v>
      </c>
      <c r="M410" s="33">
        <f>IFERROR(Table2[[#This Row],[Value(1000$) 2022]]/Table2[[#This Row],[Volume(1000) 2022]],0)</f>
        <v>0</v>
      </c>
      <c r="N410" s="33">
        <f>IFERROR(Table2[[#This Row],[Value(1000$) 2023]]/Table2[[#This Row],[Volume(1000) 2023]],0)</f>
        <v>0</v>
      </c>
      <c r="O410" s="33">
        <f>IFERROR(Table2[[#This Row],[Value(1000$) 2024]]/Table2[[#This Row],[Volume(1000) 2024]],0)</f>
        <v>0</v>
      </c>
      <c r="P410" s="33">
        <f>SUM(Table2[[#This Row],[Value(1000$) 2022]:[Value(1000$) 2024]])</f>
        <v>0</v>
      </c>
      <c r="Q410" s="33">
        <f>SUM(Table2[[#This Row],[Volume(1000) 2022]:[Volume(1000) 2024]])</f>
        <v>0</v>
      </c>
      <c r="R410" s="33">
        <f>AVERAGE(Table2[[#This Row],[Average Price(2022)]:[Average Price(2024)]])</f>
        <v>0</v>
      </c>
    </row>
    <row r="411" spans="1:18" x14ac:dyDescent="0.3">
      <c r="A411" t="s">
        <v>519</v>
      </c>
      <c r="B411" t="s">
        <v>791</v>
      </c>
      <c r="C411" t="s">
        <v>465</v>
      </c>
      <c r="D411" t="s">
        <v>9</v>
      </c>
      <c r="E411" t="s">
        <v>64</v>
      </c>
      <c r="F411" s="27" t="str">
        <f>IF('Working Sheet'!B606="ITEM",'Working Sheet'!E606,"")</f>
        <v>56</v>
      </c>
      <c r="G411" s="27">
        <f>IF('Working Sheet'!B606="ITEM",'Working Sheet'!F606,"")</f>
        <v>0.03</v>
      </c>
      <c r="H411" s="27">
        <f>IF('Working Sheet'!B606="ITEM",'Working Sheet'!G606,"")</f>
        <v>5.8999999999999999E-3</v>
      </c>
      <c r="I411" s="27">
        <f>IF('Working Sheet'!B606="ITEM",'Working Sheet'!H606,"")</f>
        <v>0</v>
      </c>
      <c r="J411">
        <f>IF('Working Sheet'!B606="ITEM",'Working Sheet'!I606,"")</f>
        <v>0.67200000000000004</v>
      </c>
      <c r="K411">
        <f>IF('Working Sheet'!B606="ITEM",'Working Sheet'!J606,"")</f>
        <v>0.16800000000000001</v>
      </c>
      <c r="L411">
        <f>IF('Working Sheet'!B606="ITEM",'Working Sheet'!K606,"")</f>
        <v>0</v>
      </c>
      <c r="M411" s="33">
        <f>IFERROR(Table2[[#This Row],[Value(1000$) 2022]]/Table2[[#This Row],[Volume(1000) 2022]],0)</f>
        <v>4.4642857142857137E-2</v>
      </c>
      <c r="N411" s="33">
        <f>IFERROR(Table2[[#This Row],[Value(1000$) 2023]]/Table2[[#This Row],[Volume(1000) 2023]],0)</f>
        <v>3.5119047619047619E-2</v>
      </c>
      <c r="O411" s="33">
        <f>IFERROR(Table2[[#This Row],[Value(1000$) 2024]]/Table2[[#This Row],[Volume(1000) 2024]],0)</f>
        <v>0</v>
      </c>
      <c r="P411" s="33">
        <f>SUM(Table2[[#This Row],[Value(1000$) 2022]:[Value(1000$) 2024]])</f>
        <v>3.5900000000000001E-2</v>
      </c>
      <c r="Q411" s="33">
        <f>SUM(Table2[[#This Row],[Volume(1000) 2022]:[Volume(1000) 2024]])</f>
        <v>0.84000000000000008</v>
      </c>
      <c r="R411" s="33">
        <f>AVERAGE(Table2[[#This Row],[Average Price(2022)]:[Average Price(2024)]])</f>
        <v>2.6587301587301587E-2</v>
      </c>
    </row>
    <row r="412" spans="1:18" x14ac:dyDescent="0.3">
      <c r="A412" t="s">
        <v>520</v>
      </c>
      <c r="B412" t="s">
        <v>791</v>
      </c>
      <c r="C412" t="s">
        <v>465</v>
      </c>
      <c r="D412" t="s">
        <v>9</v>
      </c>
      <c r="E412" t="s">
        <v>64</v>
      </c>
      <c r="F412" s="27" t="str">
        <f>IF('Working Sheet'!B607="ITEM",'Working Sheet'!E607,"")</f>
        <v>56</v>
      </c>
      <c r="G412" s="27">
        <f>IF('Working Sheet'!B607="ITEM",'Working Sheet'!F607,"")</f>
        <v>3.5200000000000002E-2</v>
      </c>
      <c r="H412" s="27">
        <f>IF('Working Sheet'!B607="ITEM",'Working Sheet'!G607,"")</f>
        <v>0</v>
      </c>
      <c r="I412" s="27">
        <f>IF('Working Sheet'!B607="ITEM",'Working Sheet'!H607,"")</f>
        <v>0</v>
      </c>
      <c r="J412">
        <f>IF('Working Sheet'!B607="ITEM",'Working Sheet'!I607,"")</f>
        <v>0.65949999999999998</v>
      </c>
      <c r="K412">
        <f>IF('Working Sheet'!B607="ITEM",'Working Sheet'!J607,"")</f>
        <v>0</v>
      </c>
      <c r="L412">
        <f>IF('Working Sheet'!B607="ITEM",'Working Sheet'!K607,"")</f>
        <v>0</v>
      </c>
      <c r="M412" s="33">
        <f>IFERROR(Table2[[#This Row],[Value(1000$) 2022]]/Table2[[#This Row],[Volume(1000) 2022]],0)</f>
        <v>5.3373768006065206E-2</v>
      </c>
      <c r="N412" s="33">
        <f>IFERROR(Table2[[#This Row],[Value(1000$) 2023]]/Table2[[#This Row],[Volume(1000) 2023]],0)</f>
        <v>0</v>
      </c>
      <c r="O412" s="33">
        <f>IFERROR(Table2[[#This Row],[Value(1000$) 2024]]/Table2[[#This Row],[Volume(1000) 2024]],0)</f>
        <v>0</v>
      </c>
      <c r="P412" s="33">
        <f>SUM(Table2[[#This Row],[Value(1000$) 2022]:[Value(1000$) 2024]])</f>
        <v>3.5200000000000002E-2</v>
      </c>
      <c r="Q412" s="33">
        <f>SUM(Table2[[#This Row],[Volume(1000) 2022]:[Volume(1000) 2024]])</f>
        <v>0.65949999999999998</v>
      </c>
      <c r="R412" s="33">
        <f>AVERAGE(Table2[[#This Row],[Average Price(2022)]:[Average Price(2024)]])</f>
        <v>1.7791256002021735E-2</v>
      </c>
    </row>
    <row r="413" spans="1:18" x14ac:dyDescent="0.3">
      <c r="A413" t="s">
        <v>521</v>
      </c>
      <c r="B413" t="s">
        <v>791</v>
      </c>
      <c r="C413" t="s">
        <v>465</v>
      </c>
      <c r="D413" t="s">
        <v>9</v>
      </c>
      <c r="E413" t="s">
        <v>64</v>
      </c>
      <c r="F413" s="27" t="str">
        <f>IF('Working Sheet'!B608="ITEM",'Working Sheet'!E608,"")</f>
        <v>56</v>
      </c>
      <c r="G413" s="27">
        <f>IF('Working Sheet'!B608="ITEM",'Working Sheet'!F608,"")</f>
        <v>0.17460000000000001</v>
      </c>
      <c r="H413" s="27">
        <f>IF('Working Sheet'!B608="ITEM",'Working Sheet'!G608,"")</f>
        <v>5.2699999999999997E-2</v>
      </c>
      <c r="I413" s="27">
        <f>IF('Working Sheet'!B608="ITEM",'Working Sheet'!H608,"")</f>
        <v>1.09E-2</v>
      </c>
      <c r="J413">
        <f>IF('Working Sheet'!B608="ITEM",'Working Sheet'!I608,"")</f>
        <v>3.8159000000000001</v>
      </c>
      <c r="K413">
        <f>IF('Working Sheet'!B608="ITEM",'Working Sheet'!J608,"")</f>
        <v>1.4</v>
      </c>
      <c r="L413">
        <f>IF('Working Sheet'!B608="ITEM",'Working Sheet'!K608,"")</f>
        <v>0.28000000000000003</v>
      </c>
      <c r="M413" s="33">
        <f>IFERROR(Table2[[#This Row],[Value(1000$) 2022]]/Table2[[#This Row],[Volume(1000) 2022]],0)</f>
        <v>4.575591603553552E-2</v>
      </c>
      <c r="N413" s="33">
        <f>IFERROR(Table2[[#This Row],[Value(1000$) 2023]]/Table2[[#This Row],[Volume(1000) 2023]],0)</f>
        <v>3.7642857142857145E-2</v>
      </c>
      <c r="O413" s="33">
        <f>IFERROR(Table2[[#This Row],[Value(1000$) 2024]]/Table2[[#This Row],[Volume(1000) 2024]],0)</f>
        <v>3.8928571428571423E-2</v>
      </c>
      <c r="P413" s="33">
        <f>SUM(Table2[[#This Row],[Value(1000$) 2022]:[Value(1000$) 2024]])</f>
        <v>0.2382</v>
      </c>
      <c r="Q413" s="33">
        <f>SUM(Table2[[#This Row],[Volume(1000) 2022]:[Volume(1000) 2024]])</f>
        <v>5.4958999999999998</v>
      </c>
      <c r="R413" s="33">
        <f>AVERAGE(Table2[[#This Row],[Average Price(2022)]:[Average Price(2024)]])</f>
        <v>4.0775781535654698E-2</v>
      </c>
    </row>
    <row r="414" spans="1:18" x14ac:dyDescent="0.3">
      <c r="A414" t="s">
        <v>522</v>
      </c>
      <c r="B414" t="s">
        <v>791</v>
      </c>
      <c r="C414" t="s">
        <v>465</v>
      </c>
      <c r="D414" t="s">
        <v>9</v>
      </c>
      <c r="E414" t="s">
        <v>64</v>
      </c>
      <c r="F414" s="27" t="str">
        <f>IF('Working Sheet'!B609="ITEM",'Working Sheet'!E609,"")</f>
        <v>56</v>
      </c>
      <c r="G414" s="27">
        <f>IF('Working Sheet'!B609="ITEM",'Working Sheet'!F609,"")</f>
        <v>0</v>
      </c>
      <c r="H414" s="27">
        <f>IF('Working Sheet'!B609="ITEM",'Working Sheet'!G609,"")</f>
        <v>0</v>
      </c>
      <c r="I414" s="27">
        <f>IF('Working Sheet'!B609="ITEM",'Working Sheet'!H609,"")</f>
        <v>0</v>
      </c>
      <c r="J414">
        <f>IF('Working Sheet'!B609="ITEM",'Working Sheet'!I609,"")</f>
        <v>0</v>
      </c>
      <c r="K414">
        <f>IF('Working Sheet'!B609="ITEM",'Working Sheet'!J609,"")</f>
        <v>0</v>
      </c>
      <c r="L414">
        <f>IF('Working Sheet'!B609="ITEM",'Working Sheet'!K609,"")</f>
        <v>0</v>
      </c>
      <c r="M414" s="33">
        <f>IFERROR(Table2[[#This Row],[Value(1000$) 2022]]/Table2[[#This Row],[Volume(1000) 2022]],0)</f>
        <v>0</v>
      </c>
      <c r="N414" s="33">
        <f>IFERROR(Table2[[#This Row],[Value(1000$) 2023]]/Table2[[#This Row],[Volume(1000) 2023]],0)</f>
        <v>0</v>
      </c>
      <c r="O414" s="33">
        <f>IFERROR(Table2[[#This Row],[Value(1000$) 2024]]/Table2[[#This Row],[Volume(1000) 2024]],0)</f>
        <v>0</v>
      </c>
      <c r="P414" s="33">
        <f>SUM(Table2[[#This Row],[Value(1000$) 2022]:[Value(1000$) 2024]])</f>
        <v>0</v>
      </c>
      <c r="Q414" s="33">
        <f>SUM(Table2[[#This Row],[Volume(1000) 2022]:[Volume(1000) 2024]])</f>
        <v>0</v>
      </c>
      <c r="R414" s="33">
        <f>AVERAGE(Table2[[#This Row],[Average Price(2022)]:[Average Price(2024)]])</f>
        <v>0</v>
      </c>
    </row>
    <row r="415" spans="1:18" x14ac:dyDescent="0.3">
      <c r="A415" t="s">
        <v>523</v>
      </c>
      <c r="B415" t="s">
        <v>791</v>
      </c>
      <c r="C415" t="s">
        <v>465</v>
      </c>
      <c r="D415" t="s">
        <v>9</v>
      </c>
      <c r="E415" t="s">
        <v>64</v>
      </c>
      <c r="F415" s="27" t="str">
        <f>IF('Working Sheet'!B610="ITEM",'Working Sheet'!E610,"")</f>
        <v>56</v>
      </c>
      <c r="G415" s="27">
        <f>IF('Working Sheet'!B610="ITEM",'Working Sheet'!F610,"")</f>
        <v>1.0412999999999999</v>
      </c>
      <c r="H415" s="27">
        <f>IF('Working Sheet'!B610="ITEM",'Working Sheet'!G610,"")</f>
        <v>0</v>
      </c>
      <c r="I415" s="27">
        <f>IF('Working Sheet'!B610="ITEM",'Working Sheet'!H610,"")</f>
        <v>0</v>
      </c>
      <c r="J415">
        <f>IF('Working Sheet'!B610="ITEM",'Working Sheet'!I610,"")</f>
        <v>23.5031</v>
      </c>
      <c r="K415">
        <f>IF('Working Sheet'!B610="ITEM",'Working Sheet'!J610,"")</f>
        <v>0</v>
      </c>
      <c r="L415">
        <f>IF('Working Sheet'!B610="ITEM",'Working Sheet'!K610,"")</f>
        <v>0</v>
      </c>
      <c r="M415" s="33">
        <f>IFERROR(Table2[[#This Row],[Value(1000$) 2022]]/Table2[[#This Row],[Volume(1000) 2022]],0)</f>
        <v>4.4304793835706777E-2</v>
      </c>
      <c r="N415" s="33">
        <f>IFERROR(Table2[[#This Row],[Value(1000$) 2023]]/Table2[[#This Row],[Volume(1000) 2023]],0)</f>
        <v>0</v>
      </c>
      <c r="O415" s="33">
        <f>IFERROR(Table2[[#This Row],[Value(1000$) 2024]]/Table2[[#This Row],[Volume(1000) 2024]],0)</f>
        <v>0</v>
      </c>
      <c r="P415" s="33">
        <f>SUM(Table2[[#This Row],[Value(1000$) 2022]:[Value(1000$) 2024]])</f>
        <v>1.0412999999999999</v>
      </c>
      <c r="Q415" s="33">
        <f>SUM(Table2[[#This Row],[Volume(1000) 2022]:[Volume(1000) 2024]])</f>
        <v>23.5031</v>
      </c>
      <c r="R415" s="33">
        <f>AVERAGE(Table2[[#This Row],[Average Price(2022)]:[Average Price(2024)]])</f>
        <v>1.4768264611902259E-2</v>
      </c>
    </row>
    <row r="416" spans="1:18" x14ac:dyDescent="0.3">
      <c r="A416" t="s">
        <v>524</v>
      </c>
      <c r="B416" t="s">
        <v>791</v>
      </c>
      <c r="C416" t="s">
        <v>465</v>
      </c>
      <c r="D416" t="s">
        <v>9</v>
      </c>
      <c r="E416" t="s">
        <v>64</v>
      </c>
      <c r="F416" s="27" t="str">
        <f>IF('Working Sheet'!B611="ITEM",'Working Sheet'!E611,"")</f>
        <v>56</v>
      </c>
      <c r="G416" s="27">
        <f>IF('Working Sheet'!B611="ITEM",'Working Sheet'!F611,"")</f>
        <v>3.8100000000000002E-2</v>
      </c>
      <c r="H416" s="27">
        <f>IF('Working Sheet'!B611="ITEM",'Working Sheet'!G611,"")</f>
        <v>7.4000000000000003E-3</v>
      </c>
      <c r="I416" s="27">
        <f>IF('Working Sheet'!B611="ITEM",'Working Sheet'!H611,"")</f>
        <v>1.11E-2</v>
      </c>
      <c r="J416">
        <f>IF('Working Sheet'!B611="ITEM",'Working Sheet'!I611,"")</f>
        <v>0.67200000000000004</v>
      </c>
      <c r="K416">
        <f>IF('Working Sheet'!B611="ITEM",'Working Sheet'!J611,"")</f>
        <v>0.112</v>
      </c>
      <c r="L416">
        <f>IF('Working Sheet'!B611="ITEM",'Working Sheet'!K611,"")</f>
        <v>0.16800000000000001</v>
      </c>
      <c r="M416" s="33">
        <f>IFERROR(Table2[[#This Row],[Value(1000$) 2022]]/Table2[[#This Row],[Volume(1000) 2022]],0)</f>
        <v>5.6696428571428571E-2</v>
      </c>
      <c r="N416" s="33">
        <f>IFERROR(Table2[[#This Row],[Value(1000$) 2023]]/Table2[[#This Row],[Volume(1000) 2023]],0)</f>
        <v>6.6071428571428573E-2</v>
      </c>
      <c r="O416" s="33">
        <f>IFERROR(Table2[[#This Row],[Value(1000$) 2024]]/Table2[[#This Row],[Volume(1000) 2024]],0)</f>
        <v>6.6071428571428573E-2</v>
      </c>
      <c r="P416" s="33">
        <f>SUM(Table2[[#This Row],[Value(1000$) 2022]:[Value(1000$) 2024]])</f>
        <v>5.6599999999999998E-2</v>
      </c>
      <c r="Q416" s="33">
        <f>SUM(Table2[[#This Row],[Volume(1000) 2022]:[Volume(1000) 2024]])</f>
        <v>0.95200000000000007</v>
      </c>
      <c r="R416" s="33">
        <f>AVERAGE(Table2[[#This Row],[Average Price(2022)]:[Average Price(2024)]])</f>
        <v>6.294642857142857E-2</v>
      </c>
    </row>
    <row r="417" spans="1:18" x14ac:dyDescent="0.3">
      <c r="A417" t="s">
        <v>525</v>
      </c>
      <c r="B417" t="s">
        <v>791</v>
      </c>
      <c r="C417" t="s">
        <v>465</v>
      </c>
      <c r="D417" t="s">
        <v>9</v>
      </c>
      <c r="E417" t="s">
        <v>64</v>
      </c>
      <c r="F417" s="27" t="str">
        <f>IF('Working Sheet'!B612="ITEM",'Working Sheet'!E612,"")</f>
        <v>56</v>
      </c>
      <c r="G417" s="27">
        <f>IF('Working Sheet'!B612="ITEM",'Working Sheet'!F612,"")</f>
        <v>1.0855999999999999</v>
      </c>
      <c r="H417" s="27">
        <f>IF('Working Sheet'!B612="ITEM",'Working Sheet'!G612,"")</f>
        <v>0.58120000000000005</v>
      </c>
      <c r="I417" s="27">
        <f>IF('Working Sheet'!B612="ITEM",'Working Sheet'!H612,"")</f>
        <v>0</v>
      </c>
      <c r="J417">
        <f>IF('Working Sheet'!B612="ITEM",'Working Sheet'!I612,"")</f>
        <v>19.170200000000001</v>
      </c>
      <c r="K417">
        <f>IF('Working Sheet'!B612="ITEM",'Working Sheet'!J612,"")</f>
        <v>10.2963</v>
      </c>
      <c r="L417">
        <f>IF('Working Sheet'!B612="ITEM",'Working Sheet'!K612,"")</f>
        <v>0</v>
      </c>
      <c r="M417" s="33">
        <f>IFERROR(Table2[[#This Row],[Value(1000$) 2022]]/Table2[[#This Row],[Volume(1000) 2022]],0)</f>
        <v>5.6629560463636257E-2</v>
      </c>
      <c r="N417" s="33">
        <f>IFERROR(Table2[[#This Row],[Value(1000$) 2023]]/Table2[[#This Row],[Volume(1000) 2023]],0)</f>
        <v>5.6447461709546148E-2</v>
      </c>
      <c r="O417" s="33">
        <f>IFERROR(Table2[[#This Row],[Value(1000$) 2024]]/Table2[[#This Row],[Volume(1000) 2024]],0)</f>
        <v>0</v>
      </c>
      <c r="P417" s="33">
        <f>SUM(Table2[[#This Row],[Value(1000$) 2022]:[Value(1000$) 2024]])</f>
        <v>1.6667999999999998</v>
      </c>
      <c r="Q417" s="33">
        <f>SUM(Table2[[#This Row],[Volume(1000) 2022]:[Volume(1000) 2024]])</f>
        <v>29.466500000000003</v>
      </c>
      <c r="R417" s="33">
        <f>AVERAGE(Table2[[#This Row],[Average Price(2022)]:[Average Price(2024)]])</f>
        <v>3.769234072439414E-2</v>
      </c>
    </row>
    <row r="418" spans="1:18" x14ac:dyDescent="0.3">
      <c r="A418" t="s">
        <v>526</v>
      </c>
      <c r="B418" t="s">
        <v>791</v>
      </c>
      <c r="C418" t="s">
        <v>465</v>
      </c>
      <c r="D418" t="s">
        <v>9</v>
      </c>
      <c r="E418" t="s">
        <v>64</v>
      </c>
      <c r="F418" s="27" t="str">
        <f>IF('Working Sheet'!B613="ITEM",'Working Sheet'!E613,"")</f>
        <v>56</v>
      </c>
      <c r="G418" s="27">
        <f>IF('Working Sheet'!B613="ITEM",'Working Sheet'!F613,"")</f>
        <v>0.72109999999999996</v>
      </c>
      <c r="H418" s="27">
        <f>IF('Working Sheet'!B613="ITEM",'Working Sheet'!G613,"")</f>
        <v>5.3105000000000002</v>
      </c>
      <c r="I418" s="27">
        <f>IF('Working Sheet'!B613="ITEM",'Working Sheet'!H613,"")</f>
        <v>0</v>
      </c>
      <c r="J418">
        <f>IF('Working Sheet'!B613="ITEM",'Working Sheet'!I613,"")</f>
        <v>13.8162</v>
      </c>
      <c r="K418">
        <f>IF('Working Sheet'!B613="ITEM",'Working Sheet'!J613,"")</f>
        <v>130.43450000000001</v>
      </c>
      <c r="L418">
        <f>IF('Working Sheet'!B613="ITEM",'Working Sheet'!K613,"")</f>
        <v>0</v>
      </c>
      <c r="M418" s="33">
        <f>IFERROR(Table2[[#This Row],[Value(1000$) 2022]]/Table2[[#This Row],[Volume(1000) 2022]],0)</f>
        <v>5.219235390338877E-2</v>
      </c>
      <c r="N418" s="33">
        <f>IFERROR(Table2[[#This Row],[Value(1000$) 2023]]/Table2[[#This Row],[Volume(1000) 2023]],0)</f>
        <v>4.0713921546830012E-2</v>
      </c>
      <c r="O418" s="33">
        <f>IFERROR(Table2[[#This Row],[Value(1000$) 2024]]/Table2[[#This Row],[Volume(1000) 2024]],0)</f>
        <v>0</v>
      </c>
      <c r="P418" s="33">
        <f>SUM(Table2[[#This Row],[Value(1000$) 2022]:[Value(1000$) 2024]])</f>
        <v>6.0316000000000001</v>
      </c>
      <c r="Q418" s="33">
        <f>SUM(Table2[[#This Row],[Volume(1000) 2022]:[Volume(1000) 2024]])</f>
        <v>144.25070000000002</v>
      </c>
      <c r="R418" s="33">
        <f>AVERAGE(Table2[[#This Row],[Average Price(2022)]:[Average Price(2024)]])</f>
        <v>3.0968758483406262E-2</v>
      </c>
    </row>
    <row r="419" spans="1:18" x14ac:dyDescent="0.3">
      <c r="A419" t="s">
        <v>527</v>
      </c>
      <c r="B419" t="s">
        <v>791</v>
      </c>
      <c r="C419" t="s">
        <v>465</v>
      </c>
      <c r="D419" t="s">
        <v>9</v>
      </c>
      <c r="E419" t="s">
        <v>64</v>
      </c>
      <c r="F419" s="27" t="str">
        <f>IF('Working Sheet'!B614="ITEM",'Working Sheet'!E614,"")</f>
        <v>56</v>
      </c>
      <c r="G419" s="27">
        <f>IF('Working Sheet'!B614="ITEM",'Working Sheet'!F614,"")</f>
        <v>0.80620000000000003</v>
      </c>
      <c r="H419" s="27">
        <f>IF('Working Sheet'!B614="ITEM",'Working Sheet'!G614,"")</f>
        <v>0</v>
      </c>
      <c r="I419" s="27">
        <f>IF('Working Sheet'!B614="ITEM",'Working Sheet'!H614,"")</f>
        <v>0</v>
      </c>
      <c r="J419">
        <f>IF('Working Sheet'!B614="ITEM",'Working Sheet'!I614,"")</f>
        <v>18.060500000000001</v>
      </c>
      <c r="K419">
        <f>IF('Working Sheet'!B614="ITEM",'Working Sheet'!J614,"")</f>
        <v>0</v>
      </c>
      <c r="L419">
        <f>IF('Working Sheet'!B614="ITEM",'Working Sheet'!K614,"")</f>
        <v>0</v>
      </c>
      <c r="M419" s="33">
        <f>IFERROR(Table2[[#This Row],[Value(1000$) 2022]]/Table2[[#This Row],[Volume(1000) 2022]],0)</f>
        <v>4.4638852744940616E-2</v>
      </c>
      <c r="N419" s="33">
        <f>IFERROR(Table2[[#This Row],[Value(1000$) 2023]]/Table2[[#This Row],[Volume(1000) 2023]],0)</f>
        <v>0</v>
      </c>
      <c r="O419" s="33">
        <f>IFERROR(Table2[[#This Row],[Value(1000$) 2024]]/Table2[[#This Row],[Volume(1000) 2024]],0)</f>
        <v>0</v>
      </c>
      <c r="P419" s="33">
        <f>SUM(Table2[[#This Row],[Value(1000$) 2022]:[Value(1000$) 2024]])</f>
        <v>0.80620000000000003</v>
      </c>
      <c r="Q419" s="33">
        <f>SUM(Table2[[#This Row],[Volume(1000) 2022]:[Volume(1000) 2024]])</f>
        <v>18.060500000000001</v>
      </c>
      <c r="R419" s="33">
        <f>AVERAGE(Table2[[#This Row],[Average Price(2022)]:[Average Price(2024)]])</f>
        <v>1.4879617581646873E-2</v>
      </c>
    </row>
    <row r="420" spans="1:18" x14ac:dyDescent="0.3">
      <c r="A420" t="s">
        <v>528</v>
      </c>
      <c r="B420" t="s">
        <v>791</v>
      </c>
      <c r="C420" t="s">
        <v>465</v>
      </c>
      <c r="D420" t="s">
        <v>9</v>
      </c>
      <c r="E420" t="s">
        <v>30</v>
      </c>
      <c r="F420" s="27" t="str">
        <f>IF('Working Sheet'!B615="ITEM",'Working Sheet'!E615,"")</f>
        <v>64</v>
      </c>
      <c r="G420" s="27">
        <f>IF('Working Sheet'!B615="ITEM",'Working Sheet'!F615,"")</f>
        <v>15.5359</v>
      </c>
      <c r="H420" s="27">
        <f>IF('Working Sheet'!B615="ITEM",'Working Sheet'!G615,"")</f>
        <v>0.67789999999999995</v>
      </c>
      <c r="I420" s="27">
        <f>IF('Working Sheet'!B615="ITEM",'Working Sheet'!H615,"")</f>
        <v>0</v>
      </c>
      <c r="J420">
        <f>IF('Working Sheet'!B615="ITEM",'Working Sheet'!I615,"")</f>
        <v>345.3125</v>
      </c>
      <c r="K420">
        <f>IF('Working Sheet'!B615="ITEM",'Working Sheet'!J615,"")</f>
        <v>13.0631</v>
      </c>
      <c r="L420">
        <f>IF('Working Sheet'!B615="ITEM",'Working Sheet'!K615,"")</f>
        <v>0</v>
      </c>
      <c r="M420" s="33">
        <f>IFERROR(Table2[[#This Row],[Value(1000$) 2022]]/Table2[[#This Row],[Volume(1000) 2022]],0)</f>
        <v>4.4990841628959277E-2</v>
      </c>
      <c r="N420" s="33">
        <f>IFERROR(Table2[[#This Row],[Value(1000$) 2023]]/Table2[[#This Row],[Volume(1000) 2023]],0)</f>
        <v>5.1894267057589691E-2</v>
      </c>
      <c r="O420" s="33">
        <f>IFERROR(Table2[[#This Row],[Value(1000$) 2024]]/Table2[[#This Row],[Volume(1000) 2024]],0)</f>
        <v>0</v>
      </c>
      <c r="P420" s="33">
        <f>SUM(Table2[[#This Row],[Value(1000$) 2022]:[Value(1000$) 2024]])</f>
        <v>16.213799999999999</v>
      </c>
      <c r="Q420" s="33">
        <f>SUM(Table2[[#This Row],[Volume(1000) 2022]:[Volume(1000) 2024]])</f>
        <v>358.37560000000002</v>
      </c>
      <c r="R420" s="33">
        <f>AVERAGE(Table2[[#This Row],[Average Price(2022)]:[Average Price(2024)]])</f>
        <v>3.2295036228849654E-2</v>
      </c>
    </row>
    <row r="421" spans="1:18" x14ac:dyDescent="0.3">
      <c r="A421" t="s">
        <v>529</v>
      </c>
      <c r="B421" t="s">
        <v>791</v>
      </c>
      <c r="C421" t="s">
        <v>465</v>
      </c>
      <c r="D421" t="s">
        <v>9</v>
      </c>
      <c r="E421" t="s">
        <v>10</v>
      </c>
      <c r="F421" s="27" t="str">
        <f>IF('Working Sheet'!B616="ITEM",'Working Sheet'!E616,"")</f>
        <v>64</v>
      </c>
      <c r="G421" s="27">
        <f>IF('Working Sheet'!B616="ITEM",'Working Sheet'!F616,"")</f>
        <v>0.33579999999999999</v>
      </c>
      <c r="H421" s="27">
        <f>IF('Working Sheet'!B616="ITEM",'Working Sheet'!G616,"")</f>
        <v>0</v>
      </c>
      <c r="I421" s="27">
        <f>IF('Working Sheet'!B616="ITEM",'Working Sheet'!H616,"")</f>
        <v>0</v>
      </c>
      <c r="J421">
        <f>IF('Working Sheet'!B616="ITEM",'Working Sheet'!I616,"")</f>
        <v>9.1472999999999995</v>
      </c>
      <c r="K421">
        <f>IF('Working Sheet'!B616="ITEM",'Working Sheet'!J616,"")</f>
        <v>0</v>
      </c>
      <c r="L421">
        <f>IF('Working Sheet'!B616="ITEM",'Working Sheet'!K616,"")</f>
        <v>0</v>
      </c>
      <c r="M421" s="33">
        <f>IFERROR(Table2[[#This Row],[Value(1000$) 2022]]/Table2[[#This Row],[Volume(1000) 2022]],0)</f>
        <v>3.6710286095350542E-2</v>
      </c>
      <c r="N421" s="33">
        <f>IFERROR(Table2[[#This Row],[Value(1000$) 2023]]/Table2[[#This Row],[Volume(1000) 2023]],0)</f>
        <v>0</v>
      </c>
      <c r="O421" s="33">
        <f>IFERROR(Table2[[#This Row],[Value(1000$) 2024]]/Table2[[#This Row],[Volume(1000) 2024]],0)</f>
        <v>0</v>
      </c>
      <c r="P421" s="33">
        <f>SUM(Table2[[#This Row],[Value(1000$) 2022]:[Value(1000$) 2024]])</f>
        <v>0.33579999999999999</v>
      </c>
      <c r="Q421" s="33">
        <f>SUM(Table2[[#This Row],[Volume(1000) 2022]:[Volume(1000) 2024]])</f>
        <v>9.1472999999999995</v>
      </c>
      <c r="R421" s="33">
        <f>AVERAGE(Table2[[#This Row],[Average Price(2022)]:[Average Price(2024)]])</f>
        <v>1.2236762031783513E-2</v>
      </c>
    </row>
    <row r="422" spans="1:18" x14ac:dyDescent="0.3">
      <c r="A422" t="s">
        <v>530</v>
      </c>
      <c r="B422" t="s">
        <v>791</v>
      </c>
      <c r="C422" t="s">
        <v>465</v>
      </c>
      <c r="D422" t="s">
        <v>9</v>
      </c>
      <c r="E422" t="s">
        <v>10</v>
      </c>
      <c r="F422" s="27" t="str">
        <f>IF('Working Sheet'!B617="ITEM",'Working Sheet'!E617,"")</f>
        <v>64</v>
      </c>
      <c r="G422" s="27">
        <f>IF('Working Sheet'!B617="ITEM",'Working Sheet'!F617,"")</f>
        <v>27.901900000000001</v>
      </c>
      <c r="H422" s="27">
        <f>IF('Working Sheet'!B617="ITEM",'Working Sheet'!G617,"")</f>
        <v>8.1903000000000006</v>
      </c>
      <c r="I422" s="27">
        <f>IF('Working Sheet'!B617="ITEM",'Working Sheet'!H617,"")</f>
        <v>0.88470000000000004</v>
      </c>
      <c r="J422">
        <f>IF('Working Sheet'!B617="ITEM",'Working Sheet'!I617,"")</f>
        <v>618.1096</v>
      </c>
      <c r="K422">
        <f>IF('Working Sheet'!B617="ITEM",'Working Sheet'!J617,"")</f>
        <v>185.2071</v>
      </c>
      <c r="L422">
        <f>IF('Working Sheet'!B617="ITEM",'Working Sheet'!K617,"")</f>
        <v>18.353999999999999</v>
      </c>
      <c r="M422" s="33">
        <f>IFERROR(Table2[[#This Row],[Value(1000$) 2022]]/Table2[[#This Row],[Volume(1000) 2022]],0)</f>
        <v>4.5140699966478438E-2</v>
      </c>
      <c r="N422" s="33">
        <f>IFERROR(Table2[[#This Row],[Value(1000$) 2023]]/Table2[[#This Row],[Volume(1000) 2023]],0)</f>
        <v>4.4222386722755233E-2</v>
      </c>
      <c r="O422" s="33">
        <f>IFERROR(Table2[[#This Row],[Value(1000$) 2024]]/Table2[[#This Row],[Volume(1000) 2024]],0)</f>
        <v>4.8202026806145805E-2</v>
      </c>
      <c r="P422" s="33">
        <f>SUM(Table2[[#This Row],[Value(1000$) 2022]:[Value(1000$) 2024]])</f>
        <v>36.976900000000008</v>
      </c>
      <c r="Q422" s="33">
        <f>SUM(Table2[[#This Row],[Volume(1000) 2022]:[Volume(1000) 2024]])</f>
        <v>821.67070000000001</v>
      </c>
      <c r="R422" s="33">
        <f>AVERAGE(Table2[[#This Row],[Average Price(2022)]:[Average Price(2024)]])</f>
        <v>4.5855037831793156E-2</v>
      </c>
    </row>
    <row r="423" spans="1:18" x14ac:dyDescent="0.3">
      <c r="A423" t="s">
        <v>531</v>
      </c>
      <c r="B423" t="s">
        <v>791</v>
      </c>
      <c r="C423" t="s">
        <v>465</v>
      </c>
      <c r="D423" t="s">
        <v>9</v>
      </c>
      <c r="E423" t="s">
        <v>10</v>
      </c>
      <c r="F423" s="27" t="str">
        <f>IF('Working Sheet'!B618="ITEM",'Working Sheet'!E618,"")</f>
        <v>64</v>
      </c>
      <c r="G423" s="27">
        <f>IF('Working Sheet'!B618="ITEM",'Working Sheet'!F618,"")</f>
        <v>2.58E-2</v>
      </c>
      <c r="H423" s="27">
        <f>IF('Working Sheet'!B618="ITEM",'Working Sheet'!G618,"")</f>
        <v>7.9000000000000008E-3</v>
      </c>
      <c r="I423" s="27">
        <f>IF('Working Sheet'!B618="ITEM",'Working Sheet'!H618,"")</f>
        <v>0</v>
      </c>
      <c r="J423">
        <f>IF('Working Sheet'!B618="ITEM",'Working Sheet'!I618,"")</f>
        <v>0.57599999999999996</v>
      </c>
      <c r="K423">
        <f>IF('Working Sheet'!B618="ITEM",'Working Sheet'!J618,"")</f>
        <v>0.38400000000000001</v>
      </c>
      <c r="L423">
        <f>IF('Working Sheet'!B618="ITEM",'Working Sheet'!K618,"")</f>
        <v>0</v>
      </c>
      <c r="M423" s="33">
        <f>IFERROR(Table2[[#This Row],[Value(1000$) 2022]]/Table2[[#This Row],[Volume(1000) 2022]],0)</f>
        <v>4.4791666666666667E-2</v>
      </c>
      <c r="N423" s="33">
        <f>IFERROR(Table2[[#This Row],[Value(1000$) 2023]]/Table2[[#This Row],[Volume(1000) 2023]],0)</f>
        <v>2.057291666666667E-2</v>
      </c>
      <c r="O423" s="33">
        <f>IFERROR(Table2[[#This Row],[Value(1000$) 2024]]/Table2[[#This Row],[Volume(1000) 2024]],0)</f>
        <v>0</v>
      </c>
      <c r="P423" s="33">
        <f>SUM(Table2[[#This Row],[Value(1000$) 2022]:[Value(1000$) 2024]])</f>
        <v>3.3700000000000001E-2</v>
      </c>
      <c r="Q423" s="33">
        <f>SUM(Table2[[#This Row],[Volume(1000) 2022]:[Volume(1000) 2024]])</f>
        <v>0.96</v>
      </c>
      <c r="R423" s="33">
        <f>AVERAGE(Table2[[#This Row],[Average Price(2022)]:[Average Price(2024)]])</f>
        <v>2.1788194444444447E-2</v>
      </c>
    </row>
    <row r="424" spans="1:18" x14ac:dyDescent="0.3">
      <c r="A424" t="s">
        <v>532</v>
      </c>
      <c r="B424" t="s">
        <v>791</v>
      </c>
      <c r="C424" t="s">
        <v>465</v>
      </c>
      <c r="D424" t="s">
        <v>9</v>
      </c>
      <c r="E424" t="s">
        <v>10</v>
      </c>
      <c r="F424" s="27" t="str">
        <f>IF('Working Sheet'!B619="ITEM",'Working Sheet'!E619,"")</f>
        <v>64</v>
      </c>
      <c r="G424" s="27">
        <f>IF('Working Sheet'!B619="ITEM",'Working Sheet'!F619,"")</f>
        <v>0</v>
      </c>
      <c r="H424" s="27">
        <f>IF('Working Sheet'!B619="ITEM",'Working Sheet'!G619,"")</f>
        <v>0</v>
      </c>
      <c r="I424" s="27">
        <f>IF('Working Sheet'!B619="ITEM",'Working Sheet'!H619,"")</f>
        <v>0</v>
      </c>
      <c r="J424">
        <f>IF('Working Sheet'!B619="ITEM",'Working Sheet'!I619,"")</f>
        <v>0</v>
      </c>
      <c r="K424">
        <f>IF('Working Sheet'!B619="ITEM",'Working Sheet'!J619,"")</f>
        <v>0</v>
      </c>
      <c r="L424">
        <f>IF('Working Sheet'!B619="ITEM",'Working Sheet'!K619,"")</f>
        <v>0</v>
      </c>
      <c r="M424" s="33">
        <f>IFERROR(Table2[[#This Row],[Value(1000$) 2022]]/Table2[[#This Row],[Volume(1000) 2022]],0)</f>
        <v>0</v>
      </c>
      <c r="N424" s="33">
        <f>IFERROR(Table2[[#This Row],[Value(1000$) 2023]]/Table2[[#This Row],[Volume(1000) 2023]],0)</f>
        <v>0</v>
      </c>
      <c r="O424" s="33">
        <f>IFERROR(Table2[[#This Row],[Value(1000$) 2024]]/Table2[[#This Row],[Volume(1000) 2024]],0)</f>
        <v>0</v>
      </c>
      <c r="P424" s="33">
        <f>SUM(Table2[[#This Row],[Value(1000$) 2022]:[Value(1000$) 2024]])</f>
        <v>0</v>
      </c>
      <c r="Q424" s="33">
        <f>SUM(Table2[[#This Row],[Volume(1000) 2022]:[Volume(1000) 2024]])</f>
        <v>0</v>
      </c>
      <c r="R424" s="33">
        <f>AVERAGE(Table2[[#This Row],[Average Price(2022)]:[Average Price(2024)]])</f>
        <v>0</v>
      </c>
    </row>
    <row r="425" spans="1:18" x14ac:dyDescent="0.3">
      <c r="A425" t="s">
        <v>533</v>
      </c>
      <c r="B425" t="s">
        <v>791</v>
      </c>
      <c r="C425" t="s">
        <v>465</v>
      </c>
      <c r="D425" t="s">
        <v>9</v>
      </c>
      <c r="E425" t="s">
        <v>10</v>
      </c>
      <c r="F425" s="27" t="str">
        <f>IF('Working Sheet'!B620="ITEM",'Working Sheet'!E620,"")</f>
        <v>64</v>
      </c>
      <c r="G425" s="27">
        <f>IF('Working Sheet'!B620="ITEM",'Working Sheet'!F620,"")</f>
        <v>0.55289999999999995</v>
      </c>
      <c r="H425" s="27">
        <f>IF('Working Sheet'!B620="ITEM",'Working Sheet'!G620,"")</f>
        <v>0.47820000000000001</v>
      </c>
      <c r="I425" s="27">
        <f>IF('Working Sheet'!B620="ITEM",'Working Sheet'!H620,"")</f>
        <v>8.14E-2</v>
      </c>
      <c r="J425">
        <f>IF('Working Sheet'!B620="ITEM",'Working Sheet'!I620,"")</f>
        <v>17.2395</v>
      </c>
      <c r="K425">
        <f>IF('Working Sheet'!B620="ITEM",'Working Sheet'!J620,"")</f>
        <v>16.416799999999999</v>
      </c>
      <c r="L425">
        <f>IF('Working Sheet'!B620="ITEM",'Working Sheet'!K620,"")</f>
        <v>2.5183</v>
      </c>
      <c r="M425" s="33">
        <f>IFERROR(Table2[[#This Row],[Value(1000$) 2022]]/Table2[[#This Row],[Volume(1000) 2022]],0)</f>
        <v>3.2071695814843815E-2</v>
      </c>
      <c r="N425" s="33">
        <f>IFERROR(Table2[[#This Row],[Value(1000$) 2023]]/Table2[[#This Row],[Volume(1000) 2023]],0)</f>
        <v>2.9128697431899032E-2</v>
      </c>
      <c r="O425" s="33">
        <f>IFERROR(Table2[[#This Row],[Value(1000$) 2024]]/Table2[[#This Row],[Volume(1000) 2024]],0)</f>
        <v>3.232339276496049E-2</v>
      </c>
      <c r="P425" s="33">
        <f>SUM(Table2[[#This Row],[Value(1000$) 2022]:[Value(1000$) 2024]])</f>
        <v>1.1124999999999998</v>
      </c>
      <c r="Q425" s="33">
        <f>SUM(Table2[[#This Row],[Volume(1000) 2022]:[Volume(1000) 2024]])</f>
        <v>36.174599999999998</v>
      </c>
      <c r="R425" s="33">
        <f>AVERAGE(Table2[[#This Row],[Average Price(2022)]:[Average Price(2024)]])</f>
        <v>3.1174595337234445E-2</v>
      </c>
    </row>
    <row r="426" spans="1:18" x14ac:dyDescent="0.3">
      <c r="A426" t="s">
        <v>534</v>
      </c>
      <c r="B426" t="s">
        <v>791</v>
      </c>
      <c r="C426" t="s">
        <v>465</v>
      </c>
      <c r="D426" t="s">
        <v>9</v>
      </c>
      <c r="E426" t="s">
        <v>10</v>
      </c>
      <c r="F426" s="27" t="str">
        <f>IF('Working Sheet'!B621="ITEM",'Working Sheet'!E621,"")</f>
        <v>64</v>
      </c>
      <c r="G426" s="27">
        <f>IF('Working Sheet'!B621="ITEM",'Working Sheet'!F621,"")</f>
        <v>3.53</v>
      </c>
      <c r="H426" s="27">
        <f>IF('Working Sheet'!B621="ITEM",'Working Sheet'!G621,"")</f>
        <v>1.6247</v>
      </c>
      <c r="I426" s="27">
        <f>IF('Working Sheet'!B621="ITEM",'Working Sheet'!H621,"")</f>
        <v>0</v>
      </c>
      <c r="J426">
        <f>IF('Working Sheet'!B621="ITEM",'Working Sheet'!I621,"")</f>
        <v>92.468000000000004</v>
      </c>
      <c r="K426">
        <f>IF('Working Sheet'!B621="ITEM",'Working Sheet'!J621,"")</f>
        <v>38.321599999999997</v>
      </c>
      <c r="L426">
        <f>IF('Working Sheet'!B621="ITEM",'Working Sheet'!K621,"")</f>
        <v>0</v>
      </c>
      <c r="M426" s="33">
        <f>IFERROR(Table2[[#This Row],[Value(1000$) 2022]]/Table2[[#This Row],[Volume(1000) 2022]],0)</f>
        <v>3.8175368776225287E-2</v>
      </c>
      <c r="N426" s="33">
        <f>IFERROR(Table2[[#This Row],[Value(1000$) 2023]]/Table2[[#This Row],[Volume(1000) 2023]],0)</f>
        <v>4.239645526282828E-2</v>
      </c>
      <c r="O426" s="33">
        <f>IFERROR(Table2[[#This Row],[Value(1000$) 2024]]/Table2[[#This Row],[Volume(1000) 2024]],0)</f>
        <v>0</v>
      </c>
      <c r="P426" s="33">
        <f>SUM(Table2[[#This Row],[Value(1000$) 2022]:[Value(1000$) 2024]])</f>
        <v>5.1547000000000001</v>
      </c>
      <c r="Q426" s="33">
        <f>SUM(Table2[[#This Row],[Volume(1000) 2022]:[Volume(1000) 2024]])</f>
        <v>130.78960000000001</v>
      </c>
      <c r="R426" s="33">
        <f>AVERAGE(Table2[[#This Row],[Average Price(2022)]:[Average Price(2024)]])</f>
        <v>2.6857274679684521E-2</v>
      </c>
    </row>
    <row r="427" spans="1:18" x14ac:dyDescent="0.3">
      <c r="A427" t="s">
        <v>535</v>
      </c>
      <c r="B427" t="s">
        <v>791</v>
      </c>
      <c r="C427" t="s">
        <v>465</v>
      </c>
      <c r="D427" t="s">
        <v>9</v>
      </c>
      <c r="E427" t="s">
        <v>30</v>
      </c>
      <c r="F427" s="27" t="str">
        <f>IF('Working Sheet'!B622="ITEM",'Working Sheet'!E622,"")</f>
        <v>64</v>
      </c>
      <c r="G427" s="27">
        <f>IF('Working Sheet'!B622="ITEM",'Working Sheet'!F622,"")</f>
        <v>0.42930000000000001</v>
      </c>
      <c r="H427" s="27">
        <f>IF('Working Sheet'!B622="ITEM",'Working Sheet'!G622,"")</f>
        <v>0.67159999999999997</v>
      </c>
      <c r="I427" s="27">
        <f>IF('Working Sheet'!B622="ITEM",'Working Sheet'!H622,"")</f>
        <v>0</v>
      </c>
      <c r="J427">
        <f>IF('Working Sheet'!B622="ITEM",'Working Sheet'!I622,"")</f>
        <v>9.3439999999999994</v>
      </c>
      <c r="K427">
        <f>IF('Working Sheet'!B622="ITEM",'Working Sheet'!J622,"")</f>
        <v>12.986599999999999</v>
      </c>
      <c r="L427">
        <f>IF('Working Sheet'!B622="ITEM",'Working Sheet'!K622,"")</f>
        <v>0</v>
      </c>
      <c r="M427" s="33">
        <f>IFERROR(Table2[[#This Row],[Value(1000$) 2022]]/Table2[[#This Row],[Volume(1000) 2022]],0)</f>
        <v>4.5943921232876717E-2</v>
      </c>
      <c r="N427" s="33">
        <f>IFERROR(Table2[[#This Row],[Value(1000$) 2023]]/Table2[[#This Row],[Volume(1000) 2023]],0)</f>
        <v>5.1714844532056117E-2</v>
      </c>
      <c r="O427" s="33">
        <f>IFERROR(Table2[[#This Row],[Value(1000$) 2024]]/Table2[[#This Row],[Volume(1000) 2024]],0)</f>
        <v>0</v>
      </c>
      <c r="P427" s="33">
        <f>SUM(Table2[[#This Row],[Value(1000$) 2022]:[Value(1000$) 2024]])</f>
        <v>1.1009</v>
      </c>
      <c r="Q427" s="33">
        <f>SUM(Table2[[#This Row],[Volume(1000) 2022]:[Volume(1000) 2024]])</f>
        <v>22.330599999999997</v>
      </c>
      <c r="R427" s="33">
        <f>AVERAGE(Table2[[#This Row],[Average Price(2022)]:[Average Price(2024)]])</f>
        <v>3.255292192164428E-2</v>
      </c>
    </row>
    <row r="428" spans="1:18" x14ac:dyDescent="0.3">
      <c r="A428" t="s">
        <v>536</v>
      </c>
      <c r="B428" t="s">
        <v>791</v>
      </c>
      <c r="C428" t="s">
        <v>465</v>
      </c>
      <c r="D428" t="s">
        <v>9</v>
      </c>
      <c r="E428" t="s">
        <v>10</v>
      </c>
      <c r="F428" s="27" t="str">
        <f>IF('Working Sheet'!B623="ITEM",'Working Sheet'!E623,"")</f>
        <v>64</v>
      </c>
      <c r="G428" s="27">
        <f>IF('Working Sheet'!B623="ITEM",'Working Sheet'!F623,"")</f>
        <v>0.48170000000000002</v>
      </c>
      <c r="H428" s="27">
        <f>IF('Working Sheet'!B623="ITEM",'Working Sheet'!G623,"")</f>
        <v>0</v>
      </c>
      <c r="I428" s="27">
        <f>IF('Working Sheet'!B623="ITEM",'Working Sheet'!H623,"")</f>
        <v>0</v>
      </c>
      <c r="J428">
        <f>IF('Working Sheet'!B623="ITEM",'Working Sheet'!I623,"")</f>
        <v>13.007199999999999</v>
      </c>
      <c r="K428">
        <f>IF('Working Sheet'!B623="ITEM",'Working Sheet'!J623,"")</f>
        <v>0</v>
      </c>
      <c r="L428">
        <f>IF('Working Sheet'!B623="ITEM",'Working Sheet'!K623,"")</f>
        <v>0</v>
      </c>
      <c r="M428" s="33">
        <f>IFERROR(Table2[[#This Row],[Value(1000$) 2022]]/Table2[[#This Row],[Volume(1000) 2022]],0)</f>
        <v>3.7033335383479922E-2</v>
      </c>
      <c r="N428" s="33">
        <f>IFERROR(Table2[[#This Row],[Value(1000$) 2023]]/Table2[[#This Row],[Volume(1000) 2023]],0)</f>
        <v>0</v>
      </c>
      <c r="O428" s="33">
        <f>IFERROR(Table2[[#This Row],[Value(1000$) 2024]]/Table2[[#This Row],[Volume(1000) 2024]],0)</f>
        <v>0</v>
      </c>
      <c r="P428" s="33">
        <f>SUM(Table2[[#This Row],[Value(1000$) 2022]:[Value(1000$) 2024]])</f>
        <v>0.48170000000000002</v>
      </c>
      <c r="Q428" s="33">
        <f>SUM(Table2[[#This Row],[Volume(1000) 2022]:[Volume(1000) 2024]])</f>
        <v>13.007199999999999</v>
      </c>
      <c r="R428" s="33">
        <f>AVERAGE(Table2[[#This Row],[Average Price(2022)]:[Average Price(2024)]])</f>
        <v>1.2344445127826641E-2</v>
      </c>
    </row>
    <row r="429" spans="1:18" x14ac:dyDescent="0.3">
      <c r="A429" t="s">
        <v>537</v>
      </c>
      <c r="B429" t="s">
        <v>791</v>
      </c>
      <c r="C429" t="s">
        <v>465</v>
      </c>
      <c r="D429" t="s">
        <v>9</v>
      </c>
      <c r="E429" t="s">
        <v>10</v>
      </c>
      <c r="F429" s="27" t="str">
        <f>IF('Working Sheet'!B624="ITEM",'Working Sheet'!E624,"")</f>
        <v>64</v>
      </c>
      <c r="G429" s="27">
        <f>IF('Working Sheet'!B624="ITEM",'Working Sheet'!F624,"")</f>
        <v>0</v>
      </c>
      <c r="H429" s="27">
        <f>IF('Working Sheet'!B624="ITEM",'Working Sheet'!G624,"")</f>
        <v>0</v>
      </c>
      <c r="I429" s="27">
        <f>IF('Working Sheet'!B624="ITEM",'Working Sheet'!H624,"")</f>
        <v>8.9800000000000005E-2</v>
      </c>
      <c r="J429">
        <f>IF('Working Sheet'!B624="ITEM",'Working Sheet'!I624,"")</f>
        <v>0</v>
      </c>
      <c r="K429">
        <f>IF('Working Sheet'!B624="ITEM",'Working Sheet'!J624,"")</f>
        <v>0</v>
      </c>
      <c r="L429">
        <f>IF('Working Sheet'!B624="ITEM",'Working Sheet'!K624,"")</f>
        <v>1.9842</v>
      </c>
      <c r="M429" s="33">
        <f>IFERROR(Table2[[#This Row],[Value(1000$) 2022]]/Table2[[#This Row],[Volume(1000) 2022]],0)</f>
        <v>0</v>
      </c>
      <c r="N429" s="33">
        <f>IFERROR(Table2[[#This Row],[Value(1000$) 2023]]/Table2[[#This Row],[Volume(1000) 2023]],0)</f>
        <v>0</v>
      </c>
      <c r="O429" s="33">
        <f>IFERROR(Table2[[#This Row],[Value(1000$) 2024]]/Table2[[#This Row],[Volume(1000) 2024]],0)</f>
        <v>4.525753452272957E-2</v>
      </c>
      <c r="P429" s="33">
        <f>SUM(Table2[[#This Row],[Value(1000$) 2022]:[Value(1000$) 2024]])</f>
        <v>8.9800000000000005E-2</v>
      </c>
      <c r="Q429" s="33">
        <f>SUM(Table2[[#This Row],[Volume(1000) 2022]:[Volume(1000) 2024]])</f>
        <v>1.9842</v>
      </c>
      <c r="R429" s="33">
        <f>AVERAGE(Table2[[#This Row],[Average Price(2022)]:[Average Price(2024)]])</f>
        <v>1.5085844840909857E-2</v>
      </c>
    </row>
    <row r="430" spans="1:18" x14ac:dyDescent="0.3">
      <c r="A430" t="s">
        <v>538</v>
      </c>
      <c r="B430" t="s">
        <v>791</v>
      </c>
      <c r="C430" t="s">
        <v>465</v>
      </c>
      <c r="D430" t="s">
        <v>9</v>
      </c>
      <c r="E430" t="s">
        <v>10</v>
      </c>
      <c r="F430" s="27" t="str">
        <f>IF('Working Sheet'!B625="ITEM",'Working Sheet'!E625,"")</f>
        <v>64</v>
      </c>
      <c r="G430" s="27">
        <f>IF('Working Sheet'!B625="ITEM",'Working Sheet'!F625,"")</f>
        <v>0</v>
      </c>
      <c r="H430" s="27">
        <f>IF('Working Sheet'!B625="ITEM",'Working Sheet'!G625,"")</f>
        <v>0</v>
      </c>
      <c r="I430" s="27">
        <f>IF('Working Sheet'!B625="ITEM",'Working Sheet'!H625,"")</f>
        <v>0</v>
      </c>
      <c r="J430">
        <f>IF('Working Sheet'!B625="ITEM",'Working Sheet'!I625,"")</f>
        <v>0</v>
      </c>
      <c r="K430">
        <f>IF('Working Sheet'!B625="ITEM",'Working Sheet'!J625,"")</f>
        <v>0</v>
      </c>
      <c r="L430">
        <f>IF('Working Sheet'!B625="ITEM",'Working Sheet'!K625,"")</f>
        <v>0</v>
      </c>
      <c r="M430" s="33">
        <f>IFERROR(Table2[[#This Row],[Value(1000$) 2022]]/Table2[[#This Row],[Volume(1000) 2022]],0)</f>
        <v>0</v>
      </c>
      <c r="N430" s="33">
        <f>IFERROR(Table2[[#This Row],[Value(1000$) 2023]]/Table2[[#This Row],[Volume(1000) 2023]],0)</f>
        <v>0</v>
      </c>
      <c r="O430" s="33">
        <f>IFERROR(Table2[[#This Row],[Value(1000$) 2024]]/Table2[[#This Row],[Volume(1000) 2024]],0)</f>
        <v>0</v>
      </c>
      <c r="P430" s="33">
        <f>SUM(Table2[[#This Row],[Value(1000$) 2022]:[Value(1000$) 2024]])</f>
        <v>0</v>
      </c>
      <c r="Q430" s="33">
        <f>SUM(Table2[[#This Row],[Volume(1000) 2022]:[Volume(1000) 2024]])</f>
        <v>0</v>
      </c>
      <c r="R430" s="33">
        <f>AVERAGE(Table2[[#This Row],[Average Price(2022)]:[Average Price(2024)]])</f>
        <v>0</v>
      </c>
    </row>
    <row r="431" spans="1:18" x14ac:dyDescent="0.3">
      <c r="A431" t="s">
        <v>539</v>
      </c>
      <c r="B431" t="s">
        <v>791</v>
      </c>
      <c r="C431" t="s">
        <v>465</v>
      </c>
      <c r="D431" t="s">
        <v>9</v>
      </c>
      <c r="E431" t="s">
        <v>10</v>
      </c>
      <c r="F431" s="27" t="str">
        <f>IF('Working Sheet'!B626="ITEM",'Working Sheet'!E626,"")</f>
        <v>64</v>
      </c>
      <c r="G431" s="27">
        <f>IF('Working Sheet'!B626="ITEM",'Working Sheet'!F626,"")</f>
        <v>0</v>
      </c>
      <c r="H431" s="27">
        <f>IF('Working Sheet'!B626="ITEM",'Working Sheet'!G626,"")</f>
        <v>0</v>
      </c>
      <c r="I431" s="27">
        <f>IF('Working Sheet'!B626="ITEM",'Working Sheet'!H626,"")</f>
        <v>0.16889999999999999</v>
      </c>
      <c r="J431">
        <f>IF('Working Sheet'!B626="ITEM",'Working Sheet'!I626,"")</f>
        <v>0</v>
      </c>
      <c r="K431">
        <f>IF('Working Sheet'!B626="ITEM",'Working Sheet'!J626,"")</f>
        <v>0</v>
      </c>
      <c r="L431">
        <f>IF('Working Sheet'!B626="ITEM",'Working Sheet'!K626,"")</f>
        <v>4.3247</v>
      </c>
      <c r="M431" s="33">
        <f>IFERROR(Table2[[#This Row],[Value(1000$) 2022]]/Table2[[#This Row],[Volume(1000) 2022]],0)</f>
        <v>0</v>
      </c>
      <c r="N431" s="33">
        <f>IFERROR(Table2[[#This Row],[Value(1000$) 2023]]/Table2[[#This Row],[Volume(1000) 2023]],0)</f>
        <v>0</v>
      </c>
      <c r="O431" s="33">
        <f>IFERROR(Table2[[#This Row],[Value(1000$) 2024]]/Table2[[#This Row],[Volume(1000) 2024]],0)</f>
        <v>3.9054732120147061E-2</v>
      </c>
      <c r="P431" s="33">
        <f>SUM(Table2[[#This Row],[Value(1000$) 2022]:[Value(1000$) 2024]])</f>
        <v>0.16889999999999999</v>
      </c>
      <c r="Q431" s="33">
        <f>SUM(Table2[[#This Row],[Volume(1000) 2022]:[Volume(1000) 2024]])</f>
        <v>4.3247</v>
      </c>
      <c r="R431" s="33">
        <f>AVERAGE(Table2[[#This Row],[Average Price(2022)]:[Average Price(2024)]])</f>
        <v>1.301824404004902E-2</v>
      </c>
    </row>
    <row r="432" spans="1:18" x14ac:dyDescent="0.3">
      <c r="A432" t="s">
        <v>540</v>
      </c>
      <c r="B432" t="s">
        <v>791</v>
      </c>
      <c r="C432" t="s">
        <v>465</v>
      </c>
      <c r="D432" t="s">
        <v>9</v>
      </c>
      <c r="E432" t="s">
        <v>10</v>
      </c>
      <c r="F432" s="27" t="str">
        <f>IF('Working Sheet'!B627="ITEM",'Working Sheet'!E627,"")</f>
        <v>64</v>
      </c>
      <c r="G432" s="27">
        <f>IF('Working Sheet'!B627="ITEM",'Working Sheet'!F627,"")</f>
        <v>4.2949000000000002</v>
      </c>
      <c r="H432" s="27">
        <f>IF('Working Sheet'!B627="ITEM",'Working Sheet'!G627,"")</f>
        <v>0.33839999999999998</v>
      </c>
      <c r="I432" s="27">
        <f>IF('Working Sheet'!B627="ITEM",'Working Sheet'!H627,"")</f>
        <v>0</v>
      </c>
      <c r="J432">
        <f>IF('Working Sheet'!B627="ITEM",'Working Sheet'!I627,"")</f>
        <v>87.926599999999993</v>
      </c>
      <c r="K432">
        <f>IF('Working Sheet'!B627="ITEM",'Working Sheet'!J627,"")</f>
        <v>6.2496999999999998</v>
      </c>
      <c r="L432">
        <f>IF('Working Sheet'!B627="ITEM",'Working Sheet'!K627,"")</f>
        <v>0</v>
      </c>
      <c r="M432" s="33">
        <f>IFERROR(Table2[[#This Row],[Value(1000$) 2022]]/Table2[[#This Row],[Volume(1000) 2022]],0)</f>
        <v>4.8846424176529062E-2</v>
      </c>
      <c r="N432" s="33">
        <f>IFERROR(Table2[[#This Row],[Value(1000$) 2023]]/Table2[[#This Row],[Volume(1000) 2023]],0)</f>
        <v>5.4146599036753763E-2</v>
      </c>
      <c r="O432" s="33">
        <f>IFERROR(Table2[[#This Row],[Value(1000$) 2024]]/Table2[[#This Row],[Volume(1000) 2024]],0)</f>
        <v>0</v>
      </c>
      <c r="P432" s="33">
        <f>SUM(Table2[[#This Row],[Value(1000$) 2022]:[Value(1000$) 2024]])</f>
        <v>4.6333000000000002</v>
      </c>
      <c r="Q432" s="33">
        <f>SUM(Table2[[#This Row],[Volume(1000) 2022]:[Volume(1000) 2024]])</f>
        <v>94.176299999999998</v>
      </c>
      <c r="R432" s="33">
        <f>AVERAGE(Table2[[#This Row],[Average Price(2022)]:[Average Price(2024)]])</f>
        <v>3.4331007737760939E-2</v>
      </c>
    </row>
    <row r="433" spans="1:18" x14ac:dyDescent="0.3">
      <c r="A433" t="s">
        <v>541</v>
      </c>
      <c r="B433" t="s">
        <v>791</v>
      </c>
      <c r="C433" t="s">
        <v>465</v>
      </c>
      <c r="D433" t="s">
        <v>9</v>
      </c>
      <c r="E433" t="s">
        <v>10</v>
      </c>
      <c r="F433" s="27" t="str">
        <f>IF('Working Sheet'!B628="ITEM",'Working Sheet'!E628,"")</f>
        <v>64</v>
      </c>
      <c r="G433" s="27">
        <f>IF('Working Sheet'!B628="ITEM",'Working Sheet'!F628,"")</f>
        <v>13.5303</v>
      </c>
      <c r="H433" s="27">
        <f>IF('Working Sheet'!B628="ITEM",'Working Sheet'!G628,"")</f>
        <v>2.3972000000000002</v>
      </c>
      <c r="I433" s="27">
        <f>IF('Working Sheet'!B628="ITEM",'Working Sheet'!H628,"")</f>
        <v>0.73670000000000002</v>
      </c>
      <c r="J433">
        <f>IF('Working Sheet'!B628="ITEM",'Working Sheet'!I628,"")</f>
        <v>272.4522</v>
      </c>
      <c r="K433">
        <f>IF('Working Sheet'!B628="ITEM",'Working Sheet'!J628,"")</f>
        <v>43.2258</v>
      </c>
      <c r="L433">
        <f>IF('Working Sheet'!B628="ITEM",'Working Sheet'!K628,"")</f>
        <v>13.669700000000001</v>
      </c>
      <c r="M433" s="33">
        <f>IFERROR(Table2[[#This Row],[Value(1000$) 2022]]/Table2[[#This Row],[Volume(1000) 2022]],0)</f>
        <v>4.9661188274493652E-2</v>
      </c>
      <c r="N433" s="33">
        <f>IFERROR(Table2[[#This Row],[Value(1000$) 2023]]/Table2[[#This Row],[Volume(1000) 2023]],0)</f>
        <v>5.5457620217555265E-2</v>
      </c>
      <c r="O433" s="33">
        <f>IFERROR(Table2[[#This Row],[Value(1000$) 2024]]/Table2[[#This Row],[Volume(1000) 2024]],0)</f>
        <v>5.3892916450251287E-2</v>
      </c>
      <c r="P433" s="33">
        <f>SUM(Table2[[#This Row],[Value(1000$) 2022]:[Value(1000$) 2024]])</f>
        <v>16.664200000000001</v>
      </c>
      <c r="Q433" s="33">
        <f>SUM(Table2[[#This Row],[Volume(1000) 2022]:[Volume(1000) 2024]])</f>
        <v>329.34769999999997</v>
      </c>
      <c r="R433" s="33">
        <f>AVERAGE(Table2[[#This Row],[Average Price(2022)]:[Average Price(2024)]])</f>
        <v>5.3003908314100068E-2</v>
      </c>
    </row>
    <row r="434" spans="1:18" x14ac:dyDescent="0.3">
      <c r="A434" t="s">
        <v>542</v>
      </c>
      <c r="B434" t="s">
        <v>791</v>
      </c>
      <c r="C434" t="s">
        <v>465</v>
      </c>
      <c r="D434" t="s">
        <v>9</v>
      </c>
      <c r="E434" t="s">
        <v>10</v>
      </c>
      <c r="F434" s="27" t="str">
        <f>IF('Working Sheet'!B629="ITEM",'Working Sheet'!E629,"")</f>
        <v>64</v>
      </c>
      <c r="G434" s="27">
        <f>IF('Working Sheet'!B629="ITEM",'Working Sheet'!F629,"")</f>
        <v>8.9724000000000004</v>
      </c>
      <c r="H434" s="27">
        <f>IF('Working Sheet'!B629="ITEM",'Working Sheet'!G629,"")</f>
        <v>2.3250000000000002</v>
      </c>
      <c r="I434" s="27">
        <f>IF('Working Sheet'!B629="ITEM",'Working Sheet'!H629,"")</f>
        <v>9.6000000000000002E-2</v>
      </c>
      <c r="J434">
        <f>IF('Working Sheet'!B629="ITEM",'Working Sheet'!I629,"")</f>
        <v>202.00700000000001</v>
      </c>
      <c r="K434">
        <f>IF('Working Sheet'!B629="ITEM",'Working Sheet'!J629,"")</f>
        <v>55.267699999999998</v>
      </c>
      <c r="L434">
        <f>IF('Working Sheet'!B629="ITEM",'Working Sheet'!K629,"")</f>
        <v>2.0488</v>
      </c>
      <c r="M434" s="33">
        <f>IFERROR(Table2[[#This Row],[Value(1000$) 2022]]/Table2[[#This Row],[Volume(1000) 2022]],0)</f>
        <v>4.4416282604068179E-2</v>
      </c>
      <c r="N434" s="33">
        <f>IFERROR(Table2[[#This Row],[Value(1000$) 2023]]/Table2[[#This Row],[Volume(1000) 2023]],0)</f>
        <v>4.2067970984860967E-2</v>
      </c>
      <c r="O434" s="33">
        <f>IFERROR(Table2[[#This Row],[Value(1000$) 2024]]/Table2[[#This Row],[Volume(1000) 2024]],0)</f>
        <v>4.6856696602889499E-2</v>
      </c>
      <c r="P434" s="33">
        <f>SUM(Table2[[#This Row],[Value(1000$) 2022]:[Value(1000$) 2024]])</f>
        <v>11.3934</v>
      </c>
      <c r="Q434" s="33">
        <f>SUM(Table2[[#This Row],[Volume(1000) 2022]:[Volume(1000) 2024]])</f>
        <v>259.32349999999997</v>
      </c>
      <c r="R434" s="33">
        <f>AVERAGE(Table2[[#This Row],[Average Price(2022)]:[Average Price(2024)]])</f>
        <v>4.4446983397272877E-2</v>
      </c>
    </row>
    <row r="435" spans="1:18" x14ac:dyDescent="0.3">
      <c r="A435" t="s">
        <v>543</v>
      </c>
      <c r="B435" t="s">
        <v>791</v>
      </c>
      <c r="C435" t="s">
        <v>465</v>
      </c>
      <c r="D435" t="s">
        <v>9</v>
      </c>
      <c r="E435" t="s">
        <v>10</v>
      </c>
      <c r="F435" s="27" t="str">
        <f>IF('Working Sheet'!B630="ITEM",'Working Sheet'!E630,"")</f>
        <v>64</v>
      </c>
      <c r="G435" s="27">
        <f>IF('Working Sheet'!B630="ITEM",'Working Sheet'!F630,"")</f>
        <v>0.24310000000000001</v>
      </c>
      <c r="H435" s="27">
        <f>IF('Working Sheet'!B630="ITEM",'Working Sheet'!G630,"")</f>
        <v>0.1048</v>
      </c>
      <c r="I435" s="27">
        <f>IF('Working Sheet'!B630="ITEM",'Working Sheet'!H630,"")</f>
        <v>0</v>
      </c>
      <c r="J435">
        <f>IF('Working Sheet'!B630="ITEM",'Working Sheet'!I630,"")</f>
        <v>5.5039999999999996</v>
      </c>
      <c r="K435">
        <f>IF('Working Sheet'!B630="ITEM",'Working Sheet'!J630,"")</f>
        <v>2.3589000000000002</v>
      </c>
      <c r="L435">
        <f>IF('Working Sheet'!B630="ITEM",'Working Sheet'!K630,"")</f>
        <v>0</v>
      </c>
      <c r="M435" s="33">
        <f>IFERROR(Table2[[#This Row],[Value(1000$) 2022]]/Table2[[#This Row],[Volume(1000) 2022]],0)</f>
        <v>4.4167877906976752E-2</v>
      </c>
      <c r="N435" s="33">
        <f>IFERROR(Table2[[#This Row],[Value(1000$) 2023]]/Table2[[#This Row],[Volume(1000) 2023]],0)</f>
        <v>4.4427487388189406E-2</v>
      </c>
      <c r="O435" s="33">
        <f>IFERROR(Table2[[#This Row],[Value(1000$) 2024]]/Table2[[#This Row],[Volume(1000) 2024]],0)</f>
        <v>0</v>
      </c>
      <c r="P435" s="33">
        <f>SUM(Table2[[#This Row],[Value(1000$) 2022]:[Value(1000$) 2024]])</f>
        <v>0.34789999999999999</v>
      </c>
      <c r="Q435" s="33">
        <f>SUM(Table2[[#This Row],[Volume(1000) 2022]:[Volume(1000) 2024]])</f>
        <v>7.8628999999999998</v>
      </c>
      <c r="R435" s="33">
        <f>AVERAGE(Table2[[#This Row],[Average Price(2022)]:[Average Price(2024)]])</f>
        <v>2.953178843172205E-2</v>
      </c>
    </row>
    <row r="436" spans="1:18" x14ac:dyDescent="0.3">
      <c r="A436" t="s">
        <v>544</v>
      </c>
      <c r="B436" t="s">
        <v>791</v>
      </c>
      <c r="C436" t="s">
        <v>465</v>
      </c>
      <c r="D436" t="s">
        <v>9</v>
      </c>
      <c r="E436" t="s">
        <v>10</v>
      </c>
      <c r="F436" s="27" t="str">
        <f>IF('Working Sheet'!B631="ITEM",'Working Sheet'!E631,"")</f>
        <v>64</v>
      </c>
      <c r="G436" s="27">
        <f>IF('Working Sheet'!B631="ITEM",'Working Sheet'!F631,"")</f>
        <v>0</v>
      </c>
      <c r="H436" s="27">
        <f>IF('Working Sheet'!B631="ITEM",'Working Sheet'!G631,"")</f>
        <v>0</v>
      </c>
      <c r="I436" s="27">
        <f>IF('Working Sheet'!B631="ITEM",'Working Sheet'!H631,"")</f>
        <v>0</v>
      </c>
      <c r="J436">
        <f>IF('Working Sheet'!B631="ITEM",'Working Sheet'!I631,"")</f>
        <v>0</v>
      </c>
      <c r="K436">
        <f>IF('Working Sheet'!B631="ITEM",'Working Sheet'!J631,"")</f>
        <v>0</v>
      </c>
      <c r="L436">
        <f>IF('Working Sheet'!B631="ITEM",'Working Sheet'!K631,"")</f>
        <v>0</v>
      </c>
      <c r="M436" s="33">
        <f>IFERROR(Table2[[#This Row],[Value(1000$) 2022]]/Table2[[#This Row],[Volume(1000) 2022]],0)</f>
        <v>0</v>
      </c>
      <c r="N436" s="33">
        <f>IFERROR(Table2[[#This Row],[Value(1000$) 2023]]/Table2[[#This Row],[Volume(1000) 2023]],0)</f>
        <v>0</v>
      </c>
      <c r="O436" s="33">
        <f>IFERROR(Table2[[#This Row],[Value(1000$) 2024]]/Table2[[#This Row],[Volume(1000) 2024]],0)</f>
        <v>0</v>
      </c>
      <c r="P436" s="33">
        <f>SUM(Table2[[#This Row],[Value(1000$) 2022]:[Value(1000$) 2024]])</f>
        <v>0</v>
      </c>
      <c r="Q436" s="33">
        <f>SUM(Table2[[#This Row],[Volume(1000) 2022]:[Volume(1000) 2024]])</f>
        <v>0</v>
      </c>
      <c r="R436" s="33">
        <f>AVERAGE(Table2[[#This Row],[Average Price(2022)]:[Average Price(2024)]])</f>
        <v>0</v>
      </c>
    </row>
    <row r="437" spans="1:18" x14ac:dyDescent="0.3">
      <c r="A437" t="s">
        <v>545</v>
      </c>
      <c r="B437" t="s">
        <v>791</v>
      </c>
      <c r="C437" t="s">
        <v>465</v>
      </c>
      <c r="D437" t="s">
        <v>9</v>
      </c>
      <c r="E437" t="s">
        <v>10</v>
      </c>
      <c r="F437" s="27" t="str">
        <f>IF('Working Sheet'!B632="ITEM",'Working Sheet'!E632,"")</f>
        <v>64</v>
      </c>
      <c r="G437" s="27">
        <f>IF('Working Sheet'!B632="ITEM",'Working Sheet'!F632,"")</f>
        <v>0</v>
      </c>
      <c r="H437" s="27">
        <f>IF('Working Sheet'!B632="ITEM",'Working Sheet'!G632,"")</f>
        <v>0</v>
      </c>
      <c r="I437" s="27">
        <f>IF('Working Sheet'!B632="ITEM",'Working Sheet'!H632,"")</f>
        <v>0</v>
      </c>
      <c r="J437">
        <f>IF('Working Sheet'!B632="ITEM",'Working Sheet'!I632,"")</f>
        <v>0</v>
      </c>
      <c r="K437">
        <f>IF('Working Sheet'!B632="ITEM",'Working Sheet'!J632,"")</f>
        <v>0</v>
      </c>
      <c r="L437">
        <f>IF('Working Sheet'!B632="ITEM",'Working Sheet'!K632,"")</f>
        <v>0</v>
      </c>
      <c r="M437" s="33">
        <f>IFERROR(Table2[[#This Row],[Value(1000$) 2022]]/Table2[[#This Row],[Volume(1000) 2022]],0)</f>
        <v>0</v>
      </c>
      <c r="N437" s="33">
        <f>IFERROR(Table2[[#This Row],[Value(1000$) 2023]]/Table2[[#This Row],[Volume(1000) 2023]],0)</f>
        <v>0</v>
      </c>
      <c r="O437" s="33">
        <f>IFERROR(Table2[[#This Row],[Value(1000$) 2024]]/Table2[[#This Row],[Volume(1000) 2024]],0)</f>
        <v>0</v>
      </c>
      <c r="P437" s="33">
        <f>SUM(Table2[[#This Row],[Value(1000$) 2022]:[Value(1000$) 2024]])</f>
        <v>0</v>
      </c>
      <c r="Q437" s="33">
        <f>SUM(Table2[[#This Row],[Volume(1000) 2022]:[Volume(1000) 2024]])</f>
        <v>0</v>
      </c>
      <c r="R437" s="33">
        <f>AVERAGE(Table2[[#This Row],[Average Price(2022)]:[Average Price(2024)]])</f>
        <v>0</v>
      </c>
    </row>
    <row r="438" spans="1:18" x14ac:dyDescent="0.3">
      <c r="A438" t="s">
        <v>546</v>
      </c>
      <c r="B438" t="s">
        <v>791</v>
      </c>
      <c r="C438" t="s">
        <v>465</v>
      </c>
      <c r="D438" t="s">
        <v>9</v>
      </c>
      <c r="E438" t="s">
        <v>30</v>
      </c>
      <c r="F438" s="27" t="str">
        <f>IF('Working Sheet'!B633="ITEM",'Working Sheet'!E633,"")</f>
        <v>80</v>
      </c>
      <c r="G438" s="27">
        <f>IF('Working Sheet'!B633="ITEM",'Working Sheet'!F633,"")</f>
        <v>299.24509999999998</v>
      </c>
      <c r="H438" s="27">
        <f>IF('Working Sheet'!B633="ITEM",'Working Sheet'!G633,"")</f>
        <v>239.40260000000001</v>
      </c>
      <c r="I438" s="27">
        <f>IF('Working Sheet'!B633="ITEM",'Working Sheet'!H633,"")</f>
        <v>70.132900000000006</v>
      </c>
      <c r="J438">
        <f>IF('Working Sheet'!B633="ITEM",'Working Sheet'!I633,"")</f>
        <v>8505.4575000000004</v>
      </c>
      <c r="K438">
        <f>IF('Working Sheet'!B633="ITEM",'Working Sheet'!J633,"")</f>
        <v>6543.0663999999997</v>
      </c>
      <c r="L438">
        <f>IF('Working Sheet'!B633="ITEM",'Working Sheet'!K633,"")</f>
        <v>1626.3281999999999</v>
      </c>
      <c r="M438" s="33">
        <f>IFERROR(Table2[[#This Row],[Value(1000$) 2022]]/Table2[[#This Row],[Volume(1000) 2022]],0)</f>
        <v>3.5182716508782741E-2</v>
      </c>
      <c r="N438" s="33">
        <f>IFERROR(Table2[[#This Row],[Value(1000$) 2023]]/Table2[[#This Row],[Volume(1000) 2023]],0)</f>
        <v>3.6588746829773887E-2</v>
      </c>
      <c r="O438" s="33">
        <f>IFERROR(Table2[[#This Row],[Value(1000$) 2024]]/Table2[[#This Row],[Volume(1000) 2024]],0)</f>
        <v>4.3123460565954654E-2</v>
      </c>
      <c r="P438" s="33">
        <f>SUM(Table2[[#This Row],[Value(1000$) 2022]:[Value(1000$) 2024]])</f>
        <v>608.78060000000005</v>
      </c>
      <c r="Q438" s="33">
        <f>SUM(Table2[[#This Row],[Volume(1000) 2022]:[Volume(1000) 2024]])</f>
        <v>16674.8521</v>
      </c>
      <c r="R438" s="33">
        <f>AVERAGE(Table2[[#This Row],[Average Price(2022)]:[Average Price(2024)]])</f>
        <v>3.8298307968170429E-2</v>
      </c>
    </row>
    <row r="439" spans="1:18" x14ac:dyDescent="0.3">
      <c r="A439" t="s">
        <v>547</v>
      </c>
      <c r="B439" t="s">
        <v>791</v>
      </c>
      <c r="C439" t="s">
        <v>465</v>
      </c>
      <c r="D439" t="s">
        <v>9</v>
      </c>
      <c r="E439" t="s">
        <v>64</v>
      </c>
      <c r="F439" s="27" t="str">
        <f>IF('Working Sheet'!B634="ITEM",'Working Sheet'!E634,"")</f>
        <v>80</v>
      </c>
      <c r="G439" s="27">
        <f>IF('Working Sheet'!B634="ITEM",'Working Sheet'!F634,"")</f>
        <v>228.9504</v>
      </c>
      <c r="H439" s="27">
        <f>IF('Working Sheet'!B634="ITEM",'Working Sheet'!G634,"")</f>
        <v>220.107</v>
      </c>
      <c r="I439" s="27">
        <f>IF('Working Sheet'!B634="ITEM",'Working Sheet'!H634,"")</f>
        <v>99.616699999999994</v>
      </c>
      <c r="J439">
        <f>IF('Working Sheet'!B634="ITEM",'Working Sheet'!I634,"")</f>
        <v>6068.1558999999997</v>
      </c>
      <c r="K439">
        <f>IF('Working Sheet'!B634="ITEM",'Working Sheet'!J634,"")</f>
        <v>5788.4287000000004</v>
      </c>
      <c r="L439">
        <f>IF('Working Sheet'!B634="ITEM",'Working Sheet'!K634,"")</f>
        <v>2377.8838000000001</v>
      </c>
      <c r="M439" s="33">
        <f>IFERROR(Table2[[#This Row],[Value(1000$) 2022]]/Table2[[#This Row],[Volume(1000) 2022]],0)</f>
        <v>3.7729815082700825E-2</v>
      </c>
      <c r="N439" s="33">
        <f>IFERROR(Table2[[#This Row],[Value(1000$) 2023]]/Table2[[#This Row],[Volume(1000) 2023]],0)</f>
        <v>3.802534528930105E-2</v>
      </c>
      <c r="O439" s="33">
        <f>IFERROR(Table2[[#This Row],[Value(1000$) 2024]]/Table2[[#This Row],[Volume(1000) 2024]],0)</f>
        <v>4.189300587354184E-2</v>
      </c>
      <c r="P439" s="33">
        <f>SUM(Table2[[#This Row],[Value(1000$) 2022]:[Value(1000$) 2024]])</f>
        <v>548.67410000000007</v>
      </c>
      <c r="Q439" s="33">
        <f>SUM(Table2[[#This Row],[Volume(1000) 2022]:[Volume(1000) 2024]])</f>
        <v>14234.4684</v>
      </c>
      <c r="R439" s="33">
        <f>AVERAGE(Table2[[#This Row],[Average Price(2022)]:[Average Price(2024)]])</f>
        <v>3.9216055415181243E-2</v>
      </c>
    </row>
    <row r="440" spans="1:18" x14ac:dyDescent="0.3">
      <c r="A440" t="s">
        <v>548</v>
      </c>
      <c r="B440" t="s">
        <v>791</v>
      </c>
      <c r="C440" t="s">
        <v>465</v>
      </c>
      <c r="D440" t="s">
        <v>9</v>
      </c>
      <c r="E440" t="s">
        <v>30</v>
      </c>
      <c r="F440" s="27" t="str">
        <f>IF('Working Sheet'!B635="ITEM",'Working Sheet'!E635,"")</f>
        <v>42.0000</v>
      </c>
      <c r="G440" s="27">
        <f>IF('Working Sheet'!B635="ITEM",'Working Sheet'!F635,"")</f>
        <v>0</v>
      </c>
      <c r="H440" s="27">
        <f>IF('Working Sheet'!B635="ITEM",'Working Sheet'!G635,"")</f>
        <v>0</v>
      </c>
      <c r="I440" s="27">
        <f>IF('Working Sheet'!B635="ITEM",'Working Sheet'!H635,"")</f>
        <v>4.2099999999999999E-2</v>
      </c>
      <c r="J440">
        <f>IF('Working Sheet'!B635="ITEM",'Working Sheet'!I635,"")</f>
        <v>0</v>
      </c>
      <c r="K440">
        <f>IF('Working Sheet'!B635="ITEM",'Working Sheet'!J635,"")</f>
        <v>0</v>
      </c>
      <c r="L440">
        <f>IF('Working Sheet'!B635="ITEM",'Working Sheet'!K635,"")</f>
        <v>0.45</v>
      </c>
      <c r="M440" s="33">
        <f>IFERROR(Table2[[#This Row],[Value(1000$) 2022]]/Table2[[#This Row],[Volume(1000) 2022]],0)</f>
        <v>0</v>
      </c>
      <c r="N440" s="33">
        <f>IFERROR(Table2[[#This Row],[Value(1000$) 2023]]/Table2[[#This Row],[Volume(1000) 2023]],0)</f>
        <v>0</v>
      </c>
      <c r="O440" s="33">
        <f>IFERROR(Table2[[#This Row],[Value(1000$) 2024]]/Table2[[#This Row],[Volume(1000) 2024]],0)</f>
        <v>9.3555555555555545E-2</v>
      </c>
      <c r="P440" s="33">
        <f>SUM(Table2[[#This Row],[Value(1000$) 2022]:[Value(1000$) 2024]])</f>
        <v>4.2099999999999999E-2</v>
      </c>
      <c r="Q440" s="33">
        <f>SUM(Table2[[#This Row],[Volume(1000) 2022]:[Volume(1000) 2024]])</f>
        <v>0.45</v>
      </c>
      <c r="R440" s="33">
        <f>AVERAGE(Table2[[#This Row],[Average Price(2022)]:[Average Price(2024)]])</f>
        <v>3.118518518518518E-2</v>
      </c>
    </row>
    <row r="441" spans="1:18" x14ac:dyDescent="0.3">
      <c r="A441" t="s">
        <v>550</v>
      </c>
      <c r="B441" t="s">
        <v>791</v>
      </c>
      <c r="C441" t="s">
        <v>465</v>
      </c>
      <c r="D441" t="s">
        <v>9</v>
      </c>
      <c r="E441" t="s">
        <v>30</v>
      </c>
      <c r="F441" s="27" t="str">
        <f>IF('Working Sheet'!B636="ITEM",'Working Sheet'!E636,"")</f>
        <v>42.0000</v>
      </c>
      <c r="G441" s="27">
        <f>IF('Working Sheet'!B636="ITEM",'Working Sheet'!F636,"")</f>
        <v>0</v>
      </c>
      <c r="H441" s="27">
        <f>IF('Working Sheet'!B636="ITEM",'Working Sheet'!G636,"")</f>
        <v>0</v>
      </c>
      <c r="I441" s="27">
        <f>IF('Working Sheet'!B636="ITEM",'Working Sheet'!H636,"")</f>
        <v>0.3543</v>
      </c>
      <c r="J441">
        <f>IF('Working Sheet'!B636="ITEM",'Working Sheet'!I636,"")</f>
        <v>0</v>
      </c>
      <c r="K441">
        <f>IF('Working Sheet'!B636="ITEM",'Working Sheet'!J636,"")</f>
        <v>0</v>
      </c>
      <c r="L441">
        <f>IF('Working Sheet'!B636="ITEM",'Working Sheet'!K636,"")</f>
        <v>4.1279000000000003</v>
      </c>
      <c r="M441" s="33">
        <f>IFERROR(Table2[[#This Row],[Value(1000$) 2022]]/Table2[[#This Row],[Volume(1000) 2022]],0)</f>
        <v>0</v>
      </c>
      <c r="N441" s="33">
        <f>IFERROR(Table2[[#This Row],[Value(1000$) 2023]]/Table2[[#This Row],[Volume(1000) 2023]],0)</f>
        <v>0</v>
      </c>
      <c r="O441" s="33">
        <f>IFERROR(Table2[[#This Row],[Value(1000$) 2024]]/Table2[[#This Row],[Volume(1000) 2024]],0)</f>
        <v>8.583056760095932E-2</v>
      </c>
      <c r="P441" s="33">
        <f>SUM(Table2[[#This Row],[Value(1000$) 2022]:[Value(1000$) 2024]])</f>
        <v>0.3543</v>
      </c>
      <c r="Q441" s="33">
        <f>SUM(Table2[[#This Row],[Volume(1000) 2022]:[Volume(1000) 2024]])</f>
        <v>4.1279000000000003</v>
      </c>
      <c r="R441" s="33">
        <f>AVERAGE(Table2[[#This Row],[Average Price(2022)]:[Average Price(2024)]])</f>
        <v>2.8610189200319772E-2</v>
      </c>
    </row>
    <row r="442" spans="1:18" x14ac:dyDescent="0.3">
      <c r="A442" t="s">
        <v>551</v>
      </c>
      <c r="B442" t="s">
        <v>791</v>
      </c>
      <c r="C442" t="s">
        <v>465</v>
      </c>
      <c r="D442" t="s">
        <v>9</v>
      </c>
      <c r="E442" t="s">
        <v>30</v>
      </c>
      <c r="F442" s="27" t="str">
        <f>IF('Working Sheet'!B637="ITEM",'Working Sheet'!E637,"")</f>
        <v>42.0000</v>
      </c>
      <c r="G442" s="27">
        <f>IF('Working Sheet'!B637="ITEM",'Working Sheet'!F637,"")</f>
        <v>9.0039999999999996</v>
      </c>
      <c r="H442" s="27">
        <f>IF('Working Sheet'!B637="ITEM",'Working Sheet'!G637,"")</f>
        <v>27.005199999999999</v>
      </c>
      <c r="I442" s="27">
        <f>IF('Working Sheet'!B637="ITEM",'Working Sheet'!H637,"")</f>
        <v>7.3737000000000004</v>
      </c>
      <c r="J442">
        <f>IF('Working Sheet'!B637="ITEM",'Working Sheet'!I637,"")</f>
        <v>168.55369999999999</v>
      </c>
      <c r="K442">
        <f>IF('Working Sheet'!B637="ITEM",'Working Sheet'!J637,"")</f>
        <v>470.04379999999998</v>
      </c>
      <c r="L442">
        <f>IF('Working Sheet'!B637="ITEM",'Working Sheet'!K637,"")</f>
        <v>117.492</v>
      </c>
      <c r="M442" s="33">
        <f>IFERROR(Table2[[#This Row],[Value(1000$) 2022]]/Table2[[#This Row],[Volume(1000) 2022]],0)</f>
        <v>5.3419177389757683E-2</v>
      </c>
      <c r="N442" s="33">
        <f>IFERROR(Table2[[#This Row],[Value(1000$) 2023]]/Table2[[#This Row],[Volume(1000) 2023]],0)</f>
        <v>5.7452518254681798E-2</v>
      </c>
      <c r="O442" s="33">
        <f>IFERROR(Table2[[#This Row],[Value(1000$) 2024]]/Table2[[#This Row],[Volume(1000) 2024]],0)</f>
        <v>6.275916658155449E-2</v>
      </c>
      <c r="P442" s="33">
        <f>SUM(Table2[[#This Row],[Value(1000$) 2022]:[Value(1000$) 2024]])</f>
        <v>43.382899999999999</v>
      </c>
      <c r="Q442" s="33">
        <f>SUM(Table2[[#This Row],[Volume(1000) 2022]:[Volume(1000) 2024]])</f>
        <v>756.08949999999993</v>
      </c>
      <c r="R442" s="33">
        <f>AVERAGE(Table2[[#This Row],[Average Price(2022)]:[Average Price(2024)]])</f>
        <v>5.7876954075331326E-2</v>
      </c>
    </row>
    <row r="443" spans="1:18" x14ac:dyDescent="0.3">
      <c r="A443" t="s">
        <v>552</v>
      </c>
      <c r="B443" t="s">
        <v>791</v>
      </c>
      <c r="C443" t="s">
        <v>465</v>
      </c>
      <c r="D443" t="s">
        <v>9</v>
      </c>
      <c r="E443" t="s">
        <v>30</v>
      </c>
      <c r="F443" s="27" t="str">
        <f>IF('Working Sheet'!B638="ITEM",'Working Sheet'!E638,"")</f>
        <v>42.0000</v>
      </c>
      <c r="G443" s="27">
        <f>IF('Working Sheet'!B638="ITEM",'Working Sheet'!F638,"")</f>
        <v>9.5648</v>
      </c>
      <c r="H443" s="27">
        <f>IF('Working Sheet'!B638="ITEM",'Working Sheet'!G638,"")</f>
        <v>36.633899999999997</v>
      </c>
      <c r="I443" s="27">
        <f>IF('Working Sheet'!B638="ITEM",'Working Sheet'!H638,"")</f>
        <v>14.959</v>
      </c>
      <c r="J443">
        <f>IF('Working Sheet'!B638="ITEM",'Working Sheet'!I638,"")</f>
        <v>136.73179999999999</v>
      </c>
      <c r="K443">
        <f>IF('Working Sheet'!B638="ITEM",'Working Sheet'!J638,"")</f>
        <v>512.46489999999994</v>
      </c>
      <c r="L443">
        <f>IF('Working Sheet'!B638="ITEM",'Working Sheet'!K638,"")</f>
        <v>178.05029999999999</v>
      </c>
      <c r="M443" s="33">
        <f>IFERROR(Table2[[#This Row],[Value(1000$) 2022]]/Table2[[#This Row],[Volume(1000) 2022]],0)</f>
        <v>6.9953002885941681E-2</v>
      </c>
      <c r="N443" s="33">
        <f>IFERROR(Table2[[#This Row],[Value(1000$) 2023]]/Table2[[#This Row],[Volume(1000) 2023]],0)</f>
        <v>7.1485676384860697E-2</v>
      </c>
      <c r="O443" s="33">
        <f>IFERROR(Table2[[#This Row],[Value(1000$) 2024]]/Table2[[#This Row],[Volume(1000) 2024]],0)</f>
        <v>8.4015584360149914E-2</v>
      </c>
      <c r="P443" s="33">
        <f>SUM(Table2[[#This Row],[Value(1000$) 2022]:[Value(1000$) 2024]])</f>
        <v>61.157699999999991</v>
      </c>
      <c r="Q443" s="33">
        <f>SUM(Table2[[#This Row],[Volume(1000) 2022]:[Volume(1000) 2024]])</f>
        <v>827.24699999999996</v>
      </c>
      <c r="R443" s="33">
        <f>AVERAGE(Table2[[#This Row],[Average Price(2022)]:[Average Price(2024)]])</f>
        <v>7.515142121031744E-2</v>
      </c>
    </row>
    <row r="444" spans="1:18" x14ac:dyDescent="0.3">
      <c r="A444" t="s">
        <v>553</v>
      </c>
      <c r="B444" t="s">
        <v>791</v>
      </c>
      <c r="C444" t="s">
        <v>465</v>
      </c>
      <c r="D444" t="s">
        <v>9</v>
      </c>
      <c r="E444" t="s">
        <v>10</v>
      </c>
      <c r="F444" s="27" t="str">
        <f>IF('Working Sheet'!B639="ITEM",'Working Sheet'!E639,"")</f>
        <v>72</v>
      </c>
      <c r="G444" s="27">
        <f>IF('Working Sheet'!B639="ITEM",'Working Sheet'!F639,"")</f>
        <v>0.18679999999999999</v>
      </c>
      <c r="H444" s="27">
        <f>IF('Working Sheet'!B639="ITEM",'Working Sheet'!G639,"")</f>
        <v>0</v>
      </c>
      <c r="I444" s="27">
        <f>IF('Working Sheet'!B639="ITEM",'Working Sheet'!H639,"")</f>
        <v>0</v>
      </c>
      <c r="J444">
        <f>IF('Working Sheet'!B639="ITEM",'Working Sheet'!I639,"")</f>
        <v>4.4957000000000003</v>
      </c>
      <c r="K444">
        <f>IF('Working Sheet'!B639="ITEM",'Working Sheet'!J639,"")</f>
        <v>0</v>
      </c>
      <c r="L444">
        <f>IF('Working Sheet'!B639="ITEM",'Working Sheet'!K639,"")</f>
        <v>0</v>
      </c>
      <c r="M444" s="33">
        <f>IFERROR(Table2[[#This Row],[Value(1000$) 2022]]/Table2[[#This Row],[Volume(1000) 2022]],0)</f>
        <v>4.1550815223435726E-2</v>
      </c>
      <c r="N444" s="33">
        <f>IFERROR(Table2[[#This Row],[Value(1000$) 2023]]/Table2[[#This Row],[Volume(1000) 2023]],0)</f>
        <v>0</v>
      </c>
      <c r="O444" s="33">
        <f>IFERROR(Table2[[#This Row],[Value(1000$) 2024]]/Table2[[#This Row],[Volume(1000) 2024]],0)</f>
        <v>0</v>
      </c>
      <c r="P444" s="33">
        <f>SUM(Table2[[#This Row],[Value(1000$) 2022]:[Value(1000$) 2024]])</f>
        <v>0.18679999999999999</v>
      </c>
      <c r="Q444" s="33">
        <f>SUM(Table2[[#This Row],[Volume(1000) 2022]:[Volume(1000) 2024]])</f>
        <v>4.4957000000000003</v>
      </c>
      <c r="R444" s="33">
        <f>AVERAGE(Table2[[#This Row],[Average Price(2022)]:[Average Price(2024)]])</f>
        <v>1.3850271741145241E-2</v>
      </c>
    </row>
    <row r="445" spans="1:18" x14ac:dyDescent="0.3">
      <c r="A445" t="s">
        <v>554</v>
      </c>
      <c r="B445" t="s">
        <v>791</v>
      </c>
      <c r="C445" t="s">
        <v>465</v>
      </c>
      <c r="D445" t="s">
        <v>555</v>
      </c>
      <c r="E445" t="s">
        <v>64</v>
      </c>
      <c r="F445" s="27" t="str">
        <f>IF('Working Sheet'!B640="ITEM",'Working Sheet'!E640,"")</f>
        <v>56</v>
      </c>
      <c r="G445" s="27">
        <f>IF('Working Sheet'!B640="ITEM",'Working Sheet'!F640,"")</f>
        <v>0.2319</v>
      </c>
      <c r="H445" s="27">
        <f>IF('Working Sheet'!B640="ITEM",'Working Sheet'!G640,"")</f>
        <v>0</v>
      </c>
      <c r="I445" s="27">
        <f>IF('Working Sheet'!B640="ITEM",'Working Sheet'!H640,"")</f>
        <v>0</v>
      </c>
      <c r="J445">
        <f>IF('Working Sheet'!B640="ITEM",'Working Sheet'!I640,"")</f>
        <v>3.4005999999999998</v>
      </c>
      <c r="K445">
        <f>IF('Working Sheet'!B640="ITEM",'Working Sheet'!J640,"")</f>
        <v>0</v>
      </c>
      <c r="L445">
        <f>IF('Working Sheet'!B640="ITEM",'Working Sheet'!K640,"")</f>
        <v>0</v>
      </c>
      <c r="M445" s="33">
        <f>IFERROR(Table2[[#This Row],[Value(1000$) 2022]]/Table2[[#This Row],[Volume(1000) 2022]],0)</f>
        <v>6.8193848144445096E-2</v>
      </c>
      <c r="N445" s="33">
        <f>IFERROR(Table2[[#This Row],[Value(1000$) 2023]]/Table2[[#This Row],[Volume(1000) 2023]],0)</f>
        <v>0</v>
      </c>
      <c r="O445" s="33">
        <f>IFERROR(Table2[[#This Row],[Value(1000$) 2024]]/Table2[[#This Row],[Volume(1000) 2024]],0)</f>
        <v>0</v>
      </c>
      <c r="P445" s="33">
        <f>SUM(Table2[[#This Row],[Value(1000$) 2022]:[Value(1000$) 2024]])</f>
        <v>0.2319</v>
      </c>
      <c r="Q445" s="33">
        <f>SUM(Table2[[#This Row],[Volume(1000) 2022]:[Volume(1000) 2024]])</f>
        <v>3.4005999999999998</v>
      </c>
      <c r="R445" s="33">
        <f>AVERAGE(Table2[[#This Row],[Average Price(2022)]:[Average Price(2024)]])</f>
        <v>2.2731282714815032E-2</v>
      </c>
    </row>
    <row r="446" spans="1:18" x14ac:dyDescent="0.3">
      <c r="A446" t="s">
        <v>557</v>
      </c>
      <c r="B446" t="s">
        <v>791</v>
      </c>
      <c r="C446" t="s">
        <v>556</v>
      </c>
      <c r="D446" t="s">
        <v>9</v>
      </c>
      <c r="E446" t="s">
        <v>64</v>
      </c>
      <c r="F446" s="27" t="str">
        <f>IF('Working Sheet'!B642="ITEM",'Working Sheet'!E642,"")</f>
        <v>56</v>
      </c>
      <c r="G446" s="27">
        <f>IF('Working Sheet'!B642="ITEM",'Working Sheet'!F642,"")</f>
        <v>0.2671</v>
      </c>
      <c r="H446" s="27">
        <f>IF('Working Sheet'!B642="ITEM",'Working Sheet'!G642,"")</f>
        <v>0</v>
      </c>
      <c r="I446" s="27">
        <f>IF('Working Sheet'!B642="ITEM",'Working Sheet'!H642,"")</f>
        <v>0</v>
      </c>
      <c r="J446">
        <f>IF('Working Sheet'!B642="ITEM",'Working Sheet'!I642,"")</f>
        <v>5.0296000000000003</v>
      </c>
      <c r="K446">
        <f>IF('Working Sheet'!B642="ITEM",'Working Sheet'!J642,"")</f>
        <v>0</v>
      </c>
      <c r="L446">
        <f>IF('Working Sheet'!B642="ITEM",'Working Sheet'!K642,"")</f>
        <v>0</v>
      </c>
      <c r="M446" s="33">
        <f>IFERROR(Table2[[#This Row],[Value(1000$) 2022]]/Table2[[#This Row],[Volume(1000) 2022]],0)</f>
        <v>5.3105614760617141E-2</v>
      </c>
      <c r="N446" s="33">
        <f>IFERROR(Table2[[#This Row],[Value(1000$) 2023]]/Table2[[#This Row],[Volume(1000) 2023]],0)</f>
        <v>0</v>
      </c>
      <c r="O446" s="33">
        <f>IFERROR(Table2[[#This Row],[Value(1000$) 2024]]/Table2[[#This Row],[Volume(1000) 2024]],0)</f>
        <v>0</v>
      </c>
      <c r="P446" s="33">
        <f>SUM(Table2[[#This Row],[Value(1000$) 2022]:[Value(1000$) 2024]])</f>
        <v>0.2671</v>
      </c>
      <c r="Q446" s="33">
        <f>SUM(Table2[[#This Row],[Volume(1000) 2022]:[Volume(1000) 2024]])</f>
        <v>5.0296000000000003</v>
      </c>
      <c r="R446" s="33">
        <f>AVERAGE(Table2[[#This Row],[Average Price(2022)]:[Average Price(2024)]])</f>
        <v>1.7701871586872382E-2</v>
      </c>
    </row>
    <row r="447" spans="1:18" x14ac:dyDescent="0.3">
      <c r="A447" t="s">
        <v>825</v>
      </c>
      <c r="B447" t="s">
        <v>791</v>
      </c>
      <c r="C447" t="s">
        <v>556</v>
      </c>
      <c r="D447" t="s">
        <v>9</v>
      </c>
      <c r="E447" t="s">
        <v>10</v>
      </c>
      <c r="F447" s="27" t="str">
        <f>IF('Working Sheet'!B643="ITEM",'Working Sheet'!E643,"")</f>
        <v>64</v>
      </c>
      <c r="G447" s="27">
        <f>IF('Working Sheet'!B643="ITEM",'Working Sheet'!F643,"")</f>
        <v>0.10589999999999999</v>
      </c>
      <c r="H447" s="27">
        <f>IF('Working Sheet'!B643="ITEM",'Working Sheet'!G643,"")</f>
        <v>1.12E-2</v>
      </c>
      <c r="I447" s="27">
        <f>IF('Working Sheet'!B643="ITEM",'Working Sheet'!H643,"")</f>
        <v>0</v>
      </c>
      <c r="J447">
        <f>IF('Working Sheet'!B643="ITEM",'Working Sheet'!I643,"")</f>
        <v>2.2591999999999999</v>
      </c>
      <c r="K447">
        <f>IF('Working Sheet'!B643="ITEM",'Working Sheet'!J643,"")</f>
        <v>0.2389</v>
      </c>
      <c r="L447">
        <f>IF('Working Sheet'!B643="ITEM",'Working Sheet'!K643,"")</f>
        <v>0</v>
      </c>
      <c r="M447" s="33">
        <f>IFERROR(Table2[[#This Row],[Value(1000$) 2022]]/Table2[[#This Row],[Volume(1000) 2022]],0)</f>
        <v>4.6875E-2</v>
      </c>
      <c r="N447" s="33">
        <f>IFERROR(Table2[[#This Row],[Value(1000$) 2023]]/Table2[[#This Row],[Volume(1000) 2023]],0)</f>
        <v>4.6881540393470068E-2</v>
      </c>
      <c r="O447" s="33">
        <f>IFERROR(Table2[[#This Row],[Value(1000$) 2024]]/Table2[[#This Row],[Volume(1000) 2024]],0)</f>
        <v>0</v>
      </c>
      <c r="P447" s="33">
        <f>SUM(Table2[[#This Row],[Value(1000$) 2022]:[Value(1000$) 2024]])</f>
        <v>0.1171</v>
      </c>
      <c r="Q447" s="33">
        <f>SUM(Table2[[#This Row],[Volume(1000) 2022]:[Volume(1000) 2024]])</f>
        <v>2.4981</v>
      </c>
      <c r="R447" s="33">
        <f>AVERAGE(Table2[[#This Row],[Average Price(2022)]:[Average Price(2024)]])</f>
        <v>3.1252180131156687E-2</v>
      </c>
    </row>
    <row r="448" spans="1:18" x14ac:dyDescent="0.3">
      <c r="A448" t="s">
        <v>559</v>
      </c>
      <c r="B448" t="s">
        <v>792</v>
      </c>
      <c r="C448" t="s">
        <v>558</v>
      </c>
      <c r="D448" t="s">
        <v>9</v>
      </c>
      <c r="E448" t="s">
        <v>249</v>
      </c>
      <c r="F448" s="27" t="str">
        <f>IF('Working Sheet'!B646="ITEM",'Working Sheet'!E646,"")</f>
        <v>70</v>
      </c>
      <c r="G448" s="27">
        <f>IF('Working Sheet'!B646="ITEM",'Working Sheet'!F646,"")</f>
        <v>2.1598999999999999</v>
      </c>
      <c r="H448" s="27">
        <f>IF('Working Sheet'!B646="ITEM",'Working Sheet'!G646,"")</f>
        <v>5.1025</v>
      </c>
      <c r="I448" s="27">
        <f>IF('Working Sheet'!B646="ITEM",'Working Sheet'!H646,"")</f>
        <v>6.3079000000000001</v>
      </c>
      <c r="J448">
        <f>IF('Working Sheet'!B646="ITEM",'Working Sheet'!I646,"")</f>
        <v>36.4</v>
      </c>
      <c r="K448">
        <f>IF('Working Sheet'!B646="ITEM",'Working Sheet'!J646,"")</f>
        <v>77.862799999999993</v>
      </c>
      <c r="L448">
        <f>IF('Working Sheet'!B646="ITEM",'Working Sheet'!K646,"")</f>
        <v>91.042100000000005</v>
      </c>
      <c r="M448" s="33">
        <f>IFERROR(Table2[[#This Row],[Value(1000$) 2022]]/Table2[[#This Row],[Volume(1000) 2022]],0)</f>
        <v>5.9337912087912087E-2</v>
      </c>
      <c r="N448" s="33">
        <f>IFERROR(Table2[[#This Row],[Value(1000$) 2023]]/Table2[[#This Row],[Volume(1000) 2023]],0)</f>
        <v>6.5531935661188659E-2</v>
      </c>
      <c r="O448" s="33">
        <f>IFERROR(Table2[[#This Row],[Value(1000$) 2024]]/Table2[[#This Row],[Volume(1000) 2024]],0)</f>
        <v>6.9285528343480646E-2</v>
      </c>
      <c r="P448" s="33">
        <f>SUM(Table2[[#This Row],[Value(1000$) 2022]:[Value(1000$) 2024]])</f>
        <v>13.5703</v>
      </c>
      <c r="Q448" s="33">
        <f>SUM(Table2[[#This Row],[Volume(1000) 2022]:[Volume(1000) 2024]])</f>
        <v>205.3049</v>
      </c>
      <c r="R448" s="33">
        <f>AVERAGE(Table2[[#This Row],[Average Price(2022)]:[Average Price(2024)]])</f>
        <v>6.4718458697527126E-2</v>
      </c>
    </row>
    <row r="449" spans="1:18" x14ac:dyDescent="0.3">
      <c r="A449" t="s">
        <v>560</v>
      </c>
      <c r="B449" t="s">
        <v>792</v>
      </c>
      <c r="C449" t="s">
        <v>558</v>
      </c>
      <c r="D449" t="s">
        <v>9</v>
      </c>
      <c r="E449" t="s">
        <v>249</v>
      </c>
      <c r="F449" s="27" t="str">
        <f>IF('Working Sheet'!B647="ITEM",'Working Sheet'!E647,"")</f>
        <v>70</v>
      </c>
      <c r="G449" s="27">
        <f>IF('Working Sheet'!B647="ITEM",'Working Sheet'!F647,"")</f>
        <v>10.1408</v>
      </c>
      <c r="H449" s="27">
        <f>IF('Working Sheet'!B647="ITEM",'Working Sheet'!G647,"")</f>
        <v>7.4416000000000002</v>
      </c>
      <c r="I449" s="27">
        <f>IF('Working Sheet'!B647="ITEM",'Working Sheet'!H647,"")</f>
        <v>2.3571</v>
      </c>
      <c r="J449">
        <f>IF('Working Sheet'!B647="ITEM",'Working Sheet'!I647,"")</f>
        <v>91.191500000000005</v>
      </c>
      <c r="K449">
        <f>IF('Working Sheet'!B647="ITEM",'Working Sheet'!J647,"")</f>
        <v>64.807599999999994</v>
      </c>
      <c r="L449">
        <f>IF('Working Sheet'!B647="ITEM",'Working Sheet'!K647,"")</f>
        <v>19.349299999999999</v>
      </c>
      <c r="M449" s="33">
        <f>IFERROR(Table2[[#This Row],[Value(1000$) 2022]]/Table2[[#This Row],[Volume(1000) 2022]],0)</f>
        <v>0.11120334680315599</v>
      </c>
      <c r="N449" s="33">
        <f>IFERROR(Table2[[#This Row],[Value(1000$) 2023]]/Table2[[#This Row],[Volume(1000) 2023]],0)</f>
        <v>0.11482603892136109</v>
      </c>
      <c r="O449" s="33">
        <f>IFERROR(Table2[[#This Row],[Value(1000$) 2024]]/Table2[[#This Row],[Volume(1000) 2024]],0)</f>
        <v>0.12181836035412134</v>
      </c>
      <c r="P449" s="33">
        <f>SUM(Table2[[#This Row],[Value(1000$) 2022]:[Value(1000$) 2024]])</f>
        <v>19.939499999999999</v>
      </c>
      <c r="Q449" s="33">
        <f>SUM(Table2[[#This Row],[Volume(1000) 2022]:[Volume(1000) 2024]])</f>
        <v>175.3484</v>
      </c>
      <c r="R449" s="33">
        <f>AVERAGE(Table2[[#This Row],[Average Price(2022)]:[Average Price(2024)]])</f>
        <v>0.11594924869287948</v>
      </c>
    </row>
    <row r="450" spans="1:18" x14ac:dyDescent="0.3">
      <c r="A450" t="s">
        <v>562</v>
      </c>
      <c r="B450" t="s">
        <v>793</v>
      </c>
      <c r="C450" t="s">
        <v>561</v>
      </c>
      <c r="D450" t="s">
        <v>9</v>
      </c>
      <c r="E450" t="s">
        <v>20</v>
      </c>
      <c r="F450" s="27" t="str">
        <f>IF('Working Sheet'!B650="ITEM",'Working Sheet'!E650,"")</f>
        <v>72</v>
      </c>
      <c r="G450" s="27">
        <f>IF('Working Sheet'!B650="ITEM",'Working Sheet'!F650,"")</f>
        <v>0</v>
      </c>
      <c r="H450" s="27">
        <f>IF('Working Sheet'!B650="ITEM",'Working Sheet'!G650,"")</f>
        <v>0</v>
      </c>
      <c r="I450" s="27">
        <f>IF('Working Sheet'!B650="ITEM",'Working Sheet'!H650,"")</f>
        <v>0</v>
      </c>
      <c r="J450">
        <f>IF('Working Sheet'!B650="ITEM",'Working Sheet'!I650,"")</f>
        <v>0</v>
      </c>
      <c r="K450">
        <f>IF('Working Sheet'!B650="ITEM",'Working Sheet'!J650,"")</f>
        <v>0</v>
      </c>
      <c r="L450">
        <f>IF('Working Sheet'!B650="ITEM",'Working Sheet'!K650,"")</f>
        <v>0</v>
      </c>
      <c r="M450" s="33">
        <f>IFERROR(Table2[[#This Row],[Value(1000$) 2022]]/Table2[[#This Row],[Volume(1000) 2022]],0)</f>
        <v>0</v>
      </c>
      <c r="N450" s="33">
        <f>IFERROR(Table2[[#This Row],[Value(1000$) 2023]]/Table2[[#This Row],[Volume(1000) 2023]],0)</f>
        <v>0</v>
      </c>
      <c r="O450" s="33">
        <f>IFERROR(Table2[[#This Row],[Value(1000$) 2024]]/Table2[[#This Row],[Volume(1000) 2024]],0)</f>
        <v>0</v>
      </c>
      <c r="P450" s="33">
        <f>SUM(Table2[[#This Row],[Value(1000$) 2022]:[Value(1000$) 2024]])</f>
        <v>0</v>
      </c>
      <c r="Q450" s="33">
        <f>SUM(Table2[[#This Row],[Volume(1000) 2022]:[Volume(1000) 2024]])</f>
        <v>0</v>
      </c>
      <c r="R450" s="33">
        <f>AVERAGE(Table2[[#This Row],[Average Price(2022)]:[Average Price(2024)]])</f>
        <v>0</v>
      </c>
    </row>
    <row r="451" spans="1:18" x14ac:dyDescent="0.3">
      <c r="A451" t="s">
        <v>564</v>
      </c>
      <c r="B451" t="s">
        <v>794</v>
      </c>
      <c r="C451" t="s">
        <v>563</v>
      </c>
      <c r="D451" t="s">
        <v>9</v>
      </c>
      <c r="E451" t="s">
        <v>20</v>
      </c>
      <c r="F451" s="27" t="str">
        <f>IF('Working Sheet'!B653="ITEM",'Working Sheet'!E653,"")</f>
        <v>80</v>
      </c>
      <c r="G451" s="27">
        <f>IF('Working Sheet'!B653="ITEM",'Working Sheet'!F653,"")</f>
        <v>2.9045000000000001</v>
      </c>
      <c r="H451" s="27">
        <f>IF('Working Sheet'!B653="ITEM",'Working Sheet'!G653,"")</f>
        <v>0</v>
      </c>
      <c r="I451" s="27">
        <f>IF('Working Sheet'!B653="ITEM",'Working Sheet'!H653,"")</f>
        <v>0</v>
      </c>
      <c r="J451">
        <f>IF('Working Sheet'!B653="ITEM",'Working Sheet'!I653,"")</f>
        <v>116.9823</v>
      </c>
      <c r="K451">
        <f>IF('Working Sheet'!B653="ITEM",'Working Sheet'!J653,"")</f>
        <v>0</v>
      </c>
      <c r="L451">
        <f>IF('Working Sheet'!B653="ITEM",'Working Sheet'!K653,"")</f>
        <v>0</v>
      </c>
      <c r="M451" s="33">
        <f>IFERROR(Table2[[#This Row],[Value(1000$) 2022]]/Table2[[#This Row],[Volume(1000) 2022]],0)</f>
        <v>2.4828542437616632E-2</v>
      </c>
      <c r="N451" s="33">
        <f>IFERROR(Table2[[#This Row],[Value(1000$) 2023]]/Table2[[#This Row],[Volume(1000) 2023]],0)</f>
        <v>0</v>
      </c>
      <c r="O451" s="33">
        <f>IFERROR(Table2[[#This Row],[Value(1000$) 2024]]/Table2[[#This Row],[Volume(1000) 2024]],0)</f>
        <v>0</v>
      </c>
      <c r="P451" s="33">
        <f>SUM(Table2[[#This Row],[Value(1000$) 2022]:[Value(1000$) 2024]])</f>
        <v>2.9045000000000001</v>
      </c>
      <c r="Q451" s="33">
        <f>SUM(Table2[[#This Row],[Volume(1000) 2022]:[Volume(1000) 2024]])</f>
        <v>116.9823</v>
      </c>
      <c r="R451" s="33">
        <f>AVERAGE(Table2[[#This Row],[Average Price(2022)]:[Average Price(2024)]])</f>
        <v>8.2761808125388775E-3</v>
      </c>
    </row>
    <row r="452" spans="1:18" x14ac:dyDescent="0.3">
      <c r="A452" t="s">
        <v>565</v>
      </c>
      <c r="B452" t="s">
        <v>794</v>
      </c>
      <c r="C452" t="s">
        <v>563</v>
      </c>
      <c r="D452" t="s">
        <v>9</v>
      </c>
      <c r="E452" t="s">
        <v>10</v>
      </c>
      <c r="F452" s="27" t="str">
        <f>IF('Working Sheet'!B654="ITEM",'Working Sheet'!E654,"")</f>
        <v>80</v>
      </c>
      <c r="G452" s="27">
        <f>IF('Working Sheet'!B654="ITEM",'Working Sheet'!F654,"")</f>
        <v>2.9113000000000002</v>
      </c>
      <c r="H452" s="27">
        <f>IF('Working Sheet'!B654="ITEM",'Working Sheet'!G654,"")</f>
        <v>0</v>
      </c>
      <c r="I452" s="27">
        <f>IF('Working Sheet'!B654="ITEM",'Working Sheet'!H654,"")</f>
        <v>0</v>
      </c>
      <c r="J452">
        <f>IF('Working Sheet'!B654="ITEM",'Working Sheet'!I654,"")</f>
        <v>119.83880000000001</v>
      </c>
      <c r="K452">
        <f>IF('Working Sheet'!B654="ITEM",'Working Sheet'!J654,"")</f>
        <v>0</v>
      </c>
      <c r="L452">
        <f>IF('Working Sheet'!B654="ITEM",'Working Sheet'!K654,"")</f>
        <v>0</v>
      </c>
      <c r="M452" s="33">
        <f>IFERROR(Table2[[#This Row],[Value(1000$) 2022]]/Table2[[#This Row],[Volume(1000) 2022]],0)</f>
        <v>2.4293467558086364E-2</v>
      </c>
      <c r="N452" s="33">
        <f>IFERROR(Table2[[#This Row],[Value(1000$) 2023]]/Table2[[#This Row],[Volume(1000) 2023]],0)</f>
        <v>0</v>
      </c>
      <c r="O452" s="33">
        <f>IFERROR(Table2[[#This Row],[Value(1000$) 2024]]/Table2[[#This Row],[Volume(1000) 2024]],0)</f>
        <v>0</v>
      </c>
      <c r="P452" s="33">
        <f>SUM(Table2[[#This Row],[Value(1000$) 2022]:[Value(1000$) 2024]])</f>
        <v>2.9113000000000002</v>
      </c>
      <c r="Q452" s="33">
        <f>SUM(Table2[[#This Row],[Volume(1000) 2022]:[Volume(1000) 2024]])</f>
        <v>119.83880000000001</v>
      </c>
      <c r="R452" s="33">
        <f>AVERAGE(Table2[[#This Row],[Average Price(2022)]:[Average Price(2024)]])</f>
        <v>8.0978225193621221E-3</v>
      </c>
    </row>
    <row r="453" spans="1:18" x14ac:dyDescent="0.3">
      <c r="A453" t="s">
        <v>566</v>
      </c>
      <c r="B453" t="s">
        <v>794</v>
      </c>
      <c r="C453" t="s">
        <v>563</v>
      </c>
      <c r="D453" t="s">
        <v>9</v>
      </c>
      <c r="E453" t="s">
        <v>10</v>
      </c>
      <c r="F453" s="27" t="str">
        <f>IF('Working Sheet'!B655="ITEM",'Working Sheet'!E655,"")</f>
        <v>80</v>
      </c>
      <c r="G453" s="27">
        <f>IF('Working Sheet'!B655="ITEM",'Working Sheet'!F655,"")</f>
        <v>4.2324000000000002</v>
      </c>
      <c r="H453" s="27">
        <f>IF('Working Sheet'!B655="ITEM",'Working Sheet'!G655,"")</f>
        <v>0</v>
      </c>
      <c r="I453" s="27">
        <f>IF('Working Sheet'!B655="ITEM",'Working Sheet'!H655,"")</f>
        <v>0</v>
      </c>
      <c r="J453">
        <f>IF('Working Sheet'!B655="ITEM",'Working Sheet'!I655,"")</f>
        <v>171.05330000000001</v>
      </c>
      <c r="K453">
        <f>IF('Working Sheet'!B655="ITEM",'Working Sheet'!J655,"")</f>
        <v>0</v>
      </c>
      <c r="L453">
        <f>IF('Working Sheet'!B655="ITEM",'Working Sheet'!K655,"")</f>
        <v>0</v>
      </c>
      <c r="M453" s="33">
        <f>IFERROR(Table2[[#This Row],[Value(1000$) 2022]]/Table2[[#This Row],[Volume(1000) 2022]],0)</f>
        <v>2.4743164849786586E-2</v>
      </c>
      <c r="N453" s="33">
        <f>IFERROR(Table2[[#This Row],[Value(1000$) 2023]]/Table2[[#This Row],[Volume(1000) 2023]],0)</f>
        <v>0</v>
      </c>
      <c r="O453" s="33">
        <f>IFERROR(Table2[[#This Row],[Value(1000$) 2024]]/Table2[[#This Row],[Volume(1000) 2024]],0)</f>
        <v>0</v>
      </c>
      <c r="P453" s="33">
        <f>SUM(Table2[[#This Row],[Value(1000$) 2022]:[Value(1000$) 2024]])</f>
        <v>4.2324000000000002</v>
      </c>
      <c r="Q453" s="33">
        <f>SUM(Table2[[#This Row],[Volume(1000) 2022]:[Volume(1000) 2024]])</f>
        <v>171.05330000000001</v>
      </c>
      <c r="R453" s="33">
        <f>AVERAGE(Table2[[#This Row],[Average Price(2022)]:[Average Price(2024)]])</f>
        <v>8.2477216165955294E-3</v>
      </c>
    </row>
    <row r="454" spans="1:18" x14ac:dyDescent="0.3">
      <c r="A454" t="s">
        <v>567</v>
      </c>
      <c r="B454" t="s">
        <v>794</v>
      </c>
      <c r="C454" t="s">
        <v>563</v>
      </c>
      <c r="D454" t="s">
        <v>9</v>
      </c>
      <c r="E454" t="s">
        <v>20</v>
      </c>
      <c r="F454" s="27" t="str">
        <f>IF('Working Sheet'!B656="ITEM",'Working Sheet'!E656,"")</f>
        <v>80</v>
      </c>
      <c r="G454" s="27">
        <f>IF('Working Sheet'!B656="ITEM",'Working Sheet'!F656,"")</f>
        <v>2.6360000000000001</v>
      </c>
      <c r="H454" s="27">
        <f>IF('Working Sheet'!B656="ITEM",'Working Sheet'!G656,"")</f>
        <v>0</v>
      </c>
      <c r="I454" s="27">
        <f>IF('Working Sheet'!B656="ITEM",'Working Sheet'!H656,"")</f>
        <v>0</v>
      </c>
      <c r="J454">
        <f>IF('Working Sheet'!B656="ITEM",'Working Sheet'!I656,"")</f>
        <v>103.9999</v>
      </c>
      <c r="K454">
        <f>IF('Working Sheet'!B656="ITEM",'Working Sheet'!J656,"")</f>
        <v>0</v>
      </c>
      <c r="L454">
        <f>IF('Working Sheet'!B656="ITEM",'Working Sheet'!K656,"")</f>
        <v>0</v>
      </c>
      <c r="M454" s="33">
        <f>IFERROR(Table2[[#This Row],[Value(1000$) 2022]]/Table2[[#This Row],[Volume(1000) 2022]],0)</f>
        <v>2.5346178217479056E-2</v>
      </c>
      <c r="N454" s="33">
        <f>IFERROR(Table2[[#This Row],[Value(1000$) 2023]]/Table2[[#This Row],[Volume(1000) 2023]],0)</f>
        <v>0</v>
      </c>
      <c r="O454" s="33">
        <f>IFERROR(Table2[[#This Row],[Value(1000$) 2024]]/Table2[[#This Row],[Volume(1000) 2024]],0)</f>
        <v>0</v>
      </c>
      <c r="P454" s="33">
        <f>SUM(Table2[[#This Row],[Value(1000$) 2022]:[Value(1000$) 2024]])</f>
        <v>2.6360000000000001</v>
      </c>
      <c r="Q454" s="33">
        <f>SUM(Table2[[#This Row],[Volume(1000) 2022]:[Volume(1000) 2024]])</f>
        <v>103.9999</v>
      </c>
      <c r="R454" s="33">
        <f>AVERAGE(Table2[[#This Row],[Average Price(2022)]:[Average Price(2024)]])</f>
        <v>8.4487260724930187E-3</v>
      </c>
    </row>
    <row r="455" spans="1:18" x14ac:dyDescent="0.3">
      <c r="A455" t="s">
        <v>569</v>
      </c>
      <c r="B455" t="s">
        <v>794</v>
      </c>
      <c r="C455" t="s">
        <v>568</v>
      </c>
      <c r="D455" t="s">
        <v>9</v>
      </c>
      <c r="E455" t="s">
        <v>20</v>
      </c>
      <c r="F455" s="27" t="str">
        <f>IF('Working Sheet'!B658="ITEM",'Working Sheet'!E658,"")</f>
        <v>144</v>
      </c>
      <c r="G455" s="27">
        <f>IF('Working Sheet'!B658="ITEM",'Working Sheet'!F658,"")</f>
        <v>59.2014</v>
      </c>
      <c r="H455" s="27">
        <f>IF('Working Sheet'!B658="ITEM",'Working Sheet'!G658,"")</f>
        <v>82.022099999999995</v>
      </c>
      <c r="I455" s="27">
        <f>IF('Working Sheet'!B658="ITEM",'Working Sheet'!H658,"")</f>
        <v>31.495899999999999</v>
      </c>
      <c r="J455">
        <f>IF('Working Sheet'!B658="ITEM",'Working Sheet'!I658,"")</f>
        <v>4163.6220999999996</v>
      </c>
      <c r="K455">
        <f>IF('Working Sheet'!B658="ITEM",'Working Sheet'!J658,"")</f>
        <v>5172.0583999999999</v>
      </c>
      <c r="L455">
        <f>IF('Working Sheet'!B658="ITEM",'Working Sheet'!K658,"")</f>
        <v>1931.7985000000001</v>
      </c>
      <c r="M455" s="33">
        <f>IFERROR(Table2[[#This Row],[Value(1000$) 2022]]/Table2[[#This Row],[Volume(1000) 2022]],0)</f>
        <v>1.4218725565896099E-2</v>
      </c>
      <c r="N455" s="33">
        <f>IFERROR(Table2[[#This Row],[Value(1000$) 2023]]/Table2[[#This Row],[Volume(1000) 2023]],0)</f>
        <v>1.5858695640404988E-2</v>
      </c>
      <c r="O455" s="33">
        <f>IFERROR(Table2[[#This Row],[Value(1000$) 2024]]/Table2[[#This Row],[Volume(1000) 2024]],0)</f>
        <v>1.6303926108235407E-2</v>
      </c>
      <c r="P455" s="33">
        <f>SUM(Table2[[#This Row],[Value(1000$) 2022]:[Value(1000$) 2024]])</f>
        <v>172.71940000000001</v>
      </c>
      <c r="Q455" s="33">
        <f>SUM(Table2[[#This Row],[Volume(1000) 2022]:[Volume(1000) 2024]])</f>
        <v>11267.478999999999</v>
      </c>
      <c r="R455" s="33">
        <f>AVERAGE(Table2[[#This Row],[Average Price(2022)]:[Average Price(2024)]])</f>
        <v>1.54604491048455E-2</v>
      </c>
    </row>
    <row r="456" spans="1:18" x14ac:dyDescent="0.3">
      <c r="A456" t="s">
        <v>571</v>
      </c>
      <c r="B456" t="s">
        <v>794</v>
      </c>
      <c r="C456" t="s">
        <v>568</v>
      </c>
      <c r="D456" t="s">
        <v>9</v>
      </c>
      <c r="E456" t="s">
        <v>20</v>
      </c>
      <c r="F456" s="27" t="str">
        <f>IF('Working Sheet'!B659="ITEM",'Working Sheet'!E659,"")</f>
        <v>144</v>
      </c>
      <c r="G456" s="27">
        <f>IF('Working Sheet'!B659="ITEM",'Working Sheet'!F659,"")</f>
        <v>6.7272999999999996</v>
      </c>
      <c r="H456" s="27">
        <f>IF('Working Sheet'!B659="ITEM",'Working Sheet'!G659,"")</f>
        <v>1.7110000000000001</v>
      </c>
      <c r="I456" s="27">
        <f>IF('Working Sheet'!B659="ITEM",'Working Sheet'!H659,"")</f>
        <v>1.5649999999999999</v>
      </c>
      <c r="J456">
        <f>IF('Working Sheet'!B659="ITEM",'Working Sheet'!I659,"")</f>
        <v>473.34</v>
      </c>
      <c r="K456">
        <f>IF('Working Sheet'!B659="ITEM",'Working Sheet'!J659,"")</f>
        <v>112.14570000000001</v>
      </c>
      <c r="L456">
        <f>IF('Working Sheet'!B659="ITEM",'Working Sheet'!K659,"")</f>
        <v>108.86020000000001</v>
      </c>
      <c r="M456" s="33">
        <f>IFERROR(Table2[[#This Row],[Value(1000$) 2022]]/Table2[[#This Row],[Volume(1000) 2022]],0)</f>
        <v>1.421240545907804E-2</v>
      </c>
      <c r="N456" s="33">
        <f>IFERROR(Table2[[#This Row],[Value(1000$) 2023]]/Table2[[#This Row],[Volume(1000) 2023]],0)</f>
        <v>1.5256938072525296E-2</v>
      </c>
      <c r="O456" s="33">
        <f>IFERROR(Table2[[#This Row],[Value(1000$) 2024]]/Table2[[#This Row],[Volume(1000) 2024]],0)</f>
        <v>1.4376236677867575E-2</v>
      </c>
      <c r="P456" s="33">
        <f>SUM(Table2[[#This Row],[Value(1000$) 2022]:[Value(1000$) 2024]])</f>
        <v>10.003299999999999</v>
      </c>
      <c r="Q456" s="33">
        <f>SUM(Table2[[#This Row],[Volume(1000) 2022]:[Volume(1000) 2024]])</f>
        <v>694.34589999999992</v>
      </c>
      <c r="R456" s="33">
        <f>AVERAGE(Table2[[#This Row],[Average Price(2022)]:[Average Price(2024)]])</f>
        <v>1.461519340315697E-2</v>
      </c>
    </row>
    <row r="457" spans="1:18" x14ac:dyDescent="0.3">
      <c r="A457" t="s">
        <v>573</v>
      </c>
      <c r="B457" t="s">
        <v>795</v>
      </c>
      <c r="C457" t="s">
        <v>572</v>
      </c>
      <c r="D457" t="s">
        <v>9</v>
      </c>
      <c r="E457" t="s">
        <v>64</v>
      </c>
      <c r="F457" s="27" t="str">
        <f>IF('Working Sheet'!B662="ITEM",'Working Sheet'!E662,"")</f>
        <v>120</v>
      </c>
      <c r="G457" s="27">
        <f>IF('Working Sheet'!B662="ITEM",'Working Sheet'!F662,"")</f>
        <v>53.944000000000003</v>
      </c>
      <c r="H457" s="27">
        <f>IF('Working Sheet'!B662="ITEM",'Working Sheet'!G662,"")</f>
        <v>41.741</v>
      </c>
      <c r="I457" s="27">
        <f>IF('Working Sheet'!B662="ITEM",'Working Sheet'!H662,"")</f>
        <v>12.7791</v>
      </c>
      <c r="J457">
        <f>IF('Working Sheet'!B662="ITEM",'Working Sheet'!I662,"")</f>
        <v>3422.2186000000002</v>
      </c>
      <c r="K457">
        <f>IF('Working Sheet'!B662="ITEM",'Working Sheet'!J662,"")</f>
        <v>2176.2671999999998</v>
      </c>
      <c r="L457">
        <f>IF('Working Sheet'!B662="ITEM",'Working Sheet'!K662,"")</f>
        <v>723.71550000000002</v>
      </c>
      <c r="M457" s="33">
        <f>IFERROR(Table2[[#This Row],[Value(1000$) 2022]]/Table2[[#This Row],[Volume(1000) 2022]],0)</f>
        <v>1.5762873826937883E-2</v>
      </c>
      <c r="N457" s="33">
        <f>IFERROR(Table2[[#This Row],[Value(1000$) 2023]]/Table2[[#This Row],[Volume(1000) 2023]],0)</f>
        <v>1.9180089650756123E-2</v>
      </c>
      <c r="O457" s="33">
        <f>IFERROR(Table2[[#This Row],[Value(1000$) 2024]]/Table2[[#This Row],[Volume(1000) 2024]],0)</f>
        <v>1.7657629275592411E-2</v>
      </c>
      <c r="P457" s="33">
        <f>SUM(Table2[[#This Row],[Value(1000$) 2022]:[Value(1000$) 2024]])</f>
        <v>108.4641</v>
      </c>
      <c r="Q457" s="33">
        <f>SUM(Table2[[#This Row],[Volume(1000) 2022]:[Volume(1000) 2024]])</f>
        <v>6322.2013000000006</v>
      </c>
      <c r="R457" s="33">
        <f>AVERAGE(Table2[[#This Row],[Average Price(2022)]:[Average Price(2024)]])</f>
        <v>1.7533530917762139E-2</v>
      </c>
    </row>
    <row r="458" spans="1:18" x14ac:dyDescent="0.3">
      <c r="A458" t="s">
        <v>574</v>
      </c>
      <c r="B458" t="s">
        <v>795</v>
      </c>
      <c r="C458" t="s">
        <v>572</v>
      </c>
      <c r="D458" t="s">
        <v>9</v>
      </c>
      <c r="E458" t="s">
        <v>64</v>
      </c>
      <c r="F458" s="27" t="str">
        <f>IF('Working Sheet'!B663="ITEM",'Working Sheet'!E663,"")</f>
        <v>72</v>
      </c>
      <c r="G458" s="27">
        <f>IF('Working Sheet'!B663="ITEM",'Working Sheet'!F663,"")</f>
        <v>10.5024</v>
      </c>
      <c r="H458" s="27">
        <f>IF('Working Sheet'!B663="ITEM",'Working Sheet'!G663,"")</f>
        <v>1.2988</v>
      </c>
      <c r="I458" s="27">
        <f>IF('Working Sheet'!B663="ITEM",'Working Sheet'!H663,"")</f>
        <v>0.38090000000000002</v>
      </c>
      <c r="J458">
        <f>IF('Working Sheet'!B663="ITEM",'Working Sheet'!I663,"")</f>
        <v>626.13580000000002</v>
      </c>
      <c r="K458">
        <f>IF('Working Sheet'!B663="ITEM",'Working Sheet'!J663,"")</f>
        <v>67.750100000000003</v>
      </c>
      <c r="L458">
        <f>IF('Working Sheet'!B663="ITEM",'Working Sheet'!K663,"")</f>
        <v>17.785299999999999</v>
      </c>
      <c r="M458" s="33">
        <f>IFERROR(Table2[[#This Row],[Value(1000$) 2022]]/Table2[[#This Row],[Volume(1000) 2022]],0)</f>
        <v>1.677335811177064E-2</v>
      </c>
      <c r="N458" s="33">
        <f>IFERROR(Table2[[#This Row],[Value(1000$) 2023]]/Table2[[#This Row],[Volume(1000) 2023]],0)</f>
        <v>1.9170451408927806E-2</v>
      </c>
      <c r="O458" s="33">
        <f>IFERROR(Table2[[#This Row],[Value(1000$) 2024]]/Table2[[#This Row],[Volume(1000) 2024]],0)</f>
        <v>2.1416563116731235E-2</v>
      </c>
      <c r="P458" s="33">
        <f>SUM(Table2[[#This Row],[Value(1000$) 2022]:[Value(1000$) 2024]])</f>
        <v>12.1821</v>
      </c>
      <c r="Q458" s="33">
        <f>SUM(Table2[[#This Row],[Volume(1000) 2022]:[Volume(1000) 2024]])</f>
        <v>711.6712</v>
      </c>
      <c r="R458" s="33">
        <f>AVERAGE(Table2[[#This Row],[Average Price(2022)]:[Average Price(2024)]])</f>
        <v>1.9120124212476563E-2</v>
      </c>
    </row>
    <row r="459" spans="1:18" x14ac:dyDescent="0.3">
      <c r="A459" t="s">
        <v>576</v>
      </c>
      <c r="B459" t="s">
        <v>795</v>
      </c>
      <c r="C459" t="s">
        <v>575</v>
      </c>
      <c r="D459" t="s">
        <v>9</v>
      </c>
      <c r="E459" t="s">
        <v>20</v>
      </c>
      <c r="F459" s="27" t="str">
        <f>IF('Working Sheet'!B665="ITEM",'Working Sheet'!E665,"")</f>
        <v>102</v>
      </c>
      <c r="G459" s="27">
        <f>IF('Working Sheet'!B665="ITEM",'Working Sheet'!F665,"")</f>
        <v>1.4174</v>
      </c>
      <c r="H459" s="27">
        <f>IF('Working Sheet'!B665="ITEM",'Working Sheet'!G665,"")</f>
        <v>2.3006000000000002</v>
      </c>
      <c r="I459" s="27">
        <f>IF('Working Sheet'!B665="ITEM",'Working Sheet'!H665,"")</f>
        <v>0</v>
      </c>
      <c r="J459">
        <f>IF('Working Sheet'!B665="ITEM",'Working Sheet'!I665,"")</f>
        <v>78.384500000000003</v>
      </c>
      <c r="K459">
        <f>IF('Working Sheet'!B665="ITEM",'Working Sheet'!J665,"")</f>
        <v>113.29300000000001</v>
      </c>
      <c r="L459">
        <f>IF('Working Sheet'!B665="ITEM",'Working Sheet'!K665,"")</f>
        <v>0</v>
      </c>
      <c r="M459" s="33">
        <f>IFERROR(Table2[[#This Row],[Value(1000$) 2022]]/Table2[[#This Row],[Volume(1000) 2022]],0)</f>
        <v>1.8082656647679069E-2</v>
      </c>
      <c r="N459" s="33">
        <f>IFERROR(Table2[[#This Row],[Value(1000$) 2023]]/Table2[[#This Row],[Volume(1000) 2023]],0)</f>
        <v>2.0306638539009471E-2</v>
      </c>
      <c r="O459" s="33">
        <f>IFERROR(Table2[[#This Row],[Value(1000$) 2024]]/Table2[[#This Row],[Volume(1000) 2024]],0)</f>
        <v>0</v>
      </c>
      <c r="P459" s="33">
        <f>SUM(Table2[[#This Row],[Value(1000$) 2022]:[Value(1000$) 2024]])</f>
        <v>3.718</v>
      </c>
      <c r="Q459" s="33">
        <f>SUM(Table2[[#This Row],[Volume(1000) 2022]:[Volume(1000) 2024]])</f>
        <v>191.67750000000001</v>
      </c>
      <c r="R459" s="33">
        <f>AVERAGE(Table2[[#This Row],[Average Price(2022)]:[Average Price(2024)]])</f>
        <v>1.2796431728896182E-2</v>
      </c>
    </row>
    <row r="460" spans="1:18" x14ac:dyDescent="0.3">
      <c r="A460" t="s">
        <v>578</v>
      </c>
      <c r="B460" t="s">
        <v>796</v>
      </c>
      <c r="C460" t="s">
        <v>577</v>
      </c>
      <c r="D460" t="s">
        <v>9</v>
      </c>
      <c r="E460" t="s">
        <v>69</v>
      </c>
      <c r="F460" s="27" t="str">
        <f>IF('Working Sheet'!B668="ITEM",'Working Sheet'!E668,"")</f>
        <v>72</v>
      </c>
      <c r="G460" s="27">
        <f>IF('Working Sheet'!B668="ITEM",'Working Sheet'!F668,"")</f>
        <v>2.9096000000000002</v>
      </c>
      <c r="H460" s="27">
        <f>IF('Working Sheet'!B668="ITEM",'Working Sheet'!G668,"")</f>
        <v>6.0198</v>
      </c>
      <c r="I460" s="27">
        <f>IF('Working Sheet'!B668="ITEM",'Working Sheet'!H668,"")</f>
        <v>5.5109000000000004</v>
      </c>
      <c r="J460">
        <f>IF('Working Sheet'!B668="ITEM",'Working Sheet'!I668,"")</f>
        <v>55.366500000000002</v>
      </c>
      <c r="K460">
        <f>IF('Working Sheet'!B668="ITEM",'Working Sheet'!J668,"")</f>
        <v>108.4705</v>
      </c>
      <c r="L460">
        <f>IF('Working Sheet'!B668="ITEM",'Working Sheet'!K668,"")</f>
        <v>98.710099999999997</v>
      </c>
      <c r="M460" s="33">
        <f>IFERROR(Table2[[#This Row],[Value(1000$) 2022]]/Table2[[#This Row],[Volume(1000) 2022]],0)</f>
        <v>5.2551633207806168E-2</v>
      </c>
      <c r="N460" s="33">
        <f>IFERROR(Table2[[#This Row],[Value(1000$) 2023]]/Table2[[#This Row],[Volume(1000) 2023]],0)</f>
        <v>5.5497116727589529E-2</v>
      </c>
      <c r="O460" s="33">
        <f>IFERROR(Table2[[#This Row],[Value(1000$) 2024]]/Table2[[#This Row],[Volume(1000) 2024]],0)</f>
        <v>5.5829140077864381E-2</v>
      </c>
      <c r="P460" s="33">
        <f>SUM(Table2[[#This Row],[Value(1000$) 2022]:[Value(1000$) 2024]])</f>
        <v>14.440300000000001</v>
      </c>
      <c r="Q460" s="33">
        <f>SUM(Table2[[#This Row],[Volume(1000) 2022]:[Volume(1000) 2024]])</f>
        <v>262.5471</v>
      </c>
      <c r="R460" s="33">
        <f>AVERAGE(Table2[[#This Row],[Average Price(2022)]:[Average Price(2024)]])</f>
        <v>5.462596333775336E-2</v>
      </c>
    </row>
    <row r="461" spans="1:18" x14ac:dyDescent="0.3">
      <c r="A461" t="s">
        <v>580</v>
      </c>
      <c r="B461" t="s">
        <v>797</v>
      </c>
      <c r="C461" t="s">
        <v>579</v>
      </c>
      <c r="D461" t="s">
        <v>9</v>
      </c>
      <c r="E461" t="s">
        <v>20</v>
      </c>
      <c r="F461" s="27" t="str">
        <f>IF('Working Sheet'!B671="ITEM",'Working Sheet'!E671,"")</f>
        <v>72</v>
      </c>
      <c r="G461" s="27">
        <f>IF('Working Sheet'!B671="ITEM",'Working Sheet'!F671,"")</f>
        <v>0</v>
      </c>
      <c r="H461" s="27">
        <f>IF('Working Sheet'!B671="ITEM",'Working Sheet'!G671,"")</f>
        <v>0</v>
      </c>
      <c r="I461" s="27">
        <f>IF('Working Sheet'!B671="ITEM",'Working Sheet'!H671,"")</f>
        <v>9.1999999999999998E-3</v>
      </c>
      <c r="J461">
        <f>IF('Working Sheet'!B671="ITEM",'Working Sheet'!I671,"")</f>
        <v>0</v>
      </c>
      <c r="K461">
        <f>IF('Working Sheet'!B671="ITEM",'Working Sheet'!J671,"")</f>
        <v>0</v>
      </c>
      <c r="L461">
        <f>IF('Working Sheet'!B671="ITEM",'Working Sheet'!K671,"")</f>
        <v>0.30320000000000003</v>
      </c>
      <c r="M461" s="33">
        <f>IFERROR(Table2[[#This Row],[Value(1000$) 2022]]/Table2[[#This Row],[Volume(1000) 2022]],0)</f>
        <v>0</v>
      </c>
      <c r="N461" s="33">
        <f>IFERROR(Table2[[#This Row],[Value(1000$) 2023]]/Table2[[#This Row],[Volume(1000) 2023]],0)</f>
        <v>0</v>
      </c>
      <c r="O461" s="33">
        <f>IFERROR(Table2[[#This Row],[Value(1000$) 2024]]/Table2[[#This Row],[Volume(1000) 2024]],0)</f>
        <v>3.034300791556728E-2</v>
      </c>
      <c r="P461" s="33">
        <f>SUM(Table2[[#This Row],[Value(1000$) 2022]:[Value(1000$) 2024]])</f>
        <v>9.1999999999999998E-3</v>
      </c>
      <c r="Q461" s="33">
        <f>SUM(Table2[[#This Row],[Volume(1000) 2022]:[Volume(1000) 2024]])</f>
        <v>0.30320000000000003</v>
      </c>
      <c r="R461" s="33">
        <f>AVERAGE(Table2[[#This Row],[Average Price(2022)]:[Average Price(2024)]])</f>
        <v>1.0114335971855759E-2</v>
      </c>
    </row>
    <row r="462" spans="1:18" x14ac:dyDescent="0.3">
      <c r="A462" t="s">
        <v>582</v>
      </c>
      <c r="B462" t="s">
        <v>798</v>
      </c>
      <c r="C462" t="s">
        <v>581</v>
      </c>
      <c r="D462" t="s">
        <v>9</v>
      </c>
      <c r="E462" t="s">
        <v>20</v>
      </c>
      <c r="F462" s="27" t="str">
        <f>IF('Working Sheet'!B674="ITEM",'Working Sheet'!E674,"")</f>
        <v>72</v>
      </c>
      <c r="G462" s="27">
        <f>IF('Working Sheet'!B674="ITEM",'Working Sheet'!F674,"")</f>
        <v>0</v>
      </c>
      <c r="H462" s="27">
        <f>IF('Working Sheet'!B674="ITEM",'Working Sheet'!G674,"")</f>
        <v>0</v>
      </c>
      <c r="I462" s="27">
        <f>IF('Working Sheet'!B674="ITEM",'Working Sheet'!H674,"")</f>
        <v>0</v>
      </c>
      <c r="J462">
        <f>IF('Working Sheet'!B674="ITEM",'Working Sheet'!I674,"")</f>
        <v>0</v>
      </c>
      <c r="K462">
        <f>IF('Working Sheet'!B674="ITEM",'Working Sheet'!J674,"")</f>
        <v>0</v>
      </c>
      <c r="L462">
        <f>IF('Working Sheet'!B674="ITEM",'Working Sheet'!K674,"")</f>
        <v>0</v>
      </c>
      <c r="M462" s="33">
        <f>IFERROR(Table2[[#This Row],[Value(1000$) 2022]]/Table2[[#This Row],[Volume(1000) 2022]],0)</f>
        <v>0</v>
      </c>
      <c r="N462" s="33">
        <f>IFERROR(Table2[[#This Row],[Value(1000$) 2023]]/Table2[[#This Row],[Volume(1000) 2023]],0)</f>
        <v>0</v>
      </c>
      <c r="O462" s="33">
        <f>IFERROR(Table2[[#This Row],[Value(1000$) 2024]]/Table2[[#This Row],[Volume(1000) 2024]],0)</f>
        <v>0</v>
      </c>
      <c r="P462" s="33">
        <f>SUM(Table2[[#This Row],[Value(1000$) 2022]:[Value(1000$) 2024]])</f>
        <v>0</v>
      </c>
      <c r="Q462" s="33">
        <f>SUM(Table2[[#This Row],[Volume(1000) 2022]:[Volume(1000) 2024]])</f>
        <v>0</v>
      </c>
      <c r="R462" s="33">
        <f>AVERAGE(Table2[[#This Row],[Average Price(2022)]:[Average Price(2024)]])</f>
        <v>0</v>
      </c>
    </row>
    <row r="463" spans="1:18" x14ac:dyDescent="0.3">
      <c r="A463" t="s">
        <v>584</v>
      </c>
      <c r="B463" t="s">
        <v>799</v>
      </c>
      <c r="C463" t="s">
        <v>583</v>
      </c>
      <c r="D463" t="s">
        <v>9</v>
      </c>
      <c r="E463" t="s">
        <v>20</v>
      </c>
      <c r="F463" s="27" t="str">
        <f>IF('Working Sheet'!B677="ITEM",'Working Sheet'!E677,"")</f>
        <v>60</v>
      </c>
      <c r="G463" s="27">
        <f>IF('Working Sheet'!B677="ITEM",'Working Sheet'!F677,"")</f>
        <v>0.35610000000000003</v>
      </c>
      <c r="H463" s="27">
        <f>IF('Working Sheet'!B677="ITEM",'Working Sheet'!G677,"")</f>
        <v>0</v>
      </c>
      <c r="I463" s="27">
        <f>IF('Working Sheet'!B677="ITEM",'Working Sheet'!H677,"")</f>
        <v>0</v>
      </c>
      <c r="J463">
        <f>IF('Working Sheet'!B677="ITEM",'Working Sheet'!I677,"")</f>
        <v>5.6227</v>
      </c>
      <c r="K463">
        <f>IF('Working Sheet'!B677="ITEM",'Working Sheet'!J677,"")</f>
        <v>0</v>
      </c>
      <c r="L463">
        <f>IF('Working Sheet'!B677="ITEM",'Working Sheet'!K677,"")</f>
        <v>0</v>
      </c>
      <c r="M463" s="33">
        <f>IFERROR(Table2[[#This Row],[Value(1000$) 2022]]/Table2[[#This Row],[Volume(1000) 2022]],0)</f>
        <v>6.3332562647838236E-2</v>
      </c>
      <c r="N463" s="33">
        <f>IFERROR(Table2[[#This Row],[Value(1000$) 2023]]/Table2[[#This Row],[Volume(1000) 2023]],0)</f>
        <v>0</v>
      </c>
      <c r="O463" s="33">
        <f>IFERROR(Table2[[#This Row],[Value(1000$) 2024]]/Table2[[#This Row],[Volume(1000) 2024]],0)</f>
        <v>0</v>
      </c>
      <c r="P463" s="33">
        <f>SUM(Table2[[#This Row],[Value(1000$) 2022]:[Value(1000$) 2024]])</f>
        <v>0.35610000000000003</v>
      </c>
      <c r="Q463" s="33">
        <f>SUM(Table2[[#This Row],[Volume(1000) 2022]:[Volume(1000) 2024]])</f>
        <v>5.6227</v>
      </c>
      <c r="R463" s="33">
        <f>AVERAGE(Table2[[#This Row],[Average Price(2022)]:[Average Price(2024)]])</f>
        <v>2.1110854215946079E-2</v>
      </c>
    </row>
    <row r="464" spans="1:18" x14ac:dyDescent="0.3">
      <c r="A464" t="s">
        <v>585</v>
      </c>
      <c r="B464" t="s">
        <v>799</v>
      </c>
      <c r="C464" t="s">
        <v>583</v>
      </c>
      <c r="D464" t="s">
        <v>9</v>
      </c>
      <c r="E464" t="s">
        <v>10</v>
      </c>
      <c r="F464" s="27" t="str">
        <f>IF('Working Sheet'!B678="ITEM",'Working Sheet'!E678,"")</f>
        <v>72</v>
      </c>
      <c r="G464" s="27">
        <f>IF('Working Sheet'!B678="ITEM",'Working Sheet'!F678,"")</f>
        <v>1.3764000000000001</v>
      </c>
      <c r="H464" s="27">
        <f>IF('Working Sheet'!B678="ITEM",'Working Sheet'!G678,"")</f>
        <v>2.7699999999999999E-2</v>
      </c>
      <c r="I464" s="27">
        <f>IF('Working Sheet'!B678="ITEM",'Working Sheet'!H678,"")</f>
        <v>0</v>
      </c>
      <c r="J464">
        <f>IF('Working Sheet'!B678="ITEM",'Working Sheet'!I678,"")</f>
        <v>28.943100000000001</v>
      </c>
      <c r="K464">
        <f>IF('Working Sheet'!B678="ITEM",'Working Sheet'!J678,"")</f>
        <v>0.64290000000000003</v>
      </c>
      <c r="L464">
        <f>IF('Working Sheet'!B678="ITEM",'Working Sheet'!K678,"")</f>
        <v>0</v>
      </c>
      <c r="M464" s="33">
        <f>IFERROR(Table2[[#This Row],[Value(1000$) 2022]]/Table2[[#This Row],[Volume(1000) 2022]],0)</f>
        <v>4.7555375892699814E-2</v>
      </c>
      <c r="N464" s="33">
        <f>IFERROR(Table2[[#This Row],[Value(1000$) 2023]]/Table2[[#This Row],[Volume(1000) 2023]],0)</f>
        <v>4.3086016487789702E-2</v>
      </c>
      <c r="O464" s="33">
        <f>IFERROR(Table2[[#This Row],[Value(1000$) 2024]]/Table2[[#This Row],[Volume(1000) 2024]],0)</f>
        <v>0</v>
      </c>
      <c r="P464" s="33">
        <f>SUM(Table2[[#This Row],[Value(1000$) 2022]:[Value(1000$) 2024]])</f>
        <v>1.4041000000000001</v>
      </c>
      <c r="Q464" s="33">
        <f>SUM(Table2[[#This Row],[Volume(1000) 2022]:[Volume(1000) 2024]])</f>
        <v>29.586000000000002</v>
      </c>
      <c r="R464" s="33">
        <f>AVERAGE(Table2[[#This Row],[Average Price(2022)]:[Average Price(2024)]])</f>
        <v>3.0213797460163172E-2</v>
      </c>
    </row>
    <row r="465" spans="1:18" x14ac:dyDescent="0.3">
      <c r="A465" t="s">
        <v>587</v>
      </c>
      <c r="B465" t="s">
        <v>799</v>
      </c>
      <c r="C465" t="s">
        <v>586</v>
      </c>
      <c r="D465" t="s">
        <v>9</v>
      </c>
      <c r="E465" t="s">
        <v>30</v>
      </c>
      <c r="F465" s="27" t="str">
        <f>IF('Working Sheet'!B680="ITEM",'Working Sheet'!E680,"")</f>
        <v>24</v>
      </c>
      <c r="G465" s="27">
        <f>IF('Working Sheet'!B680="ITEM",'Working Sheet'!F680,"")</f>
        <v>6.7664999999999997</v>
      </c>
      <c r="H465" s="27">
        <f>IF('Working Sheet'!B680="ITEM",'Working Sheet'!G680,"")</f>
        <v>0.54779999999999995</v>
      </c>
      <c r="I465" s="27">
        <f>IF('Working Sheet'!B680="ITEM",'Working Sheet'!H680,"")</f>
        <v>0</v>
      </c>
      <c r="J465">
        <f>IF('Working Sheet'!B680="ITEM",'Working Sheet'!I680,"")</f>
        <v>162.6651</v>
      </c>
      <c r="K465">
        <f>IF('Working Sheet'!B680="ITEM",'Working Sheet'!J680,"")</f>
        <v>12.7288</v>
      </c>
      <c r="L465">
        <f>IF('Working Sheet'!B680="ITEM",'Working Sheet'!K680,"")</f>
        <v>0</v>
      </c>
      <c r="M465" s="33">
        <f>IFERROR(Table2[[#This Row],[Value(1000$) 2022]]/Table2[[#This Row],[Volume(1000) 2022]],0)</f>
        <v>4.1597736699513291E-2</v>
      </c>
      <c r="N465" s="33">
        <f>IFERROR(Table2[[#This Row],[Value(1000$) 2023]]/Table2[[#This Row],[Volume(1000) 2023]],0)</f>
        <v>4.3036264219722203E-2</v>
      </c>
      <c r="O465" s="33">
        <f>IFERROR(Table2[[#This Row],[Value(1000$) 2024]]/Table2[[#This Row],[Volume(1000) 2024]],0)</f>
        <v>0</v>
      </c>
      <c r="P465" s="33">
        <f>SUM(Table2[[#This Row],[Value(1000$) 2022]:[Value(1000$) 2024]])</f>
        <v>7.3142999999999994</v>
      </c>
      <c r="Q465" s="33">
        <f>SUM(Table2[[#This Row],[Volume(1000) 2022]:[Volume(1000) 2024]])</f>
        <v>175.3939</v>
      </c>
      <c r="R465" s="33">
        <f>AVERAGE(Table2[[#This Row],[Average Price(2022)]:[Average Price(2024)]])</f>
        <v>2.8211333639745165E-2</v>
      </c>
    </row>
    <row r="466" spans="1:18" x14ac:dyDescent="0.3">
      <c r="A466" t="s">
        <v>588</v>
      </c>
      <c r="B466" t="s">
        <v>799</v>
      </c>
      <c r="C466" t="s">
        <v>586</v>
      </c>
      <c r="D466" t="s">
        <v>9</v>
      </c>
      <c r="E466" t="s">
        <v>30</v>
      </c>
      <c r="F466" s="27" t="str">
        <f>IF('Working Sheet'!B681="ITEM",'Working Sheet'!E681,"")</f>
        <v>60</v>
      </c>
      <c r="G466" s="27">
        <f>IF('Working Sheet'!B681="ITEM",'Working Sheet'!F681,"")</f>
        <v>14.513400000000001</v>
      </c>
      <c r="H466" s="27">
        <f>IF('Working Sheet'!B681="ITEM",'Working Sheet'!G681,"")</f>
        <v>11.551399999999999</v>
      </c>
      <c r="I466" s="27">
        <f>IF('Working Sheet'!B681="ITEM",'Working Sheet'!H681,"")</f>
        <v>8.6715</v>
      </c>
      <c r="J466">
        <f>IF('Working Sheet'!B681="ITEM",'Working Sheet'!I681,"")</f>
        <v>383.46769999999998</v>
      </c>
      <c r="K466">
        <f>IF('Working Sheet'!B681="ITEM",'Working Sheet'!J681,"")</f>
        <v>307.81580000000002</v>
      </c>
      <c r="L466">
        <f>IF('Working Sheet'!B681="ITEM",'Working Sheet'!K681,"")</f>
        <v>255.3304</v>
      </c>
      <c r="M466" s="33">
        <f>IFERROR(Table2[[#This Row],[Value(1000$) 2022]]/Table2[[#This Row],[Volume(1000) 2022]],0)</f>
        <v>3.7847777009641231E-2</v>
      </c>
      <c r="N466" s="33">
        <f>IFERROR(Table2[[#This Row],[Value(1000$) 2023]]/Table2[[#This Row],[Volume(1000) 2023]],0)</f>
        <v>3.7526988543148204E-2</v>
      </c>
      <c r="O466" s="33">
        <f>IFERROR(Table2[[#This Row],[Value(1000$) 2024]]/Table2[[#This Row],[Volume(1000) 2024]],0)</f>
        <v>3.3961878413224594E-2</v>
      </c>
      <c r="P466" s="33">
        <f>SUM(Table2[[#This Row],[Value(1000$) 2022]:[Value(1000$) 2024]])</f>
        <v>34.7363</v>
      </c>
      <c r="Q466" s="33">
        <f>SUM(Table2[[#This Row],[Volume(1000) 2022]:[Volume(1000) 2024]])</f>
        <v>946.61390000000006</v>
      </c>
      <c r="R466" s="33">
        <f>AVERAGE(Table2[[#This Row],[Average Price(2022)]:[Average Price(2024)]])</f>
        <v>3.6445547988671341E-2</v>
      </c>
    </row>
    <row r="467" spans="1:18" x14ac:dyDescent="0.3">
      <c r="A467" t="s">
        <v>589</v>
      </c>
      <c r="B467" t="s">
        <v>799</v>
      </c>
      <c r="C467" t="s">
        <v>586</v>
      </c>
      <c r="D467" t="s">
        <v>9</v>
      </c>
      <c r="E467" t="s">
        <v>30</v>
      </c>
      <c r="F467" s="27" t="str">
        <f>IF('Working Sheet'!B682="ITEM",'Working Sheet'!E682,"")</f>
        <v>60</v>
      </c>
      <c r="G467" s="27">
        <f>IF('Working Sheet'!B682="ITEM",'Working Sheet'!F682,"")</f>
        <v>17.654699999999998</v>
      </c>
      <c r="H467" s="27">
        <f>IF('Working Sheet'!B682="ITEM",'Working Sheet'!G682,"")</f>
        <v>12.539</v>
      </c>
      <c r="I467" s="27">
        <f>IF('Working Sheet'!B682="ITEM",'Working Sheet'!H682,"")</f>
        <v>4.6113</v>
      </c>
      <c r="J467">
        <f>IF('Working Sheet'!B682="ITEM",'Working Sheet'!I682,"")</f>
        <v>482.61590000000001</v>
      </c>
      <c r="K467">
        <f>IF('Working Sheet'!B682="ITEM",'Working Sheet'!J682,"")</f>
        <v>340.10579999999999</v>
      </c>
      <c r="L467">
        <f>IF('Working Sheet'!B682="ITEM",'Working Sheet'!K682,"")</f>
        <v>153.12389999999999</v>
      </c>
      <c r="M467" s="33">
        <f>IFERROR(Table2[[#This Row],[Value(1000$) 2022]]/Table2[[#This Row],[Volume(1000) 2022]],0)</f>
        <v>3.6581264728327428E-2</v>
      </c>
      <c r="N467" s="33">
        <f>IFERROR(Table2[[#This Row],[Value(1000$) 2023]]/Table2[[#This Row],[Volume(1000) 2023]],0)</f>
        <v>3.6867939329467476E-2</v>
      </c>
      <c r="O467" s="33">
        <f>IFERROR(Table2[[#This Row],[Value(1000$) 2024]]/Table2[[#This Row],[Volume(1000) 2024]],0)</f>
        <v>3.0114828579993067E-2</v>
      </c>
      <c r="P467" s="33">
        <f>SUM(Table2[[#This Row],[Value(1000$) 2022]:[Value(1000$) 2024]])</f>
        <v>34.805</v>
      </c>
      <c r="Q467" s="33">
        <f>SUM(Table2[[#This Row],[Volume(1000) 2022]:[Volume(1000) 2024]])</f>
        <v>975.8456000000001</v>
      </c>
      <c r="R467" s="33">
        <f>AVERAGE(Table2[[#This Row],[Average Price(2022)]:[Average Price(2024)]])</f>
        <v>3.4521344212595985E-2</v>
      </c>
    </row>
    <row r="468" spans="1:18" x14ac:dyDescent="0.3">
      <c r="A468" t="s">
        <v>826</v>
      </c>
      <c r="B468" t="s">
        <v>799</v>
      </c>
      <c r="C468" t="s">
        <v>590</v>
      </c>
      <c r="D468" t="s">
        <v>9</v>
      </c>
      <c r="E468" t="s">
        <v>10</v>
      </c>
      <c r="F468" s="27" t="str">
        <f>IF('Working Sheet'!B684="ITEM",'Working Sheet'!E684,"")</f>
        <v>120</v>
      </c>
      <c r="G468" s="27">
        <f>IF('Working Sheet'!B684="ITEM",'Working Sheet'!F684,"")</f>
        <v>20.231999999999999</v>
      </c>
      <c r="H468" s="27">
        <f>IF('Working Sheet'!B684="ITEM",'Working Sheet'!G684,"")</f>
        <v>11.313700000000001</v>
      </c>
      <c r="I468" s="27">
        <f>IF('Working Sheet'!B684="ITEM",'Working Sheet'!H684,"")</f>
        <v>0</v>
      </c>
      <c r="J468">
        <f>IF('Working Sheet'!B684="ITEM",'Working Sheet'!I684,"")</f>
        <v>583.67819999999995</v>
      </c>
      <c r="K468">
        <f>IF('Working Sheet'!B684="ITEM",'Working Sheet'!J684,"")</f>
        <v>345.19709999999998</v>
      </c>
      <c r="L468">
        <f>IF('Working Sheet'!B684="ITEM",'Working Sheet'!K684,"")</f>
        <v>0</v>
      </c>
      <c r="M468" s="33">
        <f>IFERROR(Table2[[#This Row],[Value(1000$) 2022]]/Table2[[#This Row],[Volume(1000) 2022]],0)</f>
        <v>3.4662935843757743E-2</v>
      </c>
      <c r="N468" s="33">
        <f>IFERROR(Table2[[#This Row],[Value(1000$) 2023]]/Table2[[#This Row],[Volume(1000) 2023]],0)</f>
        <v>3.2774609056680955E-2</v>
      </c>
      <c r="O468" s="33">
        <f>IFERROR(Table2[[#This Row],[Value(1000$) 2024]]/Table2[[#This Row],[Volume(1000) 2024]],0)</f>
        <v>0</v>
      </c>
      <c r="P468" s="33">
        <f>SUM(Table2[[#This Row],[Value(1000$) 2022]:[Value(1000$) 2024]])</f>
        <v>31.5457</v>
      </c>
      <c r="Q468" s="33">
        <f>SUM(Table2[[#This Row],[Volume(1000) 2022]:[Volume(1000) 2024]])</f>
        <v>928.87529999999992</v>
      </c>
      <c r="R468" s="33">
        <f>AVERAGE(Table2[[#This Row],[Average Price(2022)]:[Average Price(2024)]])</f>
        <v>2.2479181633479565E-2</v>
      </c>
    </row>
    <row r="469" spans="1:18" x14ac:dyDescent="0.3">
      <c r="A469" t="s">
        <v>591</v>
      </c>
      <c r="B469" t="s">
        <v>799</v>
      </c>
      <c r="C469" t="s">
        <v>590</v>
      </c>
      <c r="D469" t="s">
        <v>9</v>
      </c>
      <c r="E469" t="s">
        <v>20</v>
      </c>
      <c r="F469" s="27" t="str">
        <f>IF('Working Sheet'!B685="ITEM",'Working Sheet'!E685,"")</f>
        <v>72</v>
      </c>
      <c r="G469" s="27">
        <f>IF('Working Sheet'!B685="ITEM",'Working Sheet'!F685,"")</f>
        <v>0</v>
      </c>
      <c r="H469" s="27">
        <f>IF('Working Sheet'!B685="ITEM",'Working Sheet'!G685,"")</f>
        <v>0</v>
      </c>
      <c r="I469" s="27">
        <f>IF('Working Sheet'!B685="ITEM",'Working Sheet'!H685,"")</f>
        <v>0</v>
      </c>
      <c r="J469">
        <f>IF('Working Sheet'!B685="ITEM",'Working Sheet'!I685,"")</f>
        <v>0</v>
      </c>
      <c r="K469">
        <f>IF('Working Sheet'!B685="ITEM",'Working Sheet'!J685,"")</f>
        <v>0</v>
      </c>
      <c r="L469">
        <f>IF('Working Sheet'!B685="ITEM",'Working Sheet'!K685,"")</f>
        <v>0</v>
      </c>
      <c r="M469" s="33">
        <f>IFERROR(Table2[[#This Row],[Value(1000$) 2022]]/Table2[[#This Row],[Volume(1000) 2022]],0)</f>
        <v>0</v>
      </c>
      <c r="N469" s="33">
        <f>IFERROR(Table2[[#This Row],[Value(1000$) 2023]]/Table2[[#This Row],[Volume(1000) 2023]],0)</f>
        <v>0</v>
      </c>
      <c r="O469" s="33">
        <f>IFERROR(Table2[[#This Row],[Value(1000$) 2024]]/Table2[[#This Row],[Volume(1000) 2024]],0)</f>
        <v>0</v>
      </c>
      <c r="P469" s="33">
        <f>SUM(Table2[[#This Row],[Value(1000$) 2022]:[Value(1000$) 2024]])</f>
        <v>0</v>
      </c>
      <c r="Q469" s="33">
        <f>SUM(Table2[[#This Row],[Volume(1000) 2022]:[Volume(1000) 2024]])</f>
        <v>0</v>
      </c>
      <c r="R469" s="33">
        <f>AVERAGE(Table2[[#This Row],[Average Price(2022)]:[Average Price(2024)]])</f>
        <v>0</v>
      </c>
    </row>
    <row r="470" spans="1:18" x14ac:dyDescent="0.3">
      <c r="A470" t="s">
        <v>593</v>
      </c>
      <c r="B470" t="s">
        <v>800</v>
      </c>
      <c r="C470" t="s">
        <v>592</v>
      </c>
      <c r="D470" t="s">
        <v>9</v>
      </c>
      <c r="E470" t="s">
        <v>20</v>
      </c>
      <c r="F470" s="27" t="str">
        <f>IF('Working Sheet'!B688="ITEM",'Working Sheet'!E688,"")</f>
        <v>120</v>
      </c>
      <c r="G470" s="27">
        <f>IF('Working Sheet'!B688="ITEM",'Working Sheet'!F688,"")</f>
        <v>0</v>
      </c>
      <c r="H470" s="27">
        <f>IF('Working Sheet'!B688="ITEM",'Working Sheet'!G688,"")</f>
        <v>20.586300000000001</v>
      </c>
      <c r="I470" s="27">
        <f>IF('Working Sheet'!B688="ITEM",'Working Sheet'!H688,"")</f>
        <v>29.262499999999999</v>
      </c>
      <c r="J470">
        <f>IF('Working Sheet'!B688="ITEM",'Working Sheet'!I688,"")</f>
        <v>0</v>
      </c>
      <c r="K470">
        <f>IF('Working Sheet'!B688="ITEM",'Working Sheet'!J688,"")</f>
        <v>1265.0245</v>
      </c>
      <c r="L470">
        <f>IF('Working Sheet'!B688="ITEM",'Working Sheet'!K688,"")</f>
        <v>1657.2372</v>
      </c>
      <c r="M470" s="33">
        <f>IFERROR(Table2[[#This Row],[Value(1000$) 2022]]/Table2[[#This Row],[Volume(1000) 2022]],0)</f>
        <v>0</v>
      </c>
      <c r="N470" s="33">
        <f>IFERROR(Table2[[#This Row],[Value(1000$) 2023]]/Table2[[#This Row],[Volume(1000) 2023]],0)</f>
        <v>1.6273439763419602E-2</v>
      </c>
      <c r="O470" s="33">
        <f>IFERROR(Table2[[#This Row],[Value(1000$) 2024]]/Table2[[#This Row],[Volume(1000) 2024]],0)</f>
        <v>1.7657399918370165E-2</v>
      </c>
      <c r="P470" s="33">
        <f>SUM(Table2[[#This Row],[Value(1000$) 2022]:[Value(1000$) 2024]])</f>
        <v>49.848799999999997</v>
      </c>
      <c r="Q470" s="33">
        <f>SUM(Table2[[#This Row],[Volume(1000) 2022]:[Volume(1000) 2024]])</f>
        <v>2922.2617</v>
      </c>
      <c r="R470" s="33">
        <f>AVERAGE(Table2[[#This Row],[Average Price(2022)]:[Average Price(2024)]])</f>
        <v>1.1310279893929923E-2</v>
      </c>
    </row>
    <row r="471" spans="1:18" x14ac:dyDescent="0.3">
      <c r="A471" t="s">
        <v>594</v>
      </c>
      <c r="B471" t="s">
        <v>800</v>
      </c>
      <c r="C471" t="s">
        <v>592</v>
      </c>
      <c r="D471" t="s">
        <v>9</v>
      </c>
      <c r="E471" t="s">
        <v>20</v>
      </c>
      <c r="F471" s="27" t="str">
        <f>IF('Working Sheet'!B689="ITEM",'Working Sheet'!E689,"")</f>
        <v>72</v>
      </c>
      <c r="G471" s="27">
        <f>IF('Working Sheet'!B689="ITEM",'Working Sheet'!F689,"")</f>
        <v>26.3474</v>
      </c>
      <c r="H471" s="27">
        <f>IF('Working Sheet'!B689="ITEM",'Working Sheet'!G689,"")</f>
        <v>52.005499999999998</v>
      </c>
      <c r="I471" s="27">
        <f>IF('Working Sheet'!B689="ITEM",'Working Sheet'!H689,"")</f>
        <v>32.744900000000001</v>
      </c>
      <c r="J471">
        <f>IF('Working Sheet'!B689="ITEM",'Working Sheet'!I689,"")</f>
        <v>920.46799999999996</v>
      </c>
      <c r="K471">
        <f>IF('Working Sheet'!B689="ITEM",'Working Sheet'!J689,"")</f>
        <v>1819.1769999999999</v>
      </c>
      <c r="L471">
        <f>IF('Working Sheet'!B689="ITEM",'Working Sheet'!K689,"")</f>
        <v>1062.7058999999999</v>
      </c>
      <c r="M471" s="33">
        <f>IFERROR(Table2[[#This Row],[Value(1000$) 2022]]/Table2[[#This Row],[Volume(1000) 2022]],0)</f>
        <v>2.8623917398540744E-2</v>
      </c>
      <c r="N471" s="33">
        <f>IFERROR(Table2[[#This Row],[Value(1000$) 2023]]/Table2[[#This Row],[Volume(1000) 2023]],0)</f>
        <v>2.8587377698816554E-2</v>
      </c>
      <c r="O471" s="33">
        <f>IFERROR(Table2[[#This Row],[Value(1000$) 2024]]/Table2[[#This Row],[Volume(1000) 2024]],0)</f>
        <v>3.0812758261716627E-2</v>
      </c>
      <c r="P471" s="33">
        <f>SUM(Table2[[#This Row],[Value(1000$) 2022]:[Value(1000$) 2024]])</f>
        <v>111.09780000000001</v>
      </c>
      <c r="Q471" s="33">
        <f>SUM(Table2[[#This Row],[Volume(1000) 2022]:[Volume(1000) 2024]])</f>
        <v>3802.3508999999999</v>
      </c>
      <c r="R471" s="33">
        <f>AVERAGE(Table2[[#This Row],[Average Price(2022)]:[Average Price(2024)]])</f>
        <v>2.9341351119691311E-2</v>
      </c>
    </row>
    <row r="472" spans="1:18" x14ac:dyDescent="0.3">
      <c r="A472" t="s">
        <v>596</v>
      </c>
      <c r="B472" t="s">
        <v>801</v>
      </c>
      <c r="C472" t="s">
        <v>595</v>
      </c>
      <c r="D472" t="s">
        <v>9</v>
      </c>
      <c r="E472" t="s">
        <v>10</v>
      </c>
      <c r="F472" s="27" t="str">
        <f>IF('Working Sheet'!B692="ITEM",'Working Sheet'!E692,"")</f>
        <v>72</v>
      </c>
      <c r="G472" s="27">
        <f>IF('Working Sheet'!B692="ITEM",'Working Sheet'!F692,"")</f>
        <v>0.1701</v>
      </c>
      <c r="H472" s="27">
        <f>IF('Working Sheet'!B692="ITEM",'Working Sheet'!G692,"")</f>
        <v>0.71989999999999998</v>
      </c>
      <c r="I472" s="27">
        <f>IF('Working Sheet'!B692="ITEM",'Working Sheet'!H692,"")</f>
        <v>4.9299999999999997E-2</v>
      </c>
      <c r="J472">
        <f>IF('Working Sheet'!B692="ITEM",'Working Sheet'!I692,"")</f>
        <v>1.008</v>
      </c>
      <c r="K472">
        <f>IF('Working Sheet'!B692="ITEM",'Working Sheet'!J692,"")</f>
        <v>3.8765000000000001</v>
      </c>
      <c r="L472">
        <f>IF('Working Sheet'!B692="ITEM",'Working Sheet'!K692,"")</f>
        <v>0.28799999999999998</v>
      </c>
      <c r="M472" s="33">
        <f>IFERROR(Table2[[#This Row],[Value(1000$) 2022]]/Table2[[#This Row],[Volume(1000) 2022]],0)</f>
        <v>0.16875000000000001</v>
      </c>
      <c r="N472" s="33">
        <f>IFERROR(Table2[[#This Row],[Value(1000$) 2023]]/Table2[[#This Row],[Volume(1000) 2023]],0)</f>
        <v>0.18570875790016766</v>
      </c>
      <c r="O472" s="33">
        <f>IFERROR(Table2[[#This Row],[Value(1000$) 2024]]/Table2[[#This Row],[Volume(1000) 2024]],0)</f>
        <v>0.17118055555555556</v>
      </c>
      <c r="P472" s="33">
        <f>SUM(Table2[[#This Row],[Value(1000$) 2022]:[Value(1000$) 2024]])</f>
        <v>0.93930000000000002</v>
      </c>
      <c r="Q472" s="33">
        <f>SUM(Table2[[#This Row],[Volume(1000) 2022]:[Volume(1000) 2024]])</f>
        <v>5.1725000000000003</v>
      </c>
      <c r="R472" s="33">
        <f>AVERAGE(Table2[[#This Row],[Average Price(2022)]:[Average Price(2024)]])</f>
        <v>0.17521310448524108</v>
      </c>
    </row>
    <row r="473" spans="1:18" x14ac:dyDescent="0.3">
      <c r="A473" t="s">
        <v>597</v>
      </c>
      <c r="B473" t="s">
        <v>801</v>
      </c>
      <c r="C473" t="s">
        <v>595</v>
      </c>
      <c r="D473" t="s">
        <v>555</v>
      </c>
      <c r="E473" t="s">
        <v>10</v>
      </c>
      <c r="F473" s="27" t="str">
        <f>IF('Working Sheet'!B693="ITEM",'Working Sheet'!E693,"")</f>
        <v>70</v>
      </c>
      <c r="G473" s="27">
        <f>IF('Working Sheet'!B693="ITEM",'Working Sheet'!F693,"")</f>
        <v>0.8034</v>
      </c>
      <c r="H473" s="27">
        <f>IF('Working Sheet'!B693="ITEM",'Working Sheet'!G693,"")</f>
        <v>0.64690000000000003</v>
      </c>
      <c r="I473" s="27">
        <f>IF('Working Sheet'!B693="ITEM",'Working Sheet'!H693,"")</f>
        <v>0.2069</v>
      </c>
      <c r="J473">
        <f>IF('Working Sheet'!B693="ITEM",'Working Sheet'!I693,"")</f>
        <v>3.92</v>
      </c>
      <c r="K473">
        <f>IF('Working Sheet'!B693="ITEM",'Working Sheet'!J693,"")</f>
        <v>3.48</v>
      </c>
      <c r="L473">
        <f>IF('Working Sheet'!B693="ITEM",'Working Sheet'!K693,"")</f>
        <v>1.1399999999999999</v>
      </c>
      <c r="M473" s="33">
        <f>IFERROR(Table2[[#This Row],[Value(1000$) 2022]]/Table2[[#This Row],[Volume(1000) 2022]],0)</f>
        <v>0.20494897959183675</v>
      </c>
      <c r="N473" s="33">
        <f>IFERROR(Table2[[#This Row],[Value(1000$) 2023]]/Table2[[#This Row],[Volume(1000) 2023]],0)</f>
        <v>0.18589080459770116</v>
      </c>
      <c r="O473" s="33">
        <f>IFERROR(Table2[[#This Row],[Value(1000$) 2024]]/Table2[[#This Row],[Volume(1000) 2024]],0)</f>
        <v>0.18149122807017545</v>
      </c>
      <c r="P473" s="33">
        <f>SUM(Table2[[#This Row],[Value(1000$) 2022]:[Value(1000$) 2024]])</f>
        <v>1.6572</v>
      </c>
      <c r="Q473" s="33">
        <f>SUM(Table2[[#This Row],[Volume(1000) 2022]:[Volume(1000) 2024]])</f>
        <v>8.5400000000000009</v>
      </c>
      <c r="R473" s="33">
        <f>AVERAGE(Table2[[#This Row],[Average Price(2022)]:[Average Price(2024)]])</f>
        <v>0.19077700408657114</v>
      </c>
    </row>
    <row r="474" spans="1:18" x14ac:dyDescent="0.3">
      <c r="A474" t="s">
        <v>599</v>
      </c>
      <c r="B474" t="s">
        <v>802</v>
      </c>
      <c r="C474" t="s">
        <v>598</v>
      </c>
      <c r="D474" t="s">
        <v>9</v>
      </c>
      <c r="E474" t="s">
        <v>20</v>
      </c>
      <c r="F474" s="27" t="str">
        <f>IF('Working Sheet'!B696="ITEM",'Working Sheet'!E696,"")</f>
        <v>72</v>
      </c>
      <c r="G474" s="27">
        <f>IF('Working Sheet'!B696="ITEM",'Working Sheet'!F696,"")</f>
        <v>16.393699999999999</v>
      </c>
      <c r="H474" s="27">
        <f>IF('Working Sheet'!B696="ITEM",'Working Sheet'!G696,"")</f>
        <v>13.5199</v>
      </c>
      <c r="I474" s="27">
        <f>IF('Working Sheet'!B696="ITEM",'Working Sheet'!H696,"")</f>
        <v>5.5843999999999996</v>
      </c>
      <c r="J474">
        <f>IF('Working Sheet'!B696="ITEM",'Working Sheet'!I696,"")</f>
        <v>841.14940000000001</v>
      </c>
      <c r="K474">
        <f>IF('Working Sheet'!B696="ITEM",'Working Sheet'!J696,"")</f>
        <v>693.07759999999996</v>
      </c>
      <c r="L474">
        <f>IF('Working Sheet'!B696="ITEM",'Working Sheet'!K696,"")</f>
        <v>305.17070000000001</v>
      </c>
      <c r="M474" s="33">
        <f>IFERROR(Table2[[#This Row],[Value(1000$) 2022]]/Table2[[#This Row],[Volume(1000) 2022]],0)</f>
        <v>1.9489641198103452E-2</v>
      </c>
      <c r="N474" s="33">
        <f>IFERROR(Table2[[#This Row],[Value(1000$) 2023]]/Table2[[#This Row],[Volume(1000) 2023]],0)</f>
        <v>1.9507050869917022E-2</v>
      </c>
      <c r="O474" s="33">
        <f>IFERROR(Table2[[#This Row],[Value(1000$) 2024]]/Table2[[#This Row],[Volume(1000) 2024]],0)</f>
        <v>1.8299266607180831E-2</v>
      </c>
      <c r="P474" s="33">
        <f>SUM(Table2[[#This Row],[Value(1000$) 2022]:[Value(1000$) 2024]])</f>
        <v>35.497999999999998</v>
      </c>
      <c r="Q474" s="33">
        <f>SUM(Table2[[#This Row],[Volume(1000) 2022]:[Volume(1000) 2024]])</f>
        <v>1839.3977</v>
      </c>
      <c r="R474" s="33">
        <f>AVERAGE(Table2[[#This Row],[Average Price(2022)]:[Average Price(2024)]])</f>
        <v>1.9098652891733767E-2</v>
      </c>
    </row>
    <row r="475" spans="1:18" x14ac:dyDescent="0.3">
      <c r="A475" t="s">
        <v>600</v>
      </c>
      <c r="B475" t="s">
        <v>802</v>
      </c>
      <c r="C475" t="s">
        <v>598</v>
      </c>
      <c r="D475" t="s">
        <v>9</v>
      </c>
      <c r="E475" t="s">
        <v>20</v>
      </c>
      <c r="F475" s="27" t="str">
        <f>IF('Working Sheet'!B697="ITEM",'Working Sheet'!E697,"")</f>
        <v>72</v>
      </c>
      <c r="G475" s="27">
        <f>IF('Working Sheet'!B697="ITEM",'Working Sheet'!F697,"")</f>
        <v>2.1175000000000002</v>
      </c>
      <c r="H475" s="27">
        <f>IF('Working Sheet'!B697="ITEM",'Working Sheet'!G697,"")</f>
        <v>0.66620000000000001</v>
      </c>
      <c r="I475" s="27">
        <f>IF('Working Sheet'!B697="ITEM",'Working Sheet'!H697,"")</f>
        <v>0</v>
      </c>
      <c r="J475">
        <f>IF('Working Sheet'!B697="ITEM",'Working Sheet'!I697,"")</f>
        <v>137.34479999999999</v>
      </c>
      <c r="K475">
        <f>IF('Working Sheet'!B697="ITEM",'Working Sheet'!J697,"")</f>
        <v>41.348700000000001</v>
      </c>
      <c r="L475">
        <f>IF('Working Sheet'!B697="ITEM",'Working Sheet'!K697,"")</f>
        <v>0</v>
      </c>
      <c r="M475" s="33">
        <f>IFERROR(Table2[[#This Row],[Value(1000$) 2022]]/Table2[[#This Row],[Volume(1000) 2022]],0)</f>
        <v>1.5417402042159589E-2</v>
      </c>
      <c r="N475" s="33">
        <f>IFERROR(Table2[[#This Row],[Value(1000$) 2023]]/Table2[[#This Row],[Volume(1000) 2023]],0)</f>
        <v>1.6111752001876721E-2</v>
      </c>
      <c r="O475" s="33">
        <f>IFERROR(Table2[[#This Row],[Value(1000$) 2024]]/Table2[[#This Row],[Volume(1000) 2024]],0)</f>
        <v>0</v>
      </c>
      <c r="P475" s="33">
        <f>SUM(Table2[[#This Row],[Value(1000$) 2022]:[Value(1000$) 2024]])</f>
        <v>2.7837000000000001</v>
      </c>
      <c r="Q475" s="33">
        <f>SUM(Table2[[#This Row],[Volume(1000) 2022]:[Volume(1000) 2024]])</f>
        <v>178.6935</v>
      </c>
      <c r="R475" s="33">
        <f>AVERAGE(Table2[[#This Row],[Average Price(2022)]:[Average Price(2024)]])</f>
        <v>1.0509718014678768E-2</v>
      </c>
    </row>
    <row r="476" spans="1:18" x14ac:dyDescent="0.3">
      <c r="A476" t="s">
        <v>602</v>
      </c>
      <c r="B476" t="s">
        <v>803</v>
      </c>
      <c r="C476" t="s">
        <v>601</v>
      </c>
      <c r="D476" t="s">
        <v>9</v>
      </c>
      <c r="E476" t="s">
        <v>20</v>
      </c>
      <c r="F476" s="27" t="str">
        <f>IF('Working Sheet'!B700="ITEM",'Working Sheet'!E700,"")</f>
        <v>120</v>
      </c>
      <c r="G476" s="27">
        <f>IF('Working Sheet'!B700="ITEM",'Working Sheet'!F700,"")</f>
        <v>1.9984999999999999</v>
      </c>
      <c r="H476" s="27">
        <f>IF('Working Sheet'!B700="ITEM",'Working Sheet'!G700,"")</f>
        <v>3.2300000000000002E-2</v>
      </c>
      <c r="I476" s="27">
        <f>IF('Working Sheet'!B700="ITEM",'Working Sheet'!H700,"")</f>
        <v>0</v>
      </c>
      <c r="J476">
        <f>IF('Working Sheet'!B700="ITEM",'Working Sheet'!I700,"")</f>
        <v>141.71469999999999</v>
      </c>
      <c r="K476">
        <f>IF('Working Sheet'!B700="ITEM",'Working Sheet'!J700,"")</f>
        <v>1.9971000000000001</v>
      </c>
      <c r="L476">
        <f>IF('Working Sheet'!B700="ITEM",'Working Sheet'!K700,"")</f>
        <v>0</v>
      </c>
      <c r="M476" s="33">
        <f>IFERROR(Table2[[#This Row],[Value(1000$) 2022]]/Table2[[#This Row],[Volume(1000) 2022]],0)</f>
        <v>1.410227732197154E-2</v>
      </c>
      <c r="N476" s="33">
        <f>IFERROR(Table2[[#This Row],[Value(1000$) 2023]]/Table2[[#This Row],[Volume(1000) 2023]],0)</f>
        <v>1.6173451504681788E-2</v>
      </c>
      <c r="O476" s="33">
        <f>IFERROR(Table2[[#This Row],[Value(1000$) 2024]]/Table2[[#This Row],[Volume(1000) 2024]],0)</f>
        <v>0</v>
      </c>
      <c r="P476" s="33">
        <f>SUM(Table2[[#This Row],[Value(1000$) 2022]:[Value(1000$) 2024]])</f>
        <v>2.0308000000000002</v>
      </c>
      <c r="Q476" s="33">
        <f>SUM(Table2[[#This Row],[Volume(1000) 2022]:[Volume(1000) 2024]])</f>
        <v>143.71179999999998</v>
      </c>
      <c r="R476" s="33">
        <f>AVERAGE(Table2[[#This Row],[Average Price(2022)]:[Average Price(2024)]])</f>
        <v>1.0091909608884442E-2</v>
      </c>
    </row>
    <row r="477" spans="1:18" x14ac:dyDescent="0.3">
      <c r="A477" t="s">
        <v>604</v>
      </c>
      <c r="B477" t="s">
        <v>803</v>
      </c>
      <c r="C477" t="s">
        <v>603</v>
      </c>
      <c r="D477" t="s">
        <v>9</v>
      </c>
      <c r="E477" t="s">
        <v>30</v>
      </c>
      <c r="F477" s="27" t="str">
        <f>IF('Working Sheet'!B702="ITEM",'Working Sheet'!E702,"")</f>
        <v>100</v>
      </c>
      <c r="G477" s="27">
        <f>IF('Working Sheet'!B702="ITEM",'Working Sheet'!F702,"")</f>
        <v>136.17420000000001</v>
      </c>
      <c r="H477" s="27">
        <f>IF('Working Sheet'!B702="ITEM",'Working Sheet'!G702,"")</f>
        <v>152.24180000000001</v>
      </c>
      <c r="I477" s="27">
        <f>IF('Working Sheet'!B702="ITEM",'Working Sheet'!H702,"")</f>
        <v>70.924899999999994</v>
      </c>
      <c r="J477">
        <f>IF('Working Sheet'!B702="ITEM",'Working Sheet'!I702,"")</f>
        <v>7155.8876</v>
      </c>
      <c r="K477">
        <f>IF('Working Sheet'!B702="ITEM",'Working Sheet'!J702,"")</f>
        <v>7606.2596000000003</v>
      </c>
      <c r="L477">
        <f>IF('Working Sheet'!B702="ITEM",'Working Sheet'!K702,"")</f>
        <v>3236.7058000000002</v>
      </c>
      <c r="M477" s="33">
        <f>IFERROR(Table2[[#This Row],[Value(1000$) 2022]]/Table2[[#This Row],[Volume(1000) 2022]],0)</f>
        <v>1.902967285288271E-2</v>
      </c>
      <c r="N477" s="33">
        <f>IFERROR(Table2[[#This Row],[Value(1000$) 2023]]/Table2[[#This Row],[Volume(1000) 2023]],0)</f>
        <v>2.0015330531185132E-2</v>
      </c>
      <c r="O477" s="33">
        <f>IFERROR(Table2[[#This Row],[Value(1000$) 2024]]/Table2[[#This Row],[Volume(1000) 2024]],0)</f>
        <v>2.1912680479022836E-2</v>
      </c>
      <c r="P477" s="33">
        <f>SUM(Table2[[#This Row],[Value(1000$) 2022]:[Value(1000$) 2024]])</f>
        <v>359.34090000000003</v>
      </c>
      <c r="Q477" s="33">
        <f>SUM(Table2[[#This Row],[Volume(1000) 2022]:[Volume(1000) 2024]])</f>
        <v>17998.852999999999</v>
      </c>
      <c r="R477" s="33">
        <f>AVERAGE(Table2[[#This Row],[Average Price(2022)]:[Average Price(2024)]])</f>
        <v>2.0319227954363559E-2</v>
      </c>
    </row>
    <row r="478" spans="1:18" x14ac:dyDescent="0.3">
      <c r="A478" t="s">
        <v>605</v>
      </c>
      <c r="B478" t="s">
        <v>803</v>
      </c>
      <c r="C478" t="s">
        <v>603</v>
      </c>
      <c r="D478" t="s">
        <v>9</v>
      </c>
      <c r="E478" t="s">
        <v>20</v>
      </c>
      <c r="F478" s="27" t="str">
        <f>IF('Working Sheet'!B703="ITEM",'Working Sheet'!E703,"")</f>
        <v>120</v>
      </c>
      <c r="G478" s="27">
        <f>IF('Working Sheet'!B703="ITEM",'Working Sheet'!F703,"")</f>
        <v>166.38550000000001</v>
      </c>
      <c r="H478" s="27">
        <f>IF('Working Sheet'!B703="ITEM",'Working Sheet'!G703,"")</f>
        <v>154.19909999999999</v>
      </c>
      <c r="I478" s="27">
        <f>IF('Working Sheet'!B703="ITEM",'Working Sheet'!H703,"")</f>
        <v>78.409199999999998</v>
      </c>
      <c r="J478">
        <f>IF('Working Sheet'!B703="ITEM",'Working Sheet'!I703,"")</f>
        <v>8805.9477000000006</v>
      </c>
      <c r="K478">
        <f>IF('Working Sheet'!B703="ITEM",'Working Sheet'!J703,"")</f>
        <v>8032.0802000000003</v>
      </c>
      <c r="L478">
        <f>IF('Working Sheet'!B703="ITEM",'Working Sheet'!K703,"")</f>
        <v>3983.7687000000001</v>
      </c>
      <c r="M478" s="33">
        <f>IFERROR(Table2[[#This Row],[Value(1000$) 2022]]/Table2[[#This Row],[Volume(1000) 2022]],0)</f>
        <v>1.8894672744876738E-2</v>
      </c>
      <c r="N478" s="33">
        <f>IFERROR(Table2[[#This Row],[Value(1000$) 2023]]/Table2[[#This Row],[Volume(1000) 2023]],0)</f>
        <v>1.9197903427308902E-2</v>
      </c>
      <c r="O478" s="33">
        <f>IFERROR(Table2[[#This Row],[Value(1000$) 2024]]/Table2[[#This Row],[Volume(1000) 2024]],0)</f>
        <v>1.9682166788448335E-2</v>
      </c>
      <c r="P478" s="33">
        <f>SUM(Table2[[#This Row],[Value(1000$) 2022]:[Value(1000$) 2024]])</f>
        <v>398.99380000000002</v>
      </c>
      <c r="Q478" s="33">
        <f>SUM(Table2[[#This Row],[Volume(1000) 2022]:[Volume(1000) 2024]])</f>
        <v>20821.796600000001</v>
      </c>
      <c r="R478" s="33">
        <f>AVERAGE(Table2[[#This Row],[Average Price(2022)]:[Average Price(2024)]])</f>
        <v>1.9258247653544659E-2</v>
      </c>
    </row>
    <row r="479" spans="1:18" x14ac:dyDescent="0.3">
      <c r="A479" t="s">
        <v>606</v>
      </c>
      <c r="B479" t="s">
        <v>803</v>
      </c>
      <c r="C479" t="s">
        <v>603</v>
      </c>
      <c r="D479" t="s">
        <v>9</v>
      </c>
      <c r="E479" t="s">
        <v>20</v>
      </c>
      <c r="F479" s="27" t="str">
        <f>IF('Working Sheet'!B704="ITEM",'Working Sheet'!E704,"")</f>
        <v>72</v>
      </c>
      <c r="G479" s="27">
        <f>IF('Working Sheet'!B704="ITEM",'Working Sheet'!F704,"")</f>
        <v>7.4499999999999997E-2</v>
      </c>
      <c r="H479" s="27">
        <f>IF('Working Sheet'!B704="ITEM",'Working Sheet'!G704,"")</f>
        <v>0</v>
      </c>
      <c r="I479" s="27">
        <f>IF('Working Sheet'!B704="ITEM",'Working Sheet'!H704,"")</f>
        <v>0</v>
      </c>
      <c r="J479">
        <f>IF('Working Sheet'!B704="ITEM",'Working Sheet'!I704,"")</f>
        <v>5.2851999999999997</v>
      </c>
      <c r="K479">
        <f>IF('Working Sheet'!B704="ITEM",'Working Sheet'!J704,"")</f>
        <v>0</v>
      </c>
      <c r="L479">
        <f>IF('Working Sheet'!B704="ITEM",'Working Sheet'!K704,"")</f>
        <v>0</v>
      </c>
      <c r="M479" s="33">
        <f>IFERROR(Table2[[#This Row],[Value(1000$) 2022]]/Table2[[#This Row],[Volume(1000) 2022]],0)</f>
        <v>1.4095966093998335E-2</v>
      </c>
      <c r="N479" s="33">
        <f>IFERROR(Table2[[#This Row],[Value(1000$) 2023]]/Table2[[#This Row],[Volume(1000) 2023]],0)</f>
        <v>0</v>
      </c>
      <c r="O479" s="33">
        <f>IFERROR(Table2[[#This Row],[Value(1000$) 2024]]/Table2[[#This Row],[Volume(1000) 2024]],0)</f>
        <v>0</v>
      </c>
      <c r="P479" s="33">
        <f>SUM(Table2[[#This Row],[Value(1000$) 2022]:[Value(1000$) 2024]])</f>
        <v>7.4499999999999997E-2</v>
      </c>
      <c r="Q479" s="33">
        <f>SUM(Table2[[#This Row],[Volume(1000) 2022]:[Volume(1000) 2024]])</f>
        <v>5.2851999999999997</v>
      </c>
      <c r="R479" s="33">
        <f>AVERAGE(Table2[[#This Row],[Average Price(2022)]:[Average Price(2024)]])</f>
        <v>4.6986553646661119E-3</v>
      </c>
    </row>
    <row r="480" spans="1:18" x14ac:dyDescent="0.3">
      <c r="A480" t="s">
        <v>607</v>
      </c>
      <c r="B480" t="s">
        <v>803</v>
      </c>
      <c r="C480" t="s">
        <v>603</v>
      </c>
      <c r="D480" t="s">
        <v>9</v>
      </c>
      <c r="E480" t="s">
        <v>10</v>
      </c>
      <c r="F480" s="27" t="str">
        <f>IF('Working Sheet'!B705="ITEM",'Working Sheet'!E705,"")</f>
        <v>72</v>
      </c>
      <c r="G480" s="27">
        <f>IF('Working Sheet'!B705="ITEM",'Working Sheet'!F705,"")</f>
        <v>4.2912999999999997</v>
      </c>
      <c r="H480" s="27">
        <f>IF('Working Sheet'!B705="ITEM",'Working Sheet'!G705,"")</f>
        <v>3.2158000000000002</v>
      </c>
      <c r="I480" s="27">
        <f>IF('Working Sheet'!B705="ITEM",'Working Sheet'!H705,"")</f>
        <v>0.39529999999999998</v>
      </c>
      <c r="J480">
        <f>IF('Working Sheet'!B705="ITEM",'Working Sheet'!I705,"")</f>
        <v>253.55109999999999</v>
      </c>
      <c r="K480">
        <f>IF('Working Sheet'!B705="ITEM",'Working Sheet'!J705,"")</f>
        <v>179.24690000000001</v>
      </c>
      <c r="L480">
        <f>IF('Working Sheet'!B705="ITEM",'Working Sheet'!K705,"")</f>
        <v>19.092600000000001</v>
      </c>
      <c r="M480" s="33">
        <f>IFERROR(Table2[[#This Row],[Value(1000$) 2022]]/Table2[[#This Row],[Volume(1000) 2022]],0)</f>
        <v>1.6924793463723879E-2</v>
      </c>
      <c r="N480" s="33">
        <f>IFERROR(Table2[[#This Row],[Value(1000$) 2023]]/Table2[[#This Row],[Volume(1000) 2023]],0)</f>
        <v>1.7940617104117283E-2</v>
      </c>
      <c r="O480" s="33">
        <f>IFERROR(Table2[[#This Row],[Value(1000$) 2024]]/Table2[[#This Row],[Volume(1000) 2024]],0)</f>
        <v>2.0704356661743292E-2</v>
      </c>
      <c r="P480" s="33">
        <f>SUM(Table2[[#This Row],[Value(1000$) 2022]:[Value(1000$) 2024]])</f>
        <v>7.9023999999999992</v>
      </c>
      <c r="Q480" s="33">
        <f>SUM(Table2[[#This Row],[Volume(1000) 2022]:[Volume(1000) 2024]])</f>
        <v>451.89060000000001</v>
      </c>
      <c r="R480" s="33">
        <f>AVERAGE(Table2[[#This Row],[Average Price(2022)]:[Average Price(2024)]])</f>
        <v>1.8523255743194817E-2</v>
      </c>
    </row>
    <row r="481" spans="1:18" x14ac:dyDescent="0.3">
      <c r="A481" t="s">
        <v>609</v>
      </c>
      <c r="B481" t="s">
        <v>803</v>
      </c>
      <c r="C481" t="s">
        <v>608</v>
      </c>
      <c r="D481" t="s">
        <v>9</v>
      </c>
      <c r="E481" t="s">
        <v>64</v>
      </c>
      <c r="F481" s="27" t="str">
        <f>IF('Working Sheet'!B707="ITEM",'Working Sheet'!E707,"")</f>
        <v>120</v>
      </c>
      <c r="G481" s="27">
        <f>IF('Working Sheet'!B707="ITEM",'Working Sheet'!F707,"")</f>
        <v>12.5473</v>
      </c>
      <c r="H481" s="27">
        <f>IF('Working Sheet'!B707="ITEM",'Working Sheet'!G707,"")</f>
        <v>21.5989</v>
      </c>
      <c r="I481" s="27">
        <f>IF('Working Sheet'!B707="ITEM",'Working Sheet'!H707,"")</f>
        <v>10.3498</v>
      </c>
      <c r="J481">
        <f>IF('Working Sheet'!B707="ITEM",'Working Sheet'!I707,"")</f>
        <v>734.85479999999995</v>
      </c>
      <c r="K481">
        <f>IF('Working Sheet'!B707="ITEM",'Working Sheet'!J707,"")</f>
        <v>1234.4389000000001</v>
      </c>
      <c r="L481">
        <f>IF('Working Sheet'!B707="ITEM",'Working Sheet'!K707,"")</f>
        <v>587.04769999999996</v>
      </c>
      <c r="M481" s="33">
        <f>IFERROR(Table2[[#This Row],[Value(1000$) 2022]]/Table2[[#This Row],[Volume(1000) 2022]],0)</f>
        <v>1.7074529553321283E-2</v>
      </c>
      <c r="N481" s="33">
        <f>IFERROR(Table2[[#This Row],[Value(1000$) 2023]]/Table2[[#This Row],[Volume(1000) 2023]],0)</f>
        <v>1.7496937272472538E-2</v>
      </c>
      <c r="O481" s="33">
        <f>IFERROR(Table2[[#This Row],[Value(1000$) 2024]]/Table2[[#This Row],[Volume(1000) 2024]],0)</f>
        <v>1.7630253895892959E-2</v>
      </c>
      <c r="P481" s="33">
        <f>SUM(Table2[[#This Row],[Value(1000$) 2022]:[Value(1000$) 2024]])</f>
        <v>44.496000000000002</v>
      </c>
      <c r="Q481" s="33">
        <f>SUM(Table2[[#This Row],[Volume(1000) 2022]:[Volume(1000) 2024]])</f>
        <v>2556.3414000000002</v>
      </c>
      <c r="R481" s="33">
        <f>AVERAGE(Table2[[#This Row],[Average Price(2022)]:[Average Price(2024)]])</f>
        <v>1.740057357389559E-2</v>
      </c>
    </row>
    <row r="482" spans="1:18" x14ac:dyDescent="0.3">
      <c r="A482" t="s">
        <v>610</v>
      </c>
      <c r="B482" t="s">
        <v>803</v>
      </c>
      <c r="C482" t="s">
        <v>608</v>
      </c>
      <c r="D482" t="s">
        <v>9</v>
      </c>
      <c r="E482" t="s">
        <v>64</v>
      </c>
      <c r="F482" s="27" t="str">
        <f>IF('Working Sheet'!B708="ITEM",'Working Sheet'!E708,"")</f>
        <v>70</v>
      </c>
      <c r="G482" s="27">
        <f>IF('Working Sheet'!B708="ITEM",'Working Sheet'!F708,"")</f>
        <v>0.68669999999999998</v>
      </c>
      <c r="H482" s="27">
        <f>IF('Working Sheet'!B708="ITEM",'Working Sheet'!G708,"")</f>
        <v>0</v>
      </c>
      <c r="I482" s="27">
        <f>IF('Working Sheet'!B708="ITEM",'Working Sheet'!H708,"")</f>
        <v>0</v>
      </c>
      <c r="J482">
        <f>IF('Working Sheet'!B708="ITEM",'Working Sheet'!I708,"")</f>
        <v>52.465899999999998</v>
      </c>
      <c r="K482">
        <f>IF('Working Sheet'!B708="ITEM",'Working Sheet'!J708,"")</f>
        <v>0</v>
      </c>
      <c r="L482">
        <f>IF('Working Sheet'!B708="ITEM",'Working Sheet'!K708,"")</f>
        <v>0</v>
      </c>
      <c r="M482" s="33">
        <f>IFERROR(Table2[[#This Row],[Value(1000$) 2022]]/Table2[[#This Row],[Volume(1000) 2022]],0)</f>
        <v>1.3088501293220931E-2</v>
      </c>
      <c r="N482" s="33">
        <f>IFERROR(Table2[[#This Row],[Value(1000$) 2023]]/Table2[[#This Row],[Volume(1000) 2023]],0)</f>
        <v>0</v>
      </c>
      <c r="O482" s="33">
        <f>IFERROR(Table2[[#This Row],[Value(1000$) 2024]]/Table2[[#This Row],[Volume(1000) 2024]],0)</f>
        <v>0</v>
      </c>
      <c r="P482" s="33">
        <f>SUM(Table2[[#This Row],[Value(1000$) 2022]:[Value(1000$) 2024]])</f>
        <v>0.68669999999999998</v>
      </c>
      <c r="Q482" s="33">
        <f>SUM(Table2[[#This Row],[Volume(1000) 2022]:[Volume(1000) 2024]])</f>
        <v>52.465899999999998</v>
      </c>
      <c r="R482" s="33">
        <f>AVERAGE(Table2[[#This Row],[Average Price(2022)]:[Average Price(2024)]])</f>
        <v>4.3628337644069769E-3</v>
      </c>
    </row>
    <row r="483" spans="1:18" x14ac:dyDescent="0.3">
      <c r="A483" t="s">
        <v>611</v>
      </c>
      <c r="B483" t="s">
        <v>803</v>
      </c>
      <c r="C483" t="s">
        <v>608</v>
      </c>
      <c r="D483" t="s">
        <v>9</v>
      </c>
      <c r="E483" t="s">
        <v>20</v>
      </c>
      <c r="F483" s="27" t="str">
        <f>IF('Working Sheet'!B709="ITEM",'Working Sheet'!E709,"")</f>
        <v>72</v>
      </c>
      <c r="G483" s="27">
        <f>IF('Working Sheet'!B709="ITEM",'Working Sheet'!F709,"")</f>
        <v>0</v>
      </c>
      <c r="H483" s="27">
        <f>IF('Working Sheet'!B709="ITEM",'Working Sheet'!G709,"")</f>
        <v>0</v>
      </c>
      <c r="I483" s="27">
        <f>IF('Working Sheet'!B709="ITEM",'Working Sheet'!H709,"")</f>
        <v>0</v>
      </c>
      <c r="J483">
        <f>IF('Working Sheet'!B709="ITEM",'Working Sheet'!I709,"")</f>
        <v>0</v>
      </c>
      <c r="K483">
        <f>IF('Working Sheet'!B709="ITEM",'Working Sheet'!J709,"")</f>
        <v>0</v>
      </c>
      <c r="L483">
        <f>IF('Working Sheet'!B709="ITEM",'Working Sheet'!K709,"")</f>
        <v>0</v>
      </c>
      <c r="M483" s="33">
        <f>IFERROR(Table2[[#This Row],[Value(1000$) 2022]]/Table2[[#This Row],[Volume(1000) 2022]],0)</f>
        <v>0</v>
      </c>
      <c r="N483" s="33">
        <f>IFERROR(Table2[[#This Row],[Value(1000$) 2023]]/Table2[[#This Row],[Volume(1000) 2023]],0)</f>
        <v>0</v>
      </c>
      <c r="O483" s="33">
        <f>IFERROR(Table2[[#This Row],[Value(1000$) 2024]]/Table2[[#This Row],[Volume(1000) 2024]],0)</f>
        <v>0</v>
      </c>
      <c r="P483" s="33">
        <f>SUM(Table2[[#This Row],[Value(1000$) 2022]:[Value(1000$) 2024]])</f>
        <v>0</v>
      </c>
      <c r="Q483" s="33">
        <f>SUM(Table2[[#This Row],[Volume(1000) 2022]:[Volume(1000) 2024]])</f>
        <v>0</v>
      </c>
      <c r="R483" s="33">
        <f>AVERAGE(Table2[[#This Row],[Average Price(2022)]:[Average Price(2024)]])</f>
        <v>0</v>
      </c>
    </row>
    <row r="484" spans="1:18" x14ac:dyDescent="0.3">
      <c r="A484" t="s">
        <v>612</v>
      </c>
      <c r="B484" t="s">
        <v>803</v>
      </c>
      <c r="C484" t="s">
        <v>608</v>
      </c>
      <c r="D484" t="s">
        <v>9</v>
      </c>
      <c r="E484" t="s">
        <v>64</v>
      </c>
      <c r="F484" s="27" t="str">
        <f>IF('Working Sheet'!B710="ITEM",'Working Sheet'!E710,"")</f>
        <v>72</v>
      </c>
      <c r="G484" s="27">
        <f>IF('Working Sheet'!B710="ITEM",'Working Sheet'!F710,"")</f>
        <v>37.213999999999999</v>
      </c>
      <c r="H484" s="27">
        <f>IF('Working Sheet'!B710="ITEM",'Working Sheet'!G710,"")</f>
        <v>7.2126999999999999</v>
      </c>
      <c r="I484" s="27">
        <f>IF('Working Sheet'!B710="ITEM",'Working Sheet'!H710,"")</f>
        <v>0</v>
      </c>
      <c r="J484">
        <f>IF('Working Sheet'!B710="ITEM",'Working Sheet'!I710,"")</f>
        <v>2501.2190000000001</v>
      </c>
      <c r="K484">
        <f>IF('Working Sheet'!B710="ITEM",'Working Sheet'!J710,"")</f>
        <v>451.55340000000001</v>
      </c>
      <c r="L484">
        <f>IF('Working Sheet'!B710="ITEM",'Working Sheet'!K710,"")</f>
        <v>0</v>
      </c>
      <c r="M484" s="33">
        <f>IFERROR(Table2[[#This Row],[Value(1000$) 2022]]/Table2[[#This Row],[Volume(1000) 2022]],0)</f>
        <v>1.4878345318822541E-2</v>
      </c>
      <c r="N484" s="33">
        <f>IFERROR(Table2[[#This Row],[Value(1000$) 2023]]/Table2[[#This Row],[Volume(1000) 2023]],0)</f>
        <v>1.5973083139225616E-2</v>
      </c>
      <c r="O484" s="33">
        <f>IFERROR(Table2[[#This Row],[Value(1000$) 2024]]/Table2[[#This Row],[Volume(1000) 2024]],0)</f>
        <v>0</v>
      </c>
      <c r="P484" s="33">
        <f>SUM(Table2[[#This Row],[Value(1000$) 2022]:[Value(1000$) 2024]])</f>
        <v>44.426699999999997</v>
      </c>
      <c r="Q484" s="33">
        <f>SUM(Table2[[#This Row],[Volume(1000) 2022]:[Volume(1000) 2024]])</f>
        <v>2952.7723999999998</v>
      </c>
      <c r="R484" s="33">
        <f>AVERAGE(Table2[[#This Row],[Average Price(2022)]:[Average Price(2024)]])</f>
        <v>1.0283809486016052E-2</v>
      </c>
    </row>
    <row r="485" spans="1:18" x14ac:dyDescent="0.3">
      <c r="A485" t="s">
        <v>613</v>
      </c>
      <c r="B485" t="s">
        <v>803</v>
      </c>
      <c r="C485" t="s">
        <v>608</v>
      </c>
      <c r="D485" t="s">
        <v>9</v>
      </c>
      <c r="E485" t="s">
        <v>64</v>
      </c>
      <c r="F485" s="27" t="str">
        <f>IF('Working Sheet'!B711="ITEM",'Working Sheet'!E711,"")</f>
        <v>90</v>
      </c>
      <c r="G485" s="27">
        <f>IF('Working Sheet'!B711="ITEM",'Working Sheet'!F711,"")</f>
        <v>2.7111999999999998</v>
      </c>
      <c r="H485" s="27">
        <f>IF('Working Sheet'!B711="ITEM",'Working Sheet'!G711,"")</f>
        <v>0</v>
      </c>
      <c r="I485" s="27">
        <f>IF('Working Sheet'!B711="ITEM",'Working Sheet'!H711,"")</f>
        <v>0</v>
      </c>
      <c r="J485">
        <f>IF('Working Sheet'!B711="ITEM",'Working Sheet'!I711,"")</f>
        <v>136.8194</v>
      </c>
      <c r="K485">
        <f>IF('Working Sheet'!B711="ITEM",'Working Sheet'!J711,"")</f>
        <v>0</v>
      </c>
      <c r="L485">
        <f>IF('Working Sheet'!B711="ITEM",'Working Sheet'!K711,"")</f>
        <v>0</v>
      </c>
      <c r="M485" s="33">
        <f>IFERROR(Table2[[#This Row],[Value(1000$) 2022]]/Table2[[#This Row],[Volume(1000) 2022]],0)</f>
        <v>1.9815903300262974E-2</v>
      </c>
      <c r="N485" s="33">
        <f>IFERROR(Table2[[#This Row],[Value(1000$) 2023]]/Table2[[#This Row],[Volume(1000) 2023]],0)</f>
        <v>0</v>
      </c>
      <c r="O485" s="33">
        <f>IFERROR(Table2[[#This Row],[Value(1000$) 2024]]/Table2[[#This Row],[Volume(1000) 2024]],0)</f>
        <v>0</v>
      </c>
      <c r="P485" s="33">
        <f>SUM(Table2[[#This Row],[Value(1000$) 2022]:[Value(1000$) 2024]])</f>
        <v>2.7111999999999998</v>
      </c>
      <c r="Q485" s="33">
        <f>SUM(Table2[[#This Row],[Volume(1000) 2022]:[Volume(1000) 2024]])</f>
        <v>136.8194</v>
      </c>
      <c r="R485" s="33">
        <f>AVERAGE(Table2[[#This Row],[Average Price(2022)]:[Average Price(2024)]])</f>
        <v>6.6053011000876578E-3</v>
      </c>
    </row>
    <row r="486" spans="1:18" x14ac:dyDescent="0.3">
      <c r="A486" t="s">
        <v>615</v>
      </c>
      <c r="B486" t="s">
        <v>803</v>
      </c>
      <c r="C486" t="s">
        <v>614</v>
      </c>
      <c r="D486" t="s">
        <v>9</v>
      </c>
      <c r="E486" t="s">
        <v>64</v>
      </c>
      <c r="F486" s="27" t="str">
        <f>IF('Working Sheet'!B713="ITEM",'Working Sheet'!E713,"")</f>
        <v>70</v>
      </c>
      <c r="G486" s="27">
        <f>IF('Working Sheet'!B713="ITEM",'Working Sheet'!F713,"")</f>
        <v>0</v>
      </c>
      <c r="H486" s="27">
        <f>IF('Working Sheet'!B713="ITEM",'Working Sheet'!G713,"")</f>
        <v>19.032699999999998</v>
      </c>
      <c r="I486" s="27">
        <f>IF('Working Sheet'!B713="ITEM",'Working Sheet'!H713,"")</f>
        <v>19.713699999999999</v>
      </c>
      <c r="J486">
        <f>IF('Working Sheet'!B713="ITEM",'Working Sheet'!I713,"")</f>
        <v>0</v>
      </c>
      <c r="K486">
        <f>IF('Working Sheet'!B713="ITEM",'Working Sheet'!J713,"")</f>
        <v>1111.0531000000001</v>
      </c>
      <c r="L486">
        <f>IF('Working Sheet'!B713="ITEM",'Working Sheet'!K713,"")</f>
        <v>1063.3096</v>
      </c>
      <c r="M486" s="33">
        <f>IFERROR(Table2[[#This Row],[Value(1000$) 2022]]/Table2[[#This Row],[Volume(1000) 2022]],0)</f>
        <v>0</v>
      </c>
      <c r="N486" s="33">
        <f>IFERROR(Table2[[#This Row],[Value(1000$) 2023]]/Table2[[#This Row],[Volume(1000) 2023]],0)</f>
        <v>1.7130324374235575E-2</v>
      </c>
      <c r="O486" s="33">
        <f>IFERROR(Table2[[#This Row],[Value(1000$) 2024]]/Table2[[#This Row],[Volume(1000) 2024]],0)</f>
        <v>1.8539943587455619E-2</v>
      </c>
      <c r="P486" s="33">
        <f>SUM(Table2[[#This Row],[Value(1000$) 2022]:[Value(1000$) 2024]])</f>
        <v>38.746399999999994</v>
      </c>
      <c r="Q486" s="33">
        <f>SUM(Table2[[#This Row],[Volume(1000) 2022]:[Volume(1000) 2024]])</f>
        <v>2174.3627000000001</v>
      </c>
      <c r="R486" s="33">
        <f>AVERAGE(Table2[[#This Row],[Average Price(2022)]:[Average Price(2024)]])</f>
        <v>1.189008932056373E-2</v>
      </c>
    </row>
    <row r="487" spans="1:18" x14ac:dyDescent="0.3">
      <c r="A487" t="s">
        <v>617</v>
      </c>
      <c r="B487" t="s">
        <v>803</v>
      </c>
      <c r="C487" t="s">
        <v>616</v>
      </c>
      <c r="D487" t="s">
        <v>9</v>
      </c>
      <c r="E487" t="s">
        <v>30</v>
      </c>
      <c r="F487" s="27" t="str">
        <f>IF('Working Sheet'!B715="ITEM",'Working Sheet'!E715,"")</f>
        <v>100</v>
      </c>
      <c r="G487" s="27">
        <f>IF('Working Sheet'!B715="ITEM",'Working Sheet'!F715,"")</f>
        <v>1.0042</v>
      </c>
      <c r="H487" s="27">
        <f>IF('Working Sheet'!B715="ITEM",'Working Sheet'!G715,"")</f>
        <v>0</v>
      </c>
      <c r="I487" s="27">
        <f>IF('Working Sheet'!B715="ITEM",'Working Sheet'!H715,"")</f>
        <v>0</v>
      </c>
      <c r="J487">
        <f>IF('Working Sheet'!B715="ITEM",'Working Sheet'!I715,"")</f>
        <v>76.638000000000005</v>
      </c>
      <c r="K487">
        <f>IF('Working Sheet'!B715="ITEM",'Working Sheet'!J715,"")</f>
        <v>0</v>
      </c>
      <c r="L487">
        <f>IF('Working Sheet'!B715="ITEM",'Working Sheet'!K715,"")</f>
        <v>0</v>
      </c>
      <c r="M487" s="33">
        <f>IFERROR(Table2[[#This Row],[Value(1000$) 2022]]/Table2[[#This Row],[Volume(1000) 2022]],0)</f>
        <v>1.3103160312116703E-2</v>
      </c>
      <c r="N487" s="33">
        <f>IFERROR(Table2[[#This Row],[Value(1000$) 2023]]/Table2[[#This Row],[Volume(1000) 2023]],0)</f>
        <v>0</v>
      </c>
      <c r="O487" s="33">
        <f>IFERROR(Table2[[#This Row],[Value(1000$) 2024]]/Table2[[#This Row],[Volume(1000) 2024]],0)</f>
        <v>0</v>
      </c>
      <c r="P487" s="33">
        <f>SUM(Table2[[#This Row],[Value(1000$) 2022]:[Value(1000$) 2024]])</f>
        <v>1.0042</v>
      </c>
      <c r="Q487" s="33">
        <f>SUM(Table2[[#This Row],[Volume(1000) 2022]:[Volume(1000) 2024]])</f>
        <v>76.638000000000005</v>
      </c>
      <c r="R487" s="33">
        <f>AVERAGE(Table2[[#This Row],[Average Price(2022)]:[Average Price(2024)]])</f>
        <v>4.367720104038901E-3</v>
      </c>
    </row>
    <row r="488" spans="1:18" x14ac:dyDescent="0.3">
      <c r="A488" t="s">
        <v>618</v>
      </c>
      <c r="B488" t="s">
        <v>803</v>
      </c>
      <c r="C488" t="s">
        <v>616</v>
      </c>
      <c r="D488" t="s">
        <v>9</v>
      </c>
      <c r="E488" t="s">
        <v>20</v>
      </c>
      <c r="F488" s="27" t="str">
        <f>IF('Working Sheet'!B716="ITEM",'Working Sheet'!E716,"")</f>
        <v>120</v>
      </c>
      <c r="G488" s="27">
        <f>IF('Working Sheet'!B716="ITEM",'Working Sheet'!F716,"")</f>
        <v>251.465</v>
      </c>
      <c r="H488" s="27">
        <f>IF('Working Sheet'!B716="ITEM",'Working Sheet'!G716,"")</f>
        <v>145.75579999999999</v>
      </c>
      <c r="I488" s="27">
        <f>IF('Working Sheet'!B716="ITEM",'Working Sheet'!H716,"")</f>
        <v>77.822699999999998</v>
      </c>
      <c r="J488">
        <f>IF('Working Sheet'!B716="ITEM",'Working Sheet'!I716,"")</f>
        <v>15122.0514</v>
      </c>
      <c r="K488">
        <f>IF('Working Sheet'!B716="ITEM",'Working Sheet'!J716,"")</f>
        <v>8717.0684000000001</v>
      </c>
      <c r="L488">
        <f>IF('Working Sheet'!B716="ITEM",'Working Sheet'!K716,"")</f>
        <v>4462.7493999999997</v>
      </c>
      <c r="M488" s="33">
        <f>IFERROR(Table2[[#This Row],[Value(1000$) 2022]]/Table2[[#This Row],[Volume(1000) 2022]],0)</f>
        <v>1.662902693215287E-2</v>
      </c>
      <c r="N488" s="33">
        <f>IFERROR(Table2[[#This Row],[Value(1000$) 2023]]/Table2[[#This Row],[Volume(1000) 2023]],0)</f>
        <v>1.6720736067644026E-2</v>
      </c>
      <c r="O488" s="33">
        <f>IFERROR(Table2[[#This Row],[Value(1000$) 2024]]/Table2[[#This Row],[Volume(1000) 2024]],0)</f>
        <v>1.7438285914060065E-2</v>
      </c>
      <c r="P488" s="33">
        <f>SUM(Table2[[#This Row],[Value(1000$) 2022]:[Value(1000$) 2024]])</f>
        <v>475.04349999999999</v>
      </c>
      <c r="Q488" s="33">
        <f>SUM(Table2[[#This Row],[Volume(1000) 2022]:[Volume(1000) 2024]])</f>
        <v>28301.869200000001</v>
      </c>
      <c r="R488" s="33">
        <f>AVERAGE(Table2[[#This Row],[Average Price(2022)]:[Average Price(2024)]])</f>
        <v>1.6929349637952323E-2</v>
      </c>
    </row>
    <row r="489" spans="1:18" x14ac:dyDescent="0.3">
      <c r="A489" t="s">
        <v>619</v>
      </c>
      <c r="B489" t="s">
        <v>803</v>
      </c>
      <c r="C489" t="s">
        <v>616</v>
      </c>
      <c r="D489" t="s">
        <v>9</v>
      </c>
      <c r="E489" t="s">
        <v>30</v>
      </c>
      <c r="F489" s="27" t="str">
        <f>IF('Working Sheet'!B717="ITEM",'Working Sheet'!E717,"")</f>
        <v>144</v>
      </c>
      <c r="G489" s="27">
        <f>IF('Working Sheet'!B717="ITEM",'Working Sheet'!F717,"")</f>
        <v>15.856</v>
      </c>
      <c r="H489" s="27">
        <f>IF('Working Sheet'!B717="ITEM",'Working Sheet'!G717,"")</f>
        <v>22.015000000000001</v>
      </c>
      <c r="I489" s="27">
        <f>IF('Working Sheet'!B717="ITEM",'Working Sheet'!H717,"")</f>
        <v>3.4060000000000001</v>
      </c>
      <c r="J489">
        <f>IF('Working Sheet'!B717="ITEM",'Working Sheet'!I717,"")</f>
        <v>1023.9475</v>
      </c>
      <c r="K489">
        <f>IF('Working Sheet'!B717="ITEM",'Working Sheet'!J717,"")</f>
        <v>1391.8684000000001</v>
      </c>
      <c r="L489">
        <f>IF('Working Sheet'!B717="ITEM",'Working Sheet'!K717,"")</f>
        <v>229.50649999999999</v>
      </c>
      <c r="M489" s="33">
        <f>IFERROR(Table2[[#This Row],[Value(1000$) 2022]]/Table2[[#This Row],[Volume(1000) 2022]],0)</f>
        <v>1.5485168917351719E-2</v>
      </c>
      <c r="N489" s="33">
        <f>IFERROR(Table2[[#This Row],[Value(1000$) 2023]]/Table2[[#This Row],[Volume(1000) 2023]],0)</f>
        <v>1.5816868893639657E-2</v>
      </c>
      <c r="O489" s="33">
        <f>IFERROR(Table2[[#This Row],[Value(1000$) 2024]]/Table2[[#This Row],[Volume(1000) 2024]],0)</f>
        <v>1.484053828540804E-2</v>
      </c>
      <c r="P489" s="33">
        <f>SUM(Table2[[#This Row],[Value(1000$) 2022]:[Value(1000$) 2024]])</f>
        <v>41.277000000000001</v>
      </c>
      <c r="Q489" s="33">
        <f>SUM(Table2[[#This Row],[Volume(1000) 2022]:[Volume(1000) 2024]])</f>
        <v>2645.3224</v>
      </c>
      <c r="R489" s="33">
        <f>AVERAGE(Table2[[#This Row],[Average Price(2022)]:[Average Price(2024)]])</f>
        <v>1.5380858698799805E-2</v>
      </c>
    </row>
    <row r="490" spans="1:18" x14ac:dyDescent="0.3">
      <c r="A490" t="s">
        <v>620</v>
      </c>
      <c r="B490" t="s">
        <v>803</v>
      </c>
      <c r="C490" t="s">
        <v>616</v>
      </c>
      <c r="D490" t="s">
        <v>9</v>
      </c>
      <c r="E490" t="s">
        <v>20</v>
      </c>
      <c r="F490" s="27" t="str">
        <f>IF('Working Sheet'!B718="ITEM",'Working Sheet'!E718,"")</f>
        <v>60</v>
      </c>
      <c r="G490" s="27">
        <f>IF('Working Sheet'!B718="ITEM",'Working Sheet'!F718,"")</f>
        <v>0</v>
      </c>
      <c r="H490" s="27">
        <f>IF('Working Sheet'!B718="ITEM",'Working Sheet'!G718,"")</f>
        <v>0</v>
      </c>
      <c r="I490" s="27">
        <f>IF('Working Sheet'!B718="ITEM",'Working Sheet'!H718,"")</f>
        <v>0.28920000000000001</v>
      </c>
      <c r="J490">
        <f>IF('Working Sheet'!B718="ITEM",'Working Sheet'!I718,"")</f>
        <v>0</v>
      </c>
      <c r="K490">
        <f>IF('Working Sheet'!B718="ITEM",'Working Sheet'!J718,"")</f>
        <v>0</v>
      </c>
      <c r="L490">
        <f>IF('Working Sheet'!B718="ITEM",'Working Sheet'!K718,"")</f>
        <v>17.3521</v>
      </c>
      <c r="M490" s="33">
        <f>IFERROR(Table2[[#This Row],[Value(1000$) 2022]]/Table2[[#This Row],[Volume(1000) 2022]],0)</f>
        <v>0</v>
      </c>
      <c r="N490" s="33">
        <f>IFERROR(Table2[[#This Row],[Value(1000$) 2023]]/Table2[[#This Row],[Volume(1000) 2023]],0)</f>
        <v>0</v>
      </c>
      <c r="O490" s="33">
        <f>IFERROR(Table2[[#This Row],[Value(1000$) 2024]]/Table2[[#This Row],[Volume(1000) 2024]],0)</f>
        <v>1.666657061681295E-2</v>
      </c>
      <c r="P490" s="33">
        <f>SUM(Table2[[#This Row],[Value(1000$) 2022]:[Value(1000$) 2024]])</f>
        <v>0.28920000000000001</v>
      </c>
      <c r="Q490" s="33">
        <f>SUM(Table2[[#This Row],[Volume(1000) 2022]:[Volume(1000) 2024]])</f>
        <v>17.3521</v>
      </c>
      <c r="R490" s="33">
        <f>AVERAGE(Table2[[#This Row],[Average Price(2022)]:[Average Price(2024)]])</f>
        <v>5.5555235389376503E-3</v>
      </c>
    </row>
    <row r="491" spans="1:18" x14ac:dyDescent="0.3">
      <c r="A491" t="s">
        <v>621</v>
      </c>
      <c r="B491" t="s">
        <v>803</v>
      </c>
      <c r="C491" t="s">
        <v>616</v>
      </c>
      <c r="D491" t="s">
        <v>9</v>
      </c>
      <c r="E491" t="s">
        <v>20</v>
      </c>
      <c r="F491" s="27" t="str">
        <f>IF('Working Sheet'!B719="ITEM",'Working Sheet'!E719,"")</f>
        <v>72</v>
      </c>
      <c r="G491" s="27">
        <f>IF('Working Sheet'!B719="ITEM",'Working Sheet'!F719,"")</f>
        <v>2.5535999999999999</v>
      </c>
      <c r="H491" s="27">
        <f>IF('Working Sheet'!B719="ITEM",'Working Sheet'!G719,"")</f>
        <v>3.8500999999999999</v>
      </c>
      <c r="I491" s="27">
        <f>IF('Working Sheet'!B719="ITEM",'Working Sheet'!H719,"")</f>
        <v>0.82650000000000001</v>
      </c>
      <c r="J491">
        <f>IF('Working Sheet'!B719="ITEM",'Working Sheet'!I719,"")</f>
        <v>126.3817</v>
      </c>
      <c r="K491">
        <f>IF('Working Sheet'!B719="ITEM",'Working Sheet'!J719,"")</f>
        <v>174.249</v>
      </c>
      <c r="L491">
        <f>IF('Working Sheet'!B719="ITEM",'Working Sheet'!K719,"")</f>
        <v>46.762</v>
      </c>
      <c r="M491" s="33">
        <f>IFERROR(Table2[[#This Row],[Value(1000$) 2022]]/Table2[[#This Row],[Volume(1000) 2022]],0)</f>
        <v>2.0205456960936591E-2</v>
      </c>
      <c r="N491" s="33">
        <f>IFERROR(Table2[[#This Row],[Value(1000$) 2023]]/Table2[[#This Row],[Volume(1000) 2023]],0)</f>
        <v>2.2095392226067295E-2</v>
      </c>
      <c r="O491" s="33">
        <f>IFERROR(Table2[[#This Row],[Value(1000$) 2024]]/Table2[[#This Row],[Volume(1000) 2024]],0)</f>
        <v>1.7674607587357255E-2</v>
      </c>
      <c r="P491" s="33">
        <f>SUM(Table2[[#This Row],[Value(1000$) 2022]:[Value(1000$) 2024]])</f>
        <v>7.2302</v>
      </c>
      <c r="Q491" s="33">
        <f>SUM(Table2[[#This Row],[Volume(1000) 2022]:[Volume(1000) 2024]])</f>
        <v>347.39269999999999</v>
      </c>
      <c r="R491" s="33">
        <f>AVERAGE(Table2[[#This Row],[Average Price(2022)]:[Average Price(2024)]])</f>
        <v>1.9991818924787047E-2</v>
      </c>
    </row>
    <row r="492" spans="1:18" x14ac:dyDescent="0.3">
      <c r="A492" t="s">
        <v>622</v>
      </c>
      <c r="B492" t="s">
        <v>803</v>
      </c>
      <c r="C492" t="s">
        <v>616</v>
      </c>
      <c r="D492" t="s">
        <v>9</v>
      </c>
      <c r="E492" t="s">
        <v>20</v>
      </c>
      <c r="F492" s="27" t="str">
        <f>IF('Working Sheet'!B720="ITEM",'Working Sheet'!E720,"")</f>
        <v>72</v>
      </c>
      <c r="G492" s="27">
        <f>IF('Working Sheet'!B720="ITEM",'Working Sheet'!F720,"")</f>
        <v>0</v>
      </c>
      <c r="H492" s="27">
        <f>IF('Working Sheet'!B720="ITEM",'Working Sheet'!G720,"")</f>
        <v>0.25659999999999999</v>
      </c>
      <c r="I492" s="27">
        <f>IF('Working Sheet'!B720="ITEM",'Working Sheet'!H720,"")</f>
        <v>0</v>
      </c>
      <c r="J492">
        <f>IF('Working Sheet'!B720="ITEM",'Working Sheet'!I720,"")</f>
        <v>0</v>
      </c>
      <c r="K492">
        <f>IF('Working Sheet'!B720="ITEM",'Working Sheet'!J720,"")</f>
        <v>13.196899999999999</v>
      </c>
      <c r="L492">
        <f>IF('Working Sheet'!B720="ITEM",'Working Sheet'!K720,"")</f>
        <v>0</v>
      </c>
      <c r="M492" s="33">
        <f>IFERROR(Table2[[#This Row],[Value(1000$) 2022]]/Table2[[#This Row],[Volume(1000) 2022]],0)</f>
        <v>0</v>
      </c>
      <c r="N492" s="33">
        <f>IFERROR(Table2[[#This Row],[Value(1000$) 2023]]/Table2[[#This Row],[Volume(1000) 2023]],0)</f>
        <v>1.9443960324015488E-2</v>
      </c>
      <c r="O492" s="33">
        <f>IFERROR(Table2[[#This Row],[Value(1000$) 2024]]/Table2[[#This Row],[Volume(1000) 2024]],0)</f>
        <v>0</v>
      </c>
      <c r="P492" s="33">
        <f>SUM(Table2[[#This Row],[Value(1000$) 2022]:[Value(1000$) 2024]])</f>
        <v>0.25659999999999999</v>
      </c>
      <c r="Q492" s="33">
        <f>SUM(Table2[[#This Row],[Volume(1000) 2022]:[Volume(1000) 2024]])</f>
        <v>13.196899999999999</v>
      </c>
      <c r="R492" s="33">
        <f>AVERAGE(Table2[[#This Row],[Average Price(2022)]:[Average Price(2024)]])</f>
        <v>6.4813201080051626E-3</v>
      </c>
    </row>
    <row r="493" spans="1:18" x14ac:dyDescent="0.3">
      <c r="A493" t="s">
        <v>624</v>
      </c>
      <c r="B493" t="s">
        <v>804</v>
      </c>
      <c r="C493" t="s">
        <v>623</v>
      </c>
      <c r="D493" t="s">
        <v>9</v>
      </c>
      <c r="E493" t="s">
        <v>30</v>
      </c>
      <c r="F493" s="27" t="str">
        <f>IF('Working Sheet'!B723="ITEM",'Working Sheet'!E723,"")</f>
        <v>12</v>
      </c>
      <c r="G493" s="27">
        <f>IF('Working Sheet'!B723="ITEM",'Working Sheet'!F723,"")</f>
        <v>0</v>
      </c>
      <c r="H493" s="27">
        <f>IF('Working Sheet'!B723="ITEM",'Working Sheet'!G723,"")</f>
        <v>0.5504</v>
      </c>
      <c r="I493" s="27">
        <f>IF('Working Sheet'!B723="ITEM",'Working Sheet'!H723,"")</f>
        <v>0.74670000000000003</v>
      </c>
      <c r="J493">
        <f>IF('Working Sheet'!B723="ITEM",'Working Sheet'!I723,"")</f>
        <v>0</v>
      </c>
      <c r="K493">
        <f>IF('Working Sheet'!B723="ITEM",'Working Sheet'!J723,"")</f>
        <v>6.7556000000000003</v>
      </c>
      <c r="L493">
        <f>IF('Working Sheet'!B723="ITEM",'Working Sheet'!K723,"")</f>
        <v>9.0073000000000008</v>
      </c>
      <c r="M493" s="33">
        <f>IFERROR(Table2[[#This Row],[Value(1000$) 2022]]/Table2[[#This Row],[Volume(1000) 2022]],0)</f>
        <v>0</v>
      </c>
      <c r="N493" s="33">
        <f>IFERROR(Table2[[#This Row],[Value(1000$) 2023]]/Table2[[#This Row],[Volume(1000) 2023]],0)</f>
        <v>8.1473148202972343E-2</v>
      </c>
      <c r="O493" s="33">
        <f>IFERROR(Table2[[#This Row],[Value(1000$) 2024]]/Table2[[#This Row],[Volume(1000) 2024]],0)</f>
        <v>8.2899426021116204E-2</v>
      </c>
      <c r="P493" s="33">
        <f>SUM(Table2[[#This Row],[Value(1000$) 2022]:[Value(1000$) 2024]])</f>
        <v>1.2970999999999999</v>
      </c>
      <c r="Q493" s="33">
        <f>SUM(Table2[[#This Row],[Volume(1000) 2022]:[Volume(1000) 2024]])</f>
        <v>15.762900000000002</v>
      </c>
      <c r="R493" s="33">
        <f>AVERAGE(Table2[[#This Row],[Average Price(2022)]:[Average Price(2024)]])</f>
        <v>5.4790858074696185E-2</v>
      </c>
    </row>
    <row r="494" spans="1:18" x14ac:dyDescent="0.3">
      <c r="A494" t="s">
        <v>625</v>
      </c>
      <c r="B494" t="s">
        <v>804</v>
      </c>
      <c r="C494" t="s">
        <v>623</v>
      </c>
      <c r="D494" t="s">
        <v>9</v>
      </c>
      <c r="E494" t="s">
        <v>30</v>
      </c>
      <c r="F494" s="27" t="str">
        <f>IF('Working Sheet'!B724="ITEM",'Working Sheet'!E724,"")</f>
        <v>20</v>
      </c>
      <c r="G494" s="27">
        <f>IF('Working Sheet'!B724="ITEM",'Working Sheet'!F724,"")</f>
        <v>4.7511999999999999</v>
      </c>
      <c r="H494" s="27">
        <f>IF('Working Sheet'!B724="ITEM",'Working Sheet'!G724,"")</f>
        <v>3.7549000000000001</v>
      </c>
      <c r="I494" s="27">
        <f>IF('Working Sheet'!B724="ITEM",'Working Sheet'!H724,"")</f>
        <v>1.1405000000000001</v>
      </c>
      <c r="J494">
        <f>IF('Working Sheet'!B724="ITEM",'Working Sheet'!I724,"")</f>
        <v>70.328999999999994</v>
      </c>
      <c r="K494">
        <f>IF('Working Sheet'!B724="ITEM",'Working Sheet'!J724,"")</f>
        <v>55.465600000000002</v>
      </c>
      <c r="L494">
        <f>IF('Working Sheet'!B724="ITEM",'Working Sheet'!K724,"")</f>
        <v>16.475899999999999</v>
      </c>
      <c r="M494" s="33">
        <f>IFERROR(Table2[[#This Row],[Value(1000$) 2022]]/Table2[[#This Row],[Volume(1000) 2022]],0)</f>
        <v>6.755676890045359E-2</v>
      </c>
      <c r="N494" s="33">
        <f>IFERROR(Table2[[#This Row],[Value(1000$) 2023]]/Table2[[#This Row],[Volume(1000) 2023]],0)</f>
        <v>6.7697816304159691E-2</v>
      </c>
      <c r="O494" s="33">
        <f>IFERROR(Table2[[#This Row],[Value(1000$) 2024]]/Table2[[#This Row],[Volume(1000) 2024]],0)</f>
        <v>6.9222318659375212E-2</v>
      </c>
      <c r="P494" s="33">
        <f>SUM(Table2[[#This Row],[Value(1000$) 2022]:[Value(1000$) 2024]])</f>
        <v>9.6465999999999994</v>
      </c>
      <c r="Q494" s="33">
        <f>SUM(Table2[[#This Row],[Volume(1000) 2022]:[Volume(1000) 2024]])</f>
        <v>142.2705</v>
      </c>
      <c r="R494" s="33">
        <f>AVERAGE(Table2[[#This Row],[Average Price(2022)]:[Average Price(2024)]])</f>
        <v>6.8158967954662822E-2</v>
      </c>
    </row>
    <row r="495" spans="1:18" x14ac:dyDescent="0.3">
      <c r="A495" t="s">
        <v>626</v>
      </c>
      <c r="B495" t="s">
        <v>804</v>
      </c>
      <c r="C495" t="s">
        <v>623</v>
      </c>
      <c r="D495" t="s">
        <v>9</v>
      </c>
      <c r="E495" t="s">
        <v>10</v>
      </c>
      <c r="F495" s="27" t="str">
        <f>IF('Working Sheet'!B725="ITEM",'Working Sheet'!E725,"")</f>
        <v>20</v>
      </c>
      <c r="G495" s="27">
        <f>IF('Working Sheet'!B725="ITEM",'Working Sheet'!F725,"")</f>
        <v>1.23E-2</v>
      </c>
      <c r="H495" s="27">
        <f>IF('Working Sheet'!B725="ITEM",'Working Sheet'!G725,"")</f>
        <v>2.7799999999999998E-2</v>
      </c>
      <c r="I495" s="27">
        <f>IF('Working Sheet'!B725="ITEM",'Working Sheet'!H725,"")</f>
        <v>0</v>
      </c>
      <c r="J495">
        <f>IF('Working Sheet'!B725="ITEM",'Working Sheet'!I725,"")</f>
        <v>0.18</v>
      </c>
      <c r="K495">
        <f>IF('Working Sheet'!B725="ITEM",'Working Sheet'!J725,"")</f>
        <v>0.46179999999999999</v>
      </c>
      <c r="L495">
        <f>IF('Working Sheet'!B725="ITEM",'Working Sheet'!K725,"")</f>
        <v>0</v>
      </c>
      <c r="M495" s="33">
        <f>IFERROR(Table2[[#This Row],[Value(1000$) 2022]]/Table2[[#This Row],[Volume(1000) 2022]],0)</f>
        <v>6.8333333333333343E-2</v>
      </c>
      <c r="N495" s="33">
        <f>IFERROR(Table2[[#This Row],[Value(1000$) 2023]]/Table2[[#This Row],[Volume(1000) 2023]],0)</f>
        <v>6.0199220441749676E-2</v>
      </c>
      <c r="O495" s="33">
        <f>IFERROR(Table2[[#This Row],[Value(1000$) 2024]]/Table2[[#This Row],[Volume(1000) 2024]],0)</f>
        <v>0</v>
      </c>
      <c r="P495" s="33">
        <f>SUM(Table2[[#This Row],[Value(1000$) 2022]:[Value(1000$) 2024]])</f>
        <v>4.0099999999999997E-2</v>
      </c>
      <c r="Q495" s="33">
        <f>SUM(Table2[[#This Row],[Volume(1000) 2022]:[Volume(1000) 2024]])</f>
        <v>0.64179999999999993</v>
      </c>
      <c r="R495" s="33">
        <f>AVERAGE(Table2[[#This Row],[Average Price(2022)]:[Average Price(2024)]])</f>
        <v>4.284418459169434E-2</v>
      </c>
    </row>
    <row r="496" spans="1:18" x14ac:dyDescent="0.3">
      <c r="A496" t="s">
        <v>627</v>
      </c>
      <c r="B496" t="s">
        <v>804</v>
      </c>
      <c r="C496" t="s">
        <v>623</v>
      </c>
      <c r="D496" t="s">
        <v>9</v>
      </c>
      <c r="E496" t="s">
        <v>64</v>
      </c>
      <c r="F496" s="27" t="str">
        <f>IF('Working Sheet'!B726="ITEM",'Working Sheet'!E726,"")</f>
        <v>20</v>
      </c>
      <c r="G496" s="27">
        <f>IF('Working Sheet'!B726="ITEM",'Working Sheet'!F726,"")</f>
        <v>11.1968</v>
      </c>
      <c r="H496" s="27">
        <f>IF('Working Sheet'!B726="ITEM",'Working Sheet'!G726,"")</f>
        <v>6.3734000000000002</v>
      </c>
      <c r="I496" s="27">
        <f>IF('Working Sheet'!B726="ITEM",'Working Sheet'!H726,"")</f>
        <v>1.3038000000000001</v>
      </c>
      <c r="J496">
        <f>IF('Working Sheet'!B726="ITEM",'Working Sheet'!I726,"")</f>
        <v>170.3914</v>
      </c>
      <c r="K496">
        <f>IF('Working Sheet'!B726="ITEM",'Working Sheet'!J726,"")</f>
        <v>94.576999999999998</v>
      </c>
      <c r="L496">
        <f>IF('Working Sheet'!B726="ITEM",'Working Sheet'!K726,"")</f>
        <v>19.252400000000002</v>
      </c>
      <c r="M496" s="33">
        <f>IFERROR(Table2[[#This Row],[Value(1000$) 2022]]/Table2[[#This Row],[Volume(1000) 2022]],0)</f>
        <v>6.5712236650441277E-2</v>
      </c>
      <c r="N496" s="33">
        <f>IFERROR(Table2[[#This Row],[Value(1000$) 2023]]/Table2[[#This Row],[Volume(1000) 2023]],0)</f>
        <v>6.7388477113886042E-2</v>
      </c>
      <c r="O496" s="33">
        <f>IFERROR(Table2[[#This Row],[Value(1000$) 2024]]/Table2[[#This Row],[Volume(1000) 2024]],0)</f>
        <v>6.7721426938979035E-2</v>
      </c>
      <c r="P496" s="33">
        <f>SUM(Table2[[#This Row],[Value(1000$) 2022]:[Value(1000$) 2024]])</f>
        <v>18.873999999999999</v>
      </c>
      <c r="Q496" s="33">
        <f>SUM(Table2[[#This Row],[Volume(1000) 2022]:[Volume(1000) 2024]])</f>
        <v>284.2208</v>
      </c>
      <c r="R496" s="33">
        <f>AVERAGE(Table2[[#This Row],[Average Price(2022)]:[Average Price(2024)]])</f>
        <v>6.6940713567768775E-2</v>
      </c>
    </row>
    <row r="497" spans="1:18" x14ac:dyDescent="0.3">
      <c r="A497" t="s">
        <v>628</v>
      </c>
      <c r="B497" t="s">
        <v>804</v>
      </c>
      <c r="C497" t="s">
        <v>623</v>
      </c>
      <c r="D497" t="s">
        <v>9</v>
      </c>
      <c r="E497" t="s">
        <v>64</v>
      </c>
      <c r="F497" s="27" t="str">
        <f>IF('Working Sheet'!B727="ITEM",'Working Sheet'!E727,"")</f>
        <v>54</v>
      </c>
      <c r="G497" s="27">
        <f>IF('Working Sheet'!B727="ITEM",'Working Sheet'!F727,"")</f>
        <v>0</v>
      </c>
      <c r="H497" s="27">
        <f>IF('Working Sheet'!B727="ITEM",'Working Sheet'!G727,"")</f>
        <v>0.89970000000000006</v>
      </c>
      <c r="I497" s="27">
        <f>IF('Working Sheet'!B727="ITEM",'Working Sheet'!H727,"")</f>
        <v>2.4813999999999998</v>
      </c>
      <c r="J497">
        <f>IF('Working Sheet'!B727="ITEM",'Working Sheet'!I727,"")</f>
        <v>0</v>
      </c>
      <c r="K497">
        <f>IF('Working Sheet'!B727="ITEM",'Working Sheet'!J727,"")</f>
        <v>21.057300000000001</v>
      </c>
      <c r="L497">
        <f>IF('Working Sheet'!B727="ITEM",'Working Sheet'!K727,"")</f>
        <v>55.505499999999998</v>
      </c>
      <c r="M497" s="33">
        <f>IFERROR(Table2[[#This Row],[Value(1000$) 2022]]/Table2[[#This Row],[Volume(1000) 2022]],0)</f>
        <v>0</v>
      </c>
      <c r="N497" s="33">
        <f>IFERROR(Table2[[#This Row],[Value(1000$) 2023]]/Table2[[#This Row],[Volume(1000) 2023]],0)</f>
        <v>4.272627544841931E-2</v>
      </c>
      <c r="O497" s="33">
        <f>IFERROR(Table2[[#This Row],[Value(1000$) 2024]]/Table2[[#This Row],[Volume(1000) 2024]],0)</f>
        <v>4.4705479637153073E-2</v>
      </c>
      <c r="P497" s="33">
        <f>SUM(Table2[[#This Row],[Value(1000$) 2022]:[Value(1000$) 2024]])</f>
        <v>3.3811</v>
      </c>
      <c r="Q497" s="33">
        <f>SUM(Table2[[#This Row],[Volume(1000) 2022]:[Volume(1000) 2024]])</f>
        <v>76.562799999999996</v>
      </c>
      <c r="R497" s="33">
        <f>AVERAGE(Table2[[#This Row],[Average Price(2022)]:[Average Price(2024)]])</f>
        <v>2.9143918361857462E-2</v>
      </c>
    </row>
    <row r="498" spans="1:18" x14ac:dyDescent="0.3">
      <c r="A498" t="s">
        <v>629</v>
      </c>
      <c r="B498" t="s">
        <v>804</v>
      </c>
      <c r="C498" t="s">
        <v>623</v>
      </c>
      <c r="D498" t="s">
        <v>9</v>
      </c>
      <c r="E498" t="s">
        <v>30</v>
      </c>
      <c r="F498" s="27" t="str">
        <f>IF('Working Sheet'!B728="ITEM",'Working Sheet'!E728,"")</f>
        <v>57</v>
      </c>
      <c r="G498" s="27">
        <f>IF('Working Sheet'!B728="ITEM",'Working Sheet'!F728,"")</f>
        <v>2.3999999999999998E-3</v>
      </c>
      <c r="H498" s="27">
        <f>IF('Working Sheet'!B728="ITEM",'Working Sheet'!G728,"")</f>
        <v>0</v>
      </c>
      <c r="I498" s="27">
        <f>IF('Working Sheet'!B728="ITEM",'Working Sheet'!H728,"")</f>
        <v>0</v>
      </c>
      <c r="J498">
        <f>IF('Working Sheet'!B728="ITEM",'Working Sheet'!I728,"")</f>
        <v>5.7000000000000002E-2</v>
      </c>
      <c r="K498">
        <f>IF('Working Sheet'!B728="ITEM",'Working Sheet'!J728,"")</f>
        <v>0</v>
      </c>
      <c r="L498">
        <f>IF('Working Sheet'!B728="ITEM",'Working Sheet'!K728,"")</f>
        <v>0</v>
      </c>
      <c r="M498" s="33">
        <f>IFERROR(Table2[[#This Row],[Value(1000$) 2022]]/Table2[[#This Row],[Volume(1000) 2022]],0)</f>
        <v>4.2105263157894729E-2</v>
      </c>
      <c r="N498" s="33">
        <f>IFERROR(Table2[[#This Row],[Value(1000$) 2023]]/Table2[[#This Row],[Volume(1000) 2023]],0)</f>
        <v>0</v>
      </c>
      <c r="O498" s="33">
        <f>IFERROR(Table2[[#This Row],[Value(1000$) 2024]]/Table2[[#This Row],[Volume(1000) 2024]],0)</f>
        <v>0</v>
      </c>
      <c r="P498" s="33">
        <f>SUM(Table2[[#This Row],[Value(1000$) 2022]:[Value(1000$) 2024]])</f>
        <v>2.3999999999999998E-3</v>
      </c>
      <c r="Q498" s="33">
        <f>SUM(Table2[[#This Row],[Volume(1000) 2022]:[Volume(1000) 2024]])</f>
        <v>5.7000000000000002E-2</v>
      </c>
      <c r="R498" s="33">
        <f>AVERAGE(Table2[[#This Row],[Average Price(2022)]:[Average Price(2024)]])</f>
        <v>1.4035087719298242E-2</v>
      </c>
    </row>
    <row r="499" spans="1:18" x14ac:dyDescent="0.3">
      <c r="A499" t="s">
        <v>631</v>
      </c>
      <c r="B499" t="s">
        <v>804</v>
      </c>
      <c r="C499" t="s">
        <v>623</v>
      </c>
      <c r="D499" t="s">
        <v>9</v>
      </c>
      <c r="E499" t="s">
        <v>10</v>
      </c>
      <c r="F499" s="27" t="str">
        <f>IF('Working Sheet'!B729="ITEM",'Working Sheet'!E729,"")</f>
        <v>64</v>
      </c>
      <c r="G499" s="27">
        <f>IF('Working Sheet'!B729="ITEM",'Working Sheet'!F729,"")</f>
        <v>0.22650000000000001</v>
      </c>
      <c r="H499" s="27">
        <f>IF('Working Sheet'!B729="ITEM",'Working Sheet'!G729,"")</f>
        <v>0</v>
      </c>
      <c r="I499" s="27">
        <f>IF('Working Sheet'!B729="ITEM",'Working Sheet'!H729,"")</f>
        <v>0</v>
      </c>
      <c r="J499">
        <f>IF('Working Sheet'!B729="ITEM",'Working Sheet'!I729,"")</f>
        <v>7.2465999999999999</v>
      </c>
      <c r="K499">
        <f>IF('Working Sheet'!B729="ITEM",'Working Sheet'!J729,"")</f>
        <v>0</v>
      </c>
      <c r="L499">
        <f>IF('Working Sheet'!B729="ITEM",'Working Sheet'!K729,"")</f>
        <v>0</v>
      </c>
      <c r="M499" s="33">
        <f>IFERROR(Table2[[#This Row],[Value(1000$) 2022]]/Table2[[#This Row],[Volume(1000) 2022]],0)</f>
        <v>3.125603731405073E-2</v>
      </c>
      <c r="N499" s="33">
        <f>IFERROR(Table2[[#This Row],[Value(1000$) 2023]]/Table2[[#This Row],[Volume(1000) 2023]],0)</f>
        <v>0</v>
      </c>
      <c r="O499" s="33">
        <f>IFERROR(Table2[[#This Row],[Value(1000$) 2024]]/Table2[[#This Row],[Volume(1000) 2024]],0)</f>
        <v>0</v>
      </c>
      <c r="P499" s="33">
        <f>SUM(Table2[[#This Row],[Value(1000$) 2022]:[Value(1000$) 2024]])</f>
        <v>0.22650000000000001</v>
      </c>
      <c r="Q499" s="33">
        <f>SUM(Table2[[#This Row],[Volume(1000) 2022]:[Volume(1000) 2024]])</f>
        <v>7.2465999999999999</v>
      </c>
      <c r="R499" s="33">
        <f>AVERAGE(Table2[[#This Row],[Average Price(2022)]:[Average Price(2024)]])</f>
        <v>1.0418679104683576E-2</v>
      </c>
    </row>
    <row r="500" spans="1:18" x14ac:dyDescent="0.3">
      <c r="A500" t="s">
        <v>632</v>
      </c>
      <c r="B500" t="s">
        <v>804</v>
      </c>
      <c r="C500" t="s">
        <v>623</v>
      </c>
      <c r="D500" t="s">
        <v>9</v>
      </c>
      <c r="E500" t="s">
        <v>20</v>
      </c>
      <c r="F500" s="27" t="str">
        <f>IF('Working Sheet'!B730="ITEM",'Working Sheet'!E730,"")</f>
        <v>64</v>
      </c>
      <c r="G500" s="27">
        <f>IF('Working Sheet'!B730="ITEM",'Working Sheet'!F730,"")</f>
        <v>0.74809999999999999</v>
      </c>
      <c r="H500" s="27">
        <f>IF('Working Sheet'!B730="ITEM",'Working Sheet'!G730,"")</f>
        <v>0</v>
      </c>
      <c r="I500" s="27">
        <f>IF('Working Sheet'!B730="ITEM",'Working Sheet'!H730,"")</f>
        <v>0</v>
      </c>
      <c r="J500">
        <f>IF('Working Sheet'!B730="ITEM",'Working Sheet'!I730,"")</f>
        <v>25.650500000000001</v>
      </c>
      <c r="K500">
        <f>IF('Working Sheet'!B730="ITEM",'Working Sheet'!J730,"")</f>
        <v>0</v>
      </c>
      <c r="L500">
        <f>IF('Working Sheet'!B730="ITEM",'Working Sheet'!K730,"")</f>
        <v>0</v>
      </c>
      <c r="M500" s="33">
        <f>IFERROR(Table2[[#This Row],[Value(1000$) 2022]]/Table2[[#This Row],[Volume(1000) 2022]],0)</f>
        <v>2.91651234868716E-2</v>
      </c>
      <c r="N500" s="33">
        <f>IFERROR(Table2[[#This Row],[Value(1000$) 2023]]/Table2[[#This Row],[Volume(1000) 2023]],0)</f>
        <v>0</v>
      </c>
      <c r="O500" s="33">
        <f>IFERROR(Table2[[#This Row],[Value(1000$) 2024]]/Table2[[#This Row],[Volume(1000) 2024]],0)</f>
        <v>0</v>
      </c>
      <c r="P500" s="33">
        <f>SUM(Table2[[#This Row],[Value(1000$) 2022]:[Value(1000$) 2024]])</f>
        <v>0.74809999999999999</v>
      </c>
      <c r="Q500" s="33">
        <f>SUM(Table2[[#This Row],[Volume(1000) 2022]:[Volume(1000) 2024]])</f>
        <v>25.650500000000001</v>
      </c>
      <c r="R500" s="33">
        <f>AVERAGE(Table2[[#This Row],[Average Price(2022)]:[Average Price(2024)]])</f>
        <v>9.7217078289571993E-3</v>
      </c>
    </row>
    <row r="501" spans="1:18" x14ac:dyDescent="0.3">
      <c r="A501" t="s">
        <v>633</v>
      </c>
      <c r="B501" t="s">
        <v>804</v>
      </c>
      <c r="C501" t="s">
        <v>623</v>
      </c>
      <c r="D501" t="s">
        <v>9</v>
      </c>
      <c r="E501" t="s">
        <v>20</v>
      </c>
      <c r="F501" s="27" t="str">
        <f>IF('Working Sheet'!B731="ITEM",'Working Sheet'!E731,"")</f>
        <v>64</v>
      </c>
      <c r="G501" s="27">
        <f>IF('Working Sheet'!B731="ITEM",'Working Sheet'!F731,"")</f>
        <v>7.1352000000000002</v>
      </c>
      <c r="H501" s="27">
        <f>IF('Working Sheet'!B731="ITEM",'Working Sheet'!G731,"")</f>
        <v>0.98229999999999995</v>
      </c>
      <c r="I501" s="27">
        <f>IF('Working Sheet'!B731="ITEM",'Working Sheet'!H731,"")</f>
        <v>0.17499999999999999</v>
      </c>
      <c r="J501">
        <f>IF('Working Sheet'!B731="ITEM",'Working Sheet'!I731,"")</f>
        <v>199.79089999999999</v>
      </c>
      <c r="K501">
        <f>IF('Working Sheet'!B731="ITEM",'Working Sheet'!J731,"")</f>
        <v>31.398199999999999</v>
      </c>
      <c r="L501">
        <f>IF('Working Sheet'!B731="ITEM",'Working Sheet'!K731,"")</f>
        <v>5.5553999999999997</v>
      </c>
      <c r="M501" s="33">
        <f>IFERROR(Table2[[#This Row],[Value(1000$) 2022]]/Table2[[#This Row],[Volume(1000) 2022]],0)</f>
        <v>3.5713338295187622E-2</v>
      </c>
      <c r="N501" s="33">
        <f>IFERROR(Table2[[#This Row],[Value(1000$) 2023]]/Table2[[#This Row],[Volume(1000) 2023]],0)</f>
        <v>3.128523291144078E-2</v>
      </c>
      <c r="O501" s="33">
        <f>IFERROR(Table2[[#This Row],[Value(1000$) 2024]]/Table2[[#This Row],[Volume(1000) 2024]],0)</f>
        <v>3.150088202469669E-2</v>
      </c>
      <c r="P501" s="33">
        <f>SUM(Table2[[#This Row],[Value(1000$) 2022]:[Value(1000$) 2024]])</f>
        <v>8.2925000000000004</v>
      </c>
      <c r="Q501" s="33">
        <f>SUM(Table2[[#This Row],[Volume(1000) 2022]:[Volume(1000) 2024]])</f>
        <v>236.74449999999999</v>
      </c>
      <c r="R501" s="33">
        <f>AVERAGE(Table2[[#This Row],[Average Price(2022)]:[Average Price(2024)]])</f>
        <v>3.2833151077108359E-2</v>
      </c>
    </row>
    <row r="502" spans="1:18" x14ac:dyDescent="0.3">
      <c r="A502" t="s">
        <v>634</v>
      </c>
      <c r="B502" t="s">
        <v>804</v>
      </c>
      <c r="C502" t="s">
        <v>623</v>
      </c>
      <c r="D502" t="s">
        <v>9</v>
      </c>
      <c r="E502" t="s">
        <v>20</v>
      </c>
      <c r="F502" s="27" t="str">
        <f>IF('Working Sheet'!B732="ITEM",'Working Sheet'!E732,"")</f>
        <v>64</v>
      </c>
      <c r="G502" s="27">
        <f>IF('Working Sheet'!B732="ITEM",'Working Sheet'!F732,"")</f>
        <v>38.636499999999998</v>
      </c>
      <c r="H502" s="27">
        <f>IF('Working Sheet'!B732="ITEM",'Working Sheet'!G732,"")</f>
        <v>25.403500000000001</v>
      </c>
      <c r="I502" s="27">
        <f>IF('Working Sheet'!B732="ITEM",'Working Sheet'!H732,"")</f>
        <v>9.4920000000000009</v>
      </c>
      <c r="J502">
        <f>IF('Working Sheet'!B732="ITEM",'Working Sheet'!I732,"")</f>
        <v>1064.7156</v>
      </c>
      <c r="K502">
        <f>IF('Working Sheet'!B732="ITEM",'Working Sheet'!J732,"")</f>
        <v>712.85350000000005</v>
      </c>
      <c r="L502">
        <f>IF('Working Sheet'!B732="ITEM",'Working Sheet'!K732,"")</f>
        <v>244.268</v>
      </c>
      <c r="M502" s="33">
        <f>IFERROR(Table2[[#This Row],[Value(1000$) 2022]]/Table2[[#This Row],[Volume(1000) 2022]],0)</f>
        <v>3.6288094210322454E-2</v>
      </c>
      <c r="N502" s="33">
        <f>IFERROR(Table2[[#This Row],[Value(1000$) 2023]]/Table2[[#This Row],[Volume(1000) 2023]],0)</f>
        <v>3.563635445431635E-2</v>
      </c>
      <c r="O502" s="33">
        <f>IFERROR(Table2[[#This Row],[Value(1000$) 2024]]/Table2[[#This Row],[Volume(1000) 2024]],0)</f>
        <v>3.8858958193459643E-2</v>
      </c>
      <c r="P502" s="33">
        <f>SUM(Table2[[#This Row],[Value(1000$) 2022]:[Value(1000$) 2024]])</f>
        <v>73.531999999999996</v>
      </c>
      <c r="Q502" s="33">
        <f>SUM(Table2[[#This Row],[Volume(1000) 2022]:[Volume(1000) 2024]])</f>
        <v>2021.8371000000002</v>
      </c>
      <c r="R502" s="33">
        <f>AVERAGE(Table2[[#This Row],[Average Price(2022)]:[Average Price(2024)]])</f>
        <v>3.6927802286032818E-2</v>
      </c>
    </row>
    <row r="503" spans="1:18" x14ac:dyDescent="0.3">
      <c r="A503" t="s">
        <v>635</v>
      </c>
      <c r="B503" t="s">
        <v>804</v>
      </c>
      <c r="C503" t="s">
        <v>623</v>
      </c>
      <c r="D503" t="s">
        <v>9</v>
      </c>
      <c r="E503" t="s">
        <v>64</v>
      </c>
      <c r="F503" s="27" t="str">
        <f>IF('Working Sheet'!B733="ITEM",'Working Sheet'!E733,"")</f>
        <v>64</v>
      </c>
      <c r="G503" s="27">
        <f>IF('Working Sheet'!B733="ITEM",'Working Sheet'!F733,"")</f>
        <v>0</v>
      </c>
      <c r="H503" s="27">
        <f>IF('Working Sheet'!B733="ITEM",'Working Sheet'!G733,"")</f>
        <v>0</v>
      </c>
      <c r="I503" s="27">
        <f>IF('Working Sheet'!B733="ITEM",'Working Sheet'!H733,"")</f>
        <v>0</v>
      </c>
      <c r="J503">
        <f>IF('Working Sheet'!B733="ITEM",'Working Sheet'!I733,"")</f>
        <v>0</v>
      </c>
      <c r="K503">
        <f>IF('Working Sheet'!B733="ITEM",'Working Sheet'!J733,"")</f>
        <v>0</v>
      </c>
      <c r="L503">
        <f>IF('Working Sheet'!B733="ITEM",'Working Sheet'!K733,"")</f>
        <v>0</v>
      </c>
      <c r="M503" s="33">
        <f>IFERROR(Table2[[#This Row],[Value(1000$) 2022]]/Table2[[#This Row],[Volume(1000) 2022]],0)</f>
        <v>0</v>
      </c>
      <c r="N503" s="33">
        <f>IFERROR(Table2[[#This Row],[Value(1000$) 2023]]/Table2[[#This Row],[Volume(1000) 2023]],0)</f>
        <v>0</v>
      </c>
      <c r="O503" s="33">
        <f>IFERROR(Table2[[#This Row],[Value(1000$) 2024]]/Table2[[#This Row],[Volume(1000) 2024]],0)</f>
        <v>0</v>
      </c>
      <c r="P503" s="33">
        <f>SUM(Table2[[#This Row],[Value(1000$) 2022]:[Value(1000$) 2024]])</f>
        <v>0</v>
      </c>
      <c r="Q503" s="33">
        <f>SUM(Table2[[#This Row],[Volume(1000) 2022]:[Volume(1000) 2024]])</f>
        <v>0</v>
      </c>
      <c r="R503" s="33">
        <f>AVERAGE(Table2[[#This Row],[Average Price(2022)]:[Average Price(2024)]])</f>
        <v>0</v>
      </c>
    </row>
    <row r="504" spans="1:18" x14ac:dyDescent="0.3">
      <c r="A504" t="s">
        <v>636</v>
      </c>
      <c r="B504" t="s">
        <v>804</v>
      </c>
      <c r="C504" t="s">
        <v>623</v>
      </c>
      <c r="D504" t="s">
        <v>9</v>
      </c>
      <c r="E504" t="s">
        <v>64</v>
      </c>
      <c r="F504" s="27" t="str">
        <f>IF('Working Sheet'!B734="ITEM",'Working Sheet'!E734,"")</f>
        <v>64</v>
      </c>
      <c r="G504" s="27">
        <f>IF('Working Sheet'!B734="ITEM",'Working Sheet'!F734,"")</f>
        <v>3.0739999999999998</v>
      </c>
      <c r="H504" s="27">
        <f>IF('Working Sheet'!B734="ITEM",'Working Sheet'!G734,"")</f>
        <v>0.314</v>
      </c>
      <c r="I504" s="27">
        <f>IF('Working Sheet'!B734="ITEM",'Working Sheet'!H734,"")</f>
        <v>6.4199999999999993E-2</v>
      </c>
      <c r="J504">
        <f>IF('Working Sheet'!B734="ITEM",'Working Sheet'!I734,"")</f>
        <v>79.571700000000007</v>
      </c>
      <c r="K504">
        <f>IF('Working Sheet'!B734="ITEM",'Working Sheet'!J734,"")</f>
        <v>7.3994999999999997</v>
      </c>
      <c r="L504">
        <f>IF('Working Sheet'!B734="ITEM",'Working Sheet'!K734,"")</f>
        <v>1.5809</v>
      </c>
      <c r="M504" s="33">
        <f>IFERROR(Table2[[#This Row],[Value(1000$) 2022]]/Table2[[#This Row],[Volume(1000) 2022]],0)</f>
        <v>3.8631825133810131E-2</v>
      </c>
      <c r="N504" s="33">
        <f>IFERROR(Table2[[#This Row],[Value(1000$) 2023]]/Table2[[#This Row],[Volume(1000) 2023]],0)</f>
        <v>4.2435299682410978E-2</v>
      </c>
      <c r="O504" s="33">
        <f>IFERROR(Table2[[#This Row],[Value(1000$) 2024]]/Table2[[#This Row],[Volume(1000) 2024]],0)</f>
        <v>4.0609779239673599E-2</v>
      </c>
      <c r="P504" s="33">
        <f>SUM(Table2[[#This Row],[Value(1000$) 2022]:[Value(1000$) 2024]])</f>
        <v>3.4521999999999999</v>
      </c>
      <c r="Q504" s="33">
        <f>SUM(Table2[[#This Row],[Volume(1000) 2022]:[Volume(1000) 2024]])</f>
        <v>88.55210000000001</v>
      </c>
      <c r="R504" s="33">
        <f>AVERAGE(Table2[[#This Row],[Average Price(2022)]:[Average Price(2024)]])</f>
        <v>4.0558968018631569E-2</v>
      </c>
    </row>
    <row r="505" spans="1:18" x14ac:dyDescent="0.3">
      <c r="A505" t="s">
        <v>637</v>
      </c>
      <c r="B505" t="s">
        <v>804</v>
      </c>
      <c r="C505" t="s">
        <v>623</v>
      </c>
      <c r="D505" t="s">
        <v>9</v>
      </c>
      <c r="E505" t="s">
        <v>64</v>
      </c>
      <c r="F505" s="27" t="str">
        <f>IF('Working Sheet'!B735="ITEM",'Working Sheet'!E735,"")</f>
        <v>64</v>
      </c>
      <c r="G505" s="27">
        <f>IF('Working Sheet'!B735="ITEM",'Working Sheet'!F735,"")</f>
        <v>57.373899999999999</v>
      </c>
      <c r="H505" s="27">
        <f>IF('Working Sheet'!B735="ITEM",'Working Sheet'!G735,"")</f>
        <v>28.978999999999999</v>
      </c>
      <c r="I505" s="27">
        <f>IF('Working Sheet'!B735="ITEM",'Working Sheet'!H735,"")</f>
        <v>4.5244999999999997</v>
      </c>
      <c r="J505">
        <f>IF('Working Sheet'!B735="ITEM",'Working Sheet'!I735,"")</f>
        <v>1605.2121</v>
      </c>
      <c r="K505">
        <f>IF('Working Sheet'!B735="ITEM",'Working Sheet'!J735,"")</f>
        <v>798.29169999999999</v>
      </c>
      <c r="L505">
        <f>IF('Working Sheet'!B735="ITEM",'Working Sheet'!K735,"")</f>
        <v>128.11799999999999</v>
      </c>
      <c r="M505" s="33">
        <f>IFERROR(Table2[[#This Row],[Value(1000$) 2022]]/Table2[[#This Row],[Volume(1000) 2022]],0)</f>
        <v>3.574225487086722E-2</v>
      </c>
      <c r="N505" s="33">
        <f>IFERROR(Table2[[#This Row],[Value(1000$) 2023]]/Table2[[#This Row],[Volume(1000) 2023]],0)</f>
        <v>3.6301266817630698E-2</v>
      </c>
      <c r="O505" s="33">
        <f>IFERROR(Table2[[#This Row],[Value(1000$) 2024]]/Table2[[#This Row],[Volume(1000) 2024]],0)</f>
        <v>3.5315100142056542E-2</v>
      </c>
      <c r="P505" s="33">
        <f>SUM(Table2[[#This Row],[Value(1000$) 2022]:[Value(1000$) 2024]])</f>
        <v>90.877400000000009</v>
      </c>
      <c r="Q505" s="33">
        <f>SUM(Table2[[#This Row],[Volume(1000) 2022]:[Volume(1000) 2024]])</f>
        <v>2531.6217999999999</v>
      </c>
      <c r="R505" s="33">
        <f>AVERAGE(Table2[[#This Row],[Average Price(2022)]:[Average Price(2024)]])</f>
        <v>3.5786207276851494E-2</v>
      </c>
    </row>
    <row r="506" spans="1:18" x14ac:dyDescent="0.3">
      <c r="A506" t="s">
        <v>638</v>
      </c>
      <c r="B506" t="s">
        <v>804</v>
      </c>
      <c r="C506" t="s">
        <v>623</v>
      </c>
      <c r="D506" t="s">
        <v>9</v>
      </c>
      <c r="E506" t="s">
        <v>30</v>
      </c>
      <c r="F506" s="27" t="str">
        <f>IF('Working Sheet'!B736="ITEM",'Working Sheet'!E736,"")</f>
        <v>72</v>
      </c>
      <c r="G506" s="27">
        <f>IF('Working Sheet'!B736="ITEM",'Working Sheet'!F736,"")</f>
        <v>0.84319999999999995</v>
      </c>
      <c r="H506" s="27">
        <f>IF('Working Sheet'!B736="ITEM",'Working Sheet'!G736,"")</f>
        <v>0</v>
      </c>
      <c r="I506" s="27">
        <f>IF('Working Sheet'!B736="ITEM",'Working Sheet'!H736,"")</f>
        <v>0</v>
      </c>
      <c r="J506">
        <f>IF('Working Sheet'!B736="ITEM",'Working Sheet'!I736,"")</f>
        <v>38.896500000000003</v>
      </c>
      <c r="K506">
        <f>IF('Working Sheet'!B736="ITEM",'Working Sheet'!J736,"")</f>
        <v>0</v>
      </c>
      <c r="L506">
        <f>IF('Working Sheet'!B736="ITEM",'Working Sheet'!K736,"")</f>
        <v>0</v>
      </c>
      <c r="M506" s="33">
        <f>IFERROR(Table2[[#This Row],[Value(1000$) 2022]]/Table2[[#This Row],[Volume(1000) 2022]],0)</f>
        <v>2.1678043011582018E-2</v>
      </c>
      <c r="N506" s="33">
        <f>IFERROR(Table2[[#This Row],[Value(1000$) 2023]]/Table2[[#This Row],[Volume(1000) 2023]],0)</f>
        <v>0</v>
      </c>
      <c r="O506" s="33">
        <f>IFERROR(Table2[[#This Row],[Value(1000$) 2024]]/Table2[[#This Row],[Volume(1000) 2024]],0)</f>
        <v>0</v>
      </c>
      <c r="P506" s="33">
        <f>SUM(Table2[[#This Row],[Value(1000$) 2022]:[Value(1000$) 2024]])</f>
        <v>0.84319999999999995</v>
      </c>
      <c r="Q506" s="33">
        <f>SUM(Table2[[#This Row],[Volume(1000) 2022]:[Volume(1000) 2024]])</f>
        <v>38.896500000000003</v>
      </c>
      <c r="R506" s="33">
        <f>AVERAGE(Table2[[#This Row],[Average Price(2022)]:[Average Price(2024)]])</f>
        <v>7.2260143371940056E-3</v>
      </c>
    </row>
    <row r="507" spans="1:18" x14ac:dyDescent="0.3">
      <c r="A507" t="s">
        <v>639</v>
      </c>
      <c r="B507" t="s">
        <v>804</v>
      </c>
      <c r="C507" t="s">
        <v>623</v>
      </c>
      <c r="D507" t="s">
        <v>9</v>
      </c>
      <c r="E507" t="s">
        <v>30</v>
      </c>
      <c r="F507" s="27" t="str">
        <f>IF('Working Sheet'!B737="ITEM",'Working Sheet'!E737,"")</f>
        <v>75</v>
      </c>
      <c r="G507" s="27">
        <f>IF('Working Sheet'!B737="ITEM",'Working Sheet'!F737,"")</f>
        <v>0.32700000000000001</v>
      </c>
      <c r="H507" s="27">
        <f>IF('Working Sheet'!B737="ITEM",'Working Sheet'!G737,"")</f>
        <v>7.9399999999999998E-2</v>
      </c>
      <c r="I507" s="27">
        <f>IF('Working Sheet'!B737="ITEM",'Working Sheet'!H737,"")</f>
        <v>0</v>
      </c>
      <c r="J507">
        <f>IF('Working Sheet'!B737="ITEM",'Working Sheet'!I737,"")</f>
        <v>8.1380999999999997</v>
      </c>
      <c r="K507">
        <f>IF('Working Sheet'!B737="ITEM",'Working Sheet'!J737,"")</f>
        <v>2.0009000000000001</v>
      </c>
      <c r="L507">
        <f>IF('Working Sheet'!B737="ITEM",'Working Sheet'!K737,"")</f>
        <v>0</v>
      </c>
      <c r="M507" s="33">
        <f>IFERROR(Table2[[#This Row],[Value(1000$) 2022]]/Table2[[#This Row],[Volume(1000) 2022]],0)</f>
        <v>4.0181369115641248E-2</v>
      </c>
      <c r="N507" s="33">
        <f>IFERROR(Table2[[#This Row],[Value(1000$) 2023]]/Table2[[#This Row],[Volume(1000) 2023]],0)</f>
        <v>3.9682143035633964E-2</v>
      </c>
      <c r="O507" s="33">
        <f>IFERROR(Table2[[#This Row],[Value(1000$) 2024]]/Table2[[#This Row],[Volume(1000) 2024]],0)</f>
        <v>0</v>
      </c>
      <c r="P507" s="33">
        <f>SUM(Table2[[#This Row],[Value(1000$) 2022]:[Value(1000$) 2024]])</f>
        <v>0.40639999999999998</v>
      </c>
      <c r="Q507" s="33">
        <f>SUM(Table2[[#This Row],[Volume(1000) 2022]:[Volume(1000) 2024]])</f>
        <v>10.138999999999999</v>
      </c>
      <c r="R507" s="33">
        <f>AVERAGE(Table2[[#This Row],[Average Price(2022)]:[Average Price(2024)]])</f>
        <v>2.6621170717091736E-2</v>
      </c>
    </row>
    <row r="508" spans="1:18" x14ac:dyDescent="0.3">
      <c r="A508" t="s">
        <v>641</v>
      </c>
      <c r="B508" t="s">
        <v>804</v>
      </c>
      <c r="C508" t="s">
        <v>623</v>
      </c>
      <c r="D508" t="s">
        <v>9</v>
      </c>
      <c r="E508" t="s">
        <v>30</v>
      </c>
      <c r="F508" s="27" t="str">
        <f>IF('Working Sheet'!B738="ITEM",'Working Sheet'!E738,"")</f>
        <v>80</v>
      </c>
      <c r="G508" s="27">
        <f>IF('Working Sheet'!B738="ITEM",'Working Sheet'!F738,"")</f>
        <v>30.607399999999998</v>
      </c>
      <c r="H508" s="27">
        <f>IF('Working Sheet'!B738="ITEM",'Working Sheet'!G738,"")</f>
        <v>87.617999999999995</v>
      </c>
      <c r="I508" s="27">
        <f>IF('Working Sheet'!B738="ITEM",'Working Sheet'!H738,"")</f>
        <v>25.586099999999998</v>
      </c>
      <c r="J508">
        <f>IF('Working Sheet'!B738="ITEM",'Working Sheet'!I738,"")</f>
        <v>1468.2443000000001</v>
      </c>
      <c r="K508">
        <f>IF('Working Sheet'!B738="ITEM",'Working Sheet'!J738,"")</f>
        <v>4062.0709999999999</v>
      </c>
      <c r="L508">
        <f>IF('Working Sheet'!B738="ITEM",'Working Sheet'!K738,"")</f>
        <v>1119.9051999999999</v>
      </c>
      <c r="M508" s="33">
        <f>IFERROR(Table2[[#This Row],[Value(1000$) 2022]]/Table2[[#This Row],[Volume(1000) 2022]],0)</f>
        <v>2.0846258350875259E-2</v>
      </c>
      <c r="N508" s="33">
        <f>IFERROR(Table2[[#This Row],[Value(1000$) 2023]]/Table2[[#This Row],[Volume(1000) 2023]],0)</f>
        <v>2.1569785461652443E-2</v>
      </c>
      <c r="O508" s="33">
        <f>IFERROR(Table2[[#This Row],[Value(1000$) 2024]]/Table2[[#This Row],[Volume(1000) 2024]],0)</f>
        <v>2.2846665949939334E-2</v>
      </c>
      <c r="P508" s="33">
        <f>SUM(Table2[[#This Row],[Value(1000$) 2022]:[Value(1000$) 2024]])</f>
        <v>143.8115</v>
      </c>
      <c r="Q508" s="33">
        <f>SUM(Table2[[#This Row],[Volume(1000) 2022]:[Volume(1000) 2024]])</f>
        <v>6650.2205000000004</v>
      </c>
      <c r="R508" s="33">
        <f>AVERAGE(Table2[[#This Row],[Average Price(2022)]:[Average Price(2024)]])</f>
        <v>2.1754236587489012E-2</v>
      </c>
    </row>
    <row r="509" spans="1:18" x14ac:dyDescent="0.3">
      <c r="A509" t="s">
        <v>643</v>
      </c>
      <c r="B509" t="s">
        <v>805</v>
      </c>
      <c r="C509" t="s">
        <v>642</v>
      </c>
      <c r="D509" t="s">
        <v>9</v>
      </c>
      <c r="E509" t="s">
        <v>20</v>
      </c>
      <c r="F509" s="27" t="str">
        <f>IF('Working Sheet'!B741="ITEM",'Working Sheet'!E741,"")</f>
        <v>72</v>
      </c>
      <c r="G509" s="27">
        <f>IF('Working Sheet'!B741="ITEM",'Working Sheet'!F741,"")</f>
        <v>0.26200000000000001</v>
      </c>
      <c r="H509" s="27">
        <f>IF('Working Sheet'!B741="ITEM",'Working Sheet'!G741,"")</f>
        <v>0.1656</v>
      </c>
      <c r="I509" s="27">
        <f>IF('Working Sheet'!B741="ITEM",'Working Sheet'!H741,"")</f>
        <v>0</v>
      </c>
      <c r="J509">
        <f>IF('Working Sheet'!B741="ITEM",'Working Sheet'!I741,"")</f>
        <v>18.860299999999999</v>
      </c>
      <c r="K509">
        <f>IF('Working Sheet'!B741="ITEM",'Working Sheet'!J741,"")</f>
        <v>11.920500000000001</v>
      </c>
      <c r="L509">
        <f>IF('Working Sheet'!B741="ITEM",'Working Sheet'!K741,"")</f>
        <v>0</v>
      </c>
      <c r="M509" s="33">
        <f>IFERROR(Table2[[#This Row],[Value(1000$) 2022]]/Table2[[#This Row],[Volume(1000) 2022]],0)</f>
        <v>1.3891613601056188E-2</v>
      </c>
      <c r="N509" s="33">
        <f>IFERROR(Table2[[#This Row],[Value(1000$) 2023]]/Table2[[#This Row],[Volume(1000) 2023]],0)</f>
        <v>1.3892034730086824E-2</v>
      </c>
      <c r="O509" s="33">
        <f>IFERROR(Table2[[#This Row],[Value(1000$) 2024]]/Table2[[#This Row],[Volume(1000) 2024]],0)</f>
        <v>0</v>
      </c>
      <c r="P509" s="33">
        <f>SUM(Table2[[#This Row],[Value(1000$) 2022]:[Value(1000$) 2024]])</f>
        <v>0.42759999999999998</v>
      </c>
      <c r="Q509" s="33">
        <f>SUM(Table2[[#This Row],[Volume(1000) 2022]:[Volume(1000) 2024]])</f>
        <v>30.780799999999999</v>
      </c>
      <c r="R509" s="33">
        <f>AVERAGE(Table2[[#This Row],[Average Price(2022)]:[Average Price(2024)]])</f>
        <v>9.2612161103810039E-3</v>
      </c>
    </row>
    <row r="510" spans="1:18" x14ac:dyDescent="0.3">
      <c r="A510" t="s">
        <v>645</v>
      </c>
      <c r="B510" t="s">
        <v>805</v>
      </c>
      <c r="C510" t="s">
        <v>644</v>
      </c>
      <c r="D510" t="s">
        <v>9</v>
      </c>
      <c r="E510" t="s">
        <v>64</v>
      </c>
      <c r="F510" s="27" t="str">
        <f>IF('Working Sheet'!B743="ITEM",'Working Sheet'!E743,"")</f>
        <v>120</v>
      </c>
      <c r="G510" s="27">
        <f>IF('Working Sheet'!B743="ITEM",'Working Sheet'!F743,"")</f>
        <v>8.2482000000000006</v>
      </c>
      <c r="H510" s="27">
        <f>IF('Working Sheet'!B743="ITEM",'Working Sheet'!G743,"")</f>
        <v>0.97330000000000005</v>
      </c>
      <c r="I510" s="27">
        <f>IF('Working Sheet'!B743="ITEM",'Working Sheet'!H743,"")</f>
        <v>0</v>
      </c>
      <c r="J510">
        <f>IF('Working Sheet'!B743="ITEM",'Working Sheet'!I743,"")</f>
        <v>505.78250000000003</v>
      </c>
      <c r="K510">
        <f>IF('Working Sheet'!B743="ITEM",'Working Sheet'!J743,"")</f>
        <v>58.400799999999997</v>
      </c>
      <c r="L510">
        <f>IF('Working Sheet'!B743="ITEM",'Working Sheet'!K743,"")</f>
        <v>0</v>
      </c>
      <c r="M510" s="33">
        <f>IFERROR(Table2[[#This Row],[Value(1000$) 2022]]/Table2[[#This Row],[Volume(1000) 2022]],0)</f>
        <v>1.6307800289650197E-2</v>
      </c>
      <c r="N510" s="33">
        <f>IFERROR(Table2[[#This Row],[Value(1000$) 2023]]/Table2[[#This Row],[Volume(1000) 2023]],0)</f>
        <v>1.6665867590854921E-2</v>
      </c>
      <c r="O510" s="33">
        <f>IFERROR(Table2[[#This Row],[Value(1000$) 2024]]/Table2[[#This Row],[Volume(1000) 2024]],0)</f>
        <v>0</v>
      </c>
      <c r="P510" s="33">
        <f>SUM(Table2[[#This Row],[Value(1000$) 2022]:[Value(1000$) 2024]])</f>
        <v>9.2215000000000007</v>
      </c>
      <c r="Q510" s="33">
        <f>SUM(Table2[[#This Row],[Volume(1000) 2022]:[Volume(1000) 2024]])</f>
        <v>564.18330000000003</v>
      </c>
      <c r="R510" s="33">
        <f>AVERAGE(Table2[[#This Row],[Average Price(2022)]:[Average Price(2024)]])</f>
        <v>1.0991222626835039E-2</v>
      </c>
    </row>
    <row r="511" spans="1:18" x14ac:dyDescent="0.3">
      <c r="A511" t="s">
        <v>646</v>
      </c>
      <c r="B511" t="s">
        <v>805</v>
      </c>
      <c r="C511" t="s">
        <v>644</v>
      </c>
      <c r="D511" t="s">
        <v>9</v>
      </c>
      <c r="E511" t="s">
        <v>64</v>
      </c>
      <c r="F511" s="27" t="str">
        <f>IF('Working Sheet'!B744="ITEM",'Working Sheet'!E744,"")</f>
        <v>72</v>
      </c>
      <c r="G511" s="27">
        <f>IF('Working Sheet'!B744="ITEM",'Working Sheet'!F744,"")</f>
        <v>0</v>
      </c>
      <c r="H511" s="27">
        <f>IF('Working Sheet'!B744="ITEM",'Working Sheet'!G744,"")</f>
        <v>0</v>
      </c>
      <c r="I511" s="27">
        <f>IF('Working Sheet'!B744="ITEM",'Working Sheet'!H744,"")</f>
        <v>0</v>
      </c>
      <c r="J511">
        <f>IF('Working Sheet'!B744="ITEM",'Working Sheet'!I744,"")</f>
        <v>0</v>
      </c>
      <c r="K511">
        <f>IF('Working Sheet'!B744="ITEM",'Working Sheet'!J744,"")</f>
        <v>0</v>
      </c>
      <c r="L511">
        <f>IF('Working Sheet'!B744="ITEM",'Working Sheet'!K744,"")</f>
        <v>0</v>
      </c>
      <c r="M511" s="33">
        <f>IFERROR(Table2[[#This Row],[Value(1000$) 2022]]/Table2[[#This Row],[Volume(1000) 2022]],0)</f>
        <v>0</v>
      </c>
      <c r="N511" s="33">
        <f>IFERROR(Table2[[#This Row],[Value(1000$) 2023]]/Table2[[#This Row],[Volume(1000) 2023]],0)</f>
        <v>0</v>
      </c>
      <c r="O511" s="33">
        <f>IFERROR(Table2[[#This Row],[Value(1000$) 2024]]/Table2[[#This Row],[Volume(1000) 2024]],0)</f>
        <v>0</v>
      </c>
      <c r="P511" s="33">
        <f>SUM(Table2[[#This Row],[Value(1000$) 2022]:[Value(1000$) 2024]])</f>
        <v>0</v>
      </c>
      <c r="Q511" s="33">
        <f>SUM(Table2[[#This Row],[Volume(1000) 2022]:[Volume(1000) 2024]])</f>
        <v>0</v>
      </c>
      <c r="R511" s="33">
        <f>AVERAGE(Table2[[#This Row],[Average Price(2022)]:[Average Price(2024)]])</f>
        <v>0</v>
      </c>
    </row>
    <row r="512" spans="1:18" x14ac:dyDescent="0.3">
      <c r="A512" t="s">
        <v>647</v>
      </c>
      <c r="B512" t="s">
        <v>805</v>
      </c>
      <c r="C512" t="s">
        <v>644</v>
      </c>
      <c r="D512" t="s">
        <v>9</v>
      </c>
      <c r="E512" t="s">
        <v>64</v>
      </c>
      <c r="F512" s="27" t="str">
        <f>IF('Working Sheet'!B745="ITEM",'Working Sheet'!E745,"")</f>
        <v>72</v>
      </c>
      <c r="G512" s="27">
        <f>IF('Working Sheet'!B745="ITEM",'Working Sheet'!F745,"")</f>
        <v>0</v>
      </c>
      <c r="H512" s="27">
        <f>IF('Working Sheet'!B745="ITEM",'Working Sheet'!G745,"")</f>
        <v>0</v>
      </c>
      <c r="I512" s="27">
        <f>IF('Working Sheet'!B745="ITEM",'Working Sheet'!H745,"")</f>
        <v>0</v>
      </c>
      <c r="J512">
        <f>IF('Working Sheet'!B745="ITEM",'Working Sheet'!I745,"")</f>
        <v>0</v>
      </c>
      <c r="K512">
        <f>IF('Working Sheet'!B745="ITEM",'Working Sheet'!J745,"")</f>
        <v>0</v>
      </c>
      <c r="L512">
        <f>IF('Working Sheet'!B745="ITEM",'Working Sheet'!K745,"")</f>
        <v>0</v>
      </c>
      <c r="M512" s="33">
        <f>IFERROR(Table2[[#This Row],[Value(1000$) 2022]]/Table2[[#This Row],[Volume(1000) 2022]],0)</f>
        <v>0</v>
      </c>
      <c r="N512" s="33">
        <f>IFERROR(Table2[[#This Row],[Value(1000$) 2023]]/Table2[[#This Row],[Volume(1000) 2023]],0)</f>
        <v>0</v>
      </c>
      <c r="O512" s="33">
        <f>IFERROR(Table2[[#This Row],[Value(1000$) 2024]]/Table2[[#This Row],[Volume(1000) 2024]],0)</f>
        <v>0</v>
      </c>
      <c r="P512" s="33">
        <f>SUM(Table2[[#This Row],[Value(1000$) 2022]:[Value(1000$) 2024]])</f>
        <v>0</v>
      </c>
      <c r="Q512" s="33">
        <f>SUM(Table2[[#This Row],[Volume(1000) 2022]:[Volume(1000) 2024]])</f>
        <v>0</v>
      </c>
      <c r="R512" s="33">
        <f>AVERAGE(Table2[[#This Row],[Average Price(2022)]:[Average Price(2024)]])</f>
        <v>0</v>
      </c>
    </row>
    <row r="513" spans="1:18" x14ac:dyDescent="0.3">
      <c r="A513" t="s">
        <v>649</v>
      </c>
      <c r="B513" t="s">
        <v>805</v>
      </c>
      <c r="C513" t="s">
        <v>648</v>
      </c>
      <c r="D513" t="s">
        <v>9</v>
      </c>
      <c r="E513" t="s">
        <v>30</v>
      </c>
      <c r="F513" s="27" t="str">
        <f>IF('Working Sheet'!B747="ITEM",'Working Sheet'!E747,"")</f>
        <v>100</v>
      </c>
      <c r="G513" s="27">
        <f>IF('Working Sheet'!B747="ITEM",'Working Sheet'!F747,"")</f>
        <v>0</v>
      </c>
      <c r="H513" s="27">
        <f>IF('Working Sheet'!B747="ITEM",'Working Sheet'!G747,"")</f>
        <v>0</v>
      </c>
      <c r="I513" s="27">
        <f>IF('Working Sheet'!B747="ITEM",'Working Sheet'!H747,"")</f>
        <v>0</v>
      </c>
      <c r="J513">
        <f>IF('Working Sheet'!B747="ITEM",'Working Sheet'!I747,"")</f>
        <v>0</v>
      </c>
      <c r="K513">
        <f>IF('Working Sheet'!B747="ITEM",'Working Sheet'!J747,"")</f>
        <v>0</v>
      </c>
      <c r="L513">
        <f>IF('Working Sheet'!B747="ITEM",'Working Sheet'!K747,"")</f>
        <v>0</v>
      </c>
      <c r="M513" s="33">
        <f>IFERROR(Table2[[#This Row],[Value(1000$) 2022]]/Table2[[#This Row],[Volume(1000) 2022]],0)</f>
        <v>0</v>
      </c>
      <c r="N513" s="33">
        <f>IFERROR(Table2[[#This Row],[Value(1000$) 2023]]/Table2[[#This Row],[Volume(1000) 2023]],0)</f>
        <v>0</v>
      </c>
      <c r="O513" s="33">
        <f>IFERROR(Table2[[#This Row],[Value(1000$) 2024]]/Table2[[#This Row],[Volume(1000) 2024]],0)</f>
        <v>0</v>
      </c>
      <c r="P513" s="33">
        <f>SUM(Table2[[#This Row],[Value(1000$) 2022]:[Value(1000$) 2024]])</f>
        <v>0</v>
      </c>
      <c r="Q513" s="33">
        <f>SUM(Table2[[#This Row],[Volume(1000) 2022]:[Volume(1000) 2024]])</f>
        <v>0</v>
      </c>
      <c r="R513" s="33">
        <f>AVERAGE(Table2[[#This Row],[Average Price(2022)]:[Average Price(2024)]])</f>
        <v>0</v>
      </c>
    </row>
    <row r="514" spans="1:18" x14ac:dyDescent="0.3">
      <c r="A514" t="s">
        <v>651</v>
      </c>
      <c r="B514" t="s">
        <v>805</v>
      </c>
      <c r="C514" t="s">
        <v>650</v>
      </c>
      <c r="D514" t="s">
        <v>9</v>
      </c>
      <c r="E514" t="s">
        <v>20</v>
      </c>
      <c r="F514" s="27" t="str">
        <f>IF('Working Sheet'!B749="ITEM",'Working Sheet'!E749,"")</f>
        <v>72</v>
      </c>
      <c r="G514" s="27">
        <f>IF('Working Sheet'!B749="ITEM",'Working Sheet'!F749,"")</f>
        <v>0</v>
      </c>
      <c r="H514" s="27">
        <f>IF('Working Sheet'!B749="ITEM",'Working Sheet'!G749,"")</f>
        <v>0</v>
      </c>
      <c r="I514" s="27">
        <f>IF('Working Sheet'!B749="ITEM",'Working Sheet'!H749,"")</f>
        <v>0</v>
      </c>
      <c r="J514">
        <f>IF('Working Sheet'!B749="ITEM",'Working Sheet'!I749,"")</f>
        <v>0</v>
      </c>
      <c r="K514">
        <f>IF('Working Sheet'!B749="ITEM",'Working Sheet'!J749,"")</f>
        <v>0</v>
      </c>
      <c r="L514">
        <f>IF('Working Sheet'!B749="ITEM",'Working Sheet'!K749,"")</f>
        <v>0</v>
      </c>
      <c r="M514" s="33">
        <f>IFERROR(Table2[[#This Row],[Value(1000$) 2022]]/Table2[[#This Row],[Volume(1000) 2022]],0)</f>
        <v>0</v>
      </c>
      <c r="N514" s="33">
        <f>IFERROR(Table2[[#This Row],[Value(1000$) 2023]]/Table2[[#This Row],[Volume(1000) 2023]],0)</f>
        <v>0</v>
      </c>
      <c r="O514" s="33">
        <f>IFERROR(Table2[[#This Row],[Value(1000$) 2024]]/Table2[[#This Row],[Volume(1000) 2024]],0)</f>
        <v>0</v>
      </c>
      <c r="P514" s="33">
        <f>SUM(Table2[[#This Row],[Value(1000$) 2022]:[Value(1000$) 2024]])</f>
        <v>0</v>
      </c>
      <c r="Q514" s="33">
        <f>SUM(Table2[[#This Row],[Volume(1000) 2022]:[Volume(1000) 2024]])</f>
        <v>0</v>
      </c>
      <c r="R514" s="33">
        <f>AVERAGE(Table2[[#This Row],[Average Price(2022)]:[Average Price(2024)]])</f>
        <v>0</v>
      </c>
    </row>
    <row r="515" spans="1:18" x14ac:dyDescent="0.3">
      <c r="A515" t="s">
        <v>653</v>
      </c>
      <c r="B515" t="s">
        <v>805</v>
      </c>
      <c r="C515" t="s">
        <v>652</v>
      </c>
      <c r="D515" t="s">
        <v>9</v>
      </c>
      <c r="E515" t="s">
        <v>30</v>
      </c>
      <c r="F515" s="27" t="str">
        <f>IF('Working Sheet'!B751="ITEM",'Working Sheet'!E751,"")</f>
        <v>120</v>
      </c>
      <c r="G515" s="27">
        <f>IF('Working Sheet'!B751="ITEM",'Working Sheet'!F751,"")</f>
        <v>5.7763</v>
      </c>
      <c r="H515" s="27">
        <f>IF('Working Sheet'!B751="ITEM",'Working Sheet'!G751,"")</f>
        <v>9.2917000000000005</v>
      </c>
      <c r="I515" s="27">
        <f>IF('Working Sheet'!B751="ITEM",'Working Sheet'!H751,"")</f>
        <v>0.95250000000000001</v>
      </c>
      <c r="J515">
        <f>IF('Working Sheet'!B751="ITEM",'Working Sheet'!I751,"")</f>
        <v>311.05720000000002</v>
      </c>
      <c r="K515">
        <f>IF('Working Sheet'!B751="ITEM",'Working Sheet'!J751,"")</f>
        <v>539.97619999999995</v>
      </c>
      <c r="L515">
        <f>IF('Working Sheet'!B751="ITEM",'Working Sheet'!K751,"")</f>
        <v>61.781700000000001</v>
      </c>
      <c r="M515" s="33">
        <f>IFERROR(Table2[[#This Row],[Value(1000$) 2022]]/Table2[[#This Row],[Volume(1000) 2022]],0)</f>
        <v>1.8569896469202447E-2</v>
      </c>
      <c r="N515" s="33">
        <f>IFERROR(Table2[[#This Row],[Value(1000$) 2023]]/Table2[[#This Row],[Volume(1000) 2023]],0)</f>
        <v>1.7207610261341152E-2</v>
      </c>
      <c r="O515" s="33">
        <f>IFERROR(Table2[[#This Row],[Value(1000$) 2024]]/Table2[[#This Row],[Volume(1000) 2024]],0)</f>
        <v>1.5417186642646609E-2</v>
      </c>
      <c r="P515" s="33">
        <f>SUM(Table2[[#This Row],[Value(1000$) 2022]:[Value(1000$) 2024]])</f>
        <v>16.020500000000002</v>
      </c>
      <c r="Q515" s="33">
        <f>SUM(Table2[[#This Row],[Volume(1000) 2022]:[Volume(1000) 2024]])</f>
        <v>912.81510000000003</v>
      </c>
      <c r="R515" s="33">
        <f>AVERAGE(Table2[[#This Row],[Average Price(2022)]:[Average Price(2024)]])</f>
        <v>1.7064897791063401E-2</v>
      </c>
    </row>
    <row r="516" spans="1:18" x14ac:dyDescent="0.3">
      <c r="A516" t="s">
        <v>655</v>
      </c>
      <c r="B516" t="s">
        <v>805</v>
      </c>
      <c r="C516" t="s">
        <v>654</v>
      </c>
      <c r="D516" t="s">
        <v>9</v>
      </c>
      <c r="E516" t="s">
        <v>20</v>
      </c>
      <c r="F516" s="27" t="str">
        <f>IF('Working Sheet'!B753="ITEM",'Working Sheet'!E753,"")</f>
        <v>100</v>
      </c>
      <c r="G516" s="27">
        <f>IF('Working Sheet'!B753="ITEM",'Working Sheet'!F753,"")</f>
        <v>55.7286</v>
      </c>
      <c r="H516" s="27">
        <f>IF('Working Sheet'!B753="ITEM",'Working Sheet'!G753,"")</f>
        <v>53.311300000000003</v>
      </c>
      <c r="I516" s="27">
        <f>IF('Working Sheet'!B753="ITEM",'Working Sheet'!H753,"")</f>
        <v>19.850100000000001</v>
      </c>
      <c r="J516">
        <f>IF('Working Sheet'!B753="ITEM",'Working Sheet'!I753,"")</f>
        <v>3644.6801999999998</v>
      </c>
      <c r="K516">
        <f>IF('Working Sheet'!B753="ITEM",'Working Sheet'!J753,"")</f>
        <v>3675.9913999999999</v>
      </c>
      <c r="L516">
        <f>IF('Working Sheet'!B753="ITEM",'Working Sheet'!K753,"")</f>
        <v>1253.7541000000001</v>
      </c>
      <c r="M516" s="33">
        <f>IFERROR(Table2[[#This Row],[Value(1000$) 2022]]/Table2[[#This Row],[Volume(1000) 2022]],0)</f>
        <v>1.5290395025604716E-2</v>
      </c>
      <c r="N516" s="33">
        <f>IFERROR(Table2[[#This Row],[Value(1000$) 2023]]/Table2[[#This Row],[Volume(1000) 2023]],0)</f>
        <v>1.4502563852570495E-2</v>
      </c>
      <c r="O516" s="33">
        <f>IFERROR(Table2[[#This Row],[Value(1000$) 2024]]/Table2[[#This Row],[Volume(1000) 2024]],0)</f>
        <v>1.5832530477866431E-2</v>
      </c>
      <c r="P516" s="33">
        <f>SUM(Table2[[#This Row],[Value(1000$) 2022]:[Value(1000$) 2024]])</f>
        <v>128.89000000000001</v>
      </c>
      <c r="Q516" s="33">
        <f>SUM(Table2[[#This Row],[Volume(1000) 2022]:[Volume(1000) 2024]])</f>
        <v>8574.4256999999998</v>
      </c>
      <c r="R516" s="33">
        <f>AVERAGE(Table2[[#This Row],[Average Price(2022)]:[Average Price(2024)]])</f>
        <v>1.5208496452013881E-2</v>
      </c>
    </row>
    <row r="517" spans="1:18" x14ac:dyDescent="0.3">
      <c r="A517" t="s">
        <v>656</v>
      </c>
      <c r="B517" t="s">
        <v>805</v>
      </c>
      <c r="C517" t="s">
        <v>654</v>
      </c>
      <c r="D517" t="s">
        <v>9</v>
      </c>
      <c r="E517" t="s">
        <v>30</v>
      </c>
      <c r="F517" s="27" t="str">
        <f>IF('Working Sheet'!B754="ITEM",'Working Sheet'!E754,"")</f>
        <v>120</v>
      </c>
      <c r="G517" s="27">
        <f>IF('Working Sheet'!B754="ITEM",'Working Sheet'!F754,"")</f>
        <v>0</v>
      </c>
      <c r="H517" s="27">
        <f>IF('Working Sheet'!B754="ITEM",'Working Sheet'!G754,"")</f>
        <v>4.4955999999999996</v>
      </c>
      <c r="I517" s="27">
        <f>IF('Working Sheet'!B754="ITEM",'Working Sheet'!H754,"")</f>
        <v>0</v>
      </c>
      <c r="J517">
        <f>IF('Working Sheet'!B754="ITEM",'Working Sheet'!I754,"")</f>
        <v>0</v>
      </c>
      <c r="K517">
        <f>IF('Working Sheet'!B754="ITEM",'Working Sheet'!J754,"")</f>
        <v>365.2654</v>
      </c>
      <c r="L517">
        <f>IF('Working Sheet'!B754="ITEM",'Working Sheet'!K754,"")</f>
        <v>0</v>
      </c>
      <c r="M517" s="33">
        <f>IFERROR(Table2[[#This Row],[Value(1000$) 2022]]/Table2[[#This Row],[Volume(1000) 2022]],0)</f>
        <v>0</v>
      </c>
      <c r="N517" s="33">
        <f>IFERROR(Table2[[#This Row],[Value(1000$) 2023]]/Table2[[#This Row],[Volume(1000) 2023]],0)</f>
        <v>1.2307763067621515E-2</v>
      </c>
      <c r="O517" s="33">
        <f>IFERROR(Table2[[#This Row],[Value(1000$) 2024]]/Table2[[#This Row],[Volume(1000) 2024]],0)</f>
        <v>0</v>
      </c>
      <c r="P517" s="33">
        <f>SUM(Table2[[#This Row],[Value(1000$) 2022]:[Value(1000$) 2024]])</f>
        <v>4.4955999999999996</v>
      </c>
      <c r="Q517" s="33">
        <f>SUM(Table2[[#This Row],[Volume(1000) 2022]:[Volume(1000) 2024]])</f>
        <v>365.2654</v>
      </c>
      <c r="R517" s="33">
        <f>AVERAGE(Table2[[#This Row],[Average Price(2022)]:[Average Price(2024)]])</f>
        <v>4.1025876892071718E-3</v>
      </c>
    </row>
    <row r="518" spans="1:18" x14ac:dyDescent="0.3">
      <c r="A518" t="s">
        <v>657</v>
      </c>
      <c r="B518" t="s">
        <v>805</v>
      </c>
      <c r="C518" t="s">
        <v>654</v>
      </c>
      <c r="D518" t="s">
        <v>9</v>
      </c>
      <c r="E518" t="s">
        <v>20</v>
      </c>
      <c r="F518" s="27" t="str">
        <f>IF('Working Sheet'!B755="ITEM",'Working Sheet'!E755,"")</f>
        <v>70</v>
      </c>
      <c r="G518" s="27">
        <f>IF('Working Sheet'!B755="ITEM",'Working Sheet'!F755,"")</f>
        <v>5.5199999999999999E-2</v>
      </c>
      <c r="H518" s="27">
        <f>IF('Working Sheet'!B755="ITEM",'Working Sheet'!G755,"")</f>
        <v>0</v>
      </c>
      <c r="I518" s="27">
        <f>IF('Working Sheet'!B755="ITEM",'Working Sheet'!H755,"")</f>
        <v>0</v>
      </c>
      <c r="J518">
        <f>IF('Working Sheet'!B755="ITEM",'Working Sheet'!I755,"")</f>
        <v>3.36</v>
      </c>
      <c r="K518">
        <f>IF('Working Sheet'!B755="ITEM",'Working Sheet'!J755,"")</f>
        <v>0</v>
      </c>
      <c r="L518">
        <f>IF('Working Sheet'!B755="ITEM",'Working Sheet'!K755,"")</f>
        <v>0</v>
      </c>
      <c r="M518" s="33">
        <f>IFERROR(Table2[[#This Row],[Value(1000$) 2022]]/Table2[[#This Row],[Volume(1000) 2022]],0)</f>
        <v>1.6428571428571428E-2</v>
      </c>
      <c r="N518" s="33">
        <f>IFERROR(Table2[[#This Row],[Value(1000$) 2023]]/Table2[[#This Row],[Volume(1000) 2023]],0)</f>
        <v>0</v>
      </c>
      <c r="O518" s="33">
        <f>IFERROR(Table2[[#This Row],[Value(1000$) 2024]]/Table2[[#This Row],[Volume(1000) 2024]],0)</f>
        <v>0</v>
      </c>
      <c r="P518" s="33">
        <f>SUM(Table2[[#This Row],[Value(1000$) 2022]:[Value(1000$) 2024]])</f>
        <v>5.5199999999999999E-2</v>
      </c>
      <c r="Q518" s="33">
        <f>SUM(Table2[[#This Row],[Volume(1000) 2022]:[Volume(1000) 2024]])</f>
        <v>3.36</v>
      </c>
      <c r="R518" s="33">
        <f>AVERAGE(Table2[[#This Row],[Average Price(2022)]:[Average Price(2024)]])</f>
        <v>5.4761904761904756E-3</v>
      </c>
    </row>
    <row r="519" spans="1:18" x14ac:dyDescent="0.3">
      <c r="A519" t="s">
        <v>659</v>
      </c>
      <c r="B519" t="s">
        <v>805</v>
      </c>
      <c r="C519" t="s">
        <v>658</v>
      </c>
      <c r="D519" t="s">
        <v>9</v>
      </c>
      <c r="E519" t="s">
        <v>20</v>
      </c>
      <c r="F519" s="27" t="str">
        <f>IF('Working Sheet'!B757="ITEM",'Working Sheet'!E757,"")</f>
        <v>120</v>
      </c>
      <c r="G519" s="27">
        <f>IF('Working Sheet'!B757="ITEM",'Working Sheet'!F757,"")</f>
        <v>5.3959999999999999</v>
      </c>
      <c r="H519" s="27">
        <f>IF('Working Sheet'!B757="ITEM",'Working Sheet'!G757,"")</f>
        <v>7.0095999999999998</v>
      </c>
      <c r="I519" s="27">
        <f>IF('Working Sheet'!B757="ITEM",'Working Sheet'!H757,"")</f>
        <v>3.0608</v>
      </c>
      <c r="J519">
        <f>IF('Working Sheet'!B757="ITEM",'Working Sheet'!I757,"")</f>
        <v>290.08819999999997</v>
      </c>
      <c r="K519">
        <f>IF('Working Sheet'!B757="ITEM",'Working Sheet'!J757,"")</f>
        <v>393.84969999999998</v>
      </c>
      <c r="L519">
        <f>IF('Working Sheet'!B757="ITEM",'Working Sheet'!K757,"")</f>
        <v>158.0343</v>
      </c>
      <c r="M519" s="33">
        <f>IFERROR(Table2[[#This Row],[Value(1000$) 2022]]/Table2[[#This Row],[Volume(1000) 2022]],0)</f>
        <v>1.8601239209316341E-2</v>
      </c>
      <c r="N519" s="33">
        <f>IFERROR(Table2[[#This Row],[Value(1000$) 2023]]/Table2[[#This Row],[Volume(1000) 2023]],0)</f>
        <v>1.7797652251607655E-2</v>
      </c>
      <c r="O519" s="33">
        <f>IFERROR(Table2[[#This Row],[Value(1000$) 2024]]/Table2[[#This Row],[Volume(1000) 2024]],0)</f>
        <v>1.9367947338014595E-2</v>
      </c>
      <c r="P519" s="33">
        <f>SUM(Table2[[#This Row],[Value(1000$) 2022]:[Value(1000$) 2024]])</f>
        <v>15.4664</v>
      </c>
      <c r="Q519" s="33">
        <f>SUM(Table2[[#This Row],[Volume(1000) 2022]:[Volume(1000) 2024]])</f>
        <v>841.97219999999993</v>
      </c>
      <c r="R519" s="33">
        <f>AVERAGE(Table2[[#This Row],[Average Price(2022)]:[Average Price(2024)]])</f>
        <v>1.8588946266312866E-2</v>
      </c>
    </row>
    <row r="520" spans="1:18" x14ac:dyDescent="0.3">
      <c r="A520" t="s">
        <v>660</v>
      </c>
      <c r="B520" t="s">
        <v>805</v>
      </c>
      <c r="C520" t="s">
        <v>658</v>
      </c>
      <c r="D520" t="s">
        <v>9</v>
      </c>
      <c r="E520" t="s">
        <v>30</v>
      </c>
      <c r="F520" s="27" t="str">
        <f>IF('Working Sheet'!B758="ITEM",'Working Sheet'!E758,"")</f>
        <v>130</v>
      </c>
      <c r="G520" s="27">
        <f>IF('Working Sheet'!B758="ITEM",'Working Sheet'!F758,"")</f>
        <v>39.775100000000002</v>
      </c>
      <c r="H520" s="27">
        <f>IF('Working Sheet'!B758="ITEM",'Working Sheet'!G758,"")</f>
        <v>29.160399999999999</v>
      </c>
      <c r="I520" s="27">
        <f>IF('Working Sheet'!B758="ITEM",'Working Sheet'!H758,"")</f>
        <v>6.0876999999999999</v>
      </c>
      <c r="J520">
        <f>IF('Working Sheet'!B758="ITEM",'Working Sheet'!I758,"")</f>
        <v>2342.4566</v>
      </c>
      <c r="K520">
        <f>IF('Working Sheet'!B758="ITEM",'Working Sheet'!J758,"")</f>
        <v>1534.7882999999999</v>
      </c>
      <c r="L520">
        <f>IF('Working Sheet'!B758="ITEM",'Working Sheet'!K758,"")</f>
        <v>287.5865</v>
      </c>
      <c r="M520" s="33">
        <f>IFERROR(Table2[[#This Row],[Value(1000$) 2022]]/Table2[[#This Row],[Volume(1000) 2022]],0)</f>
        <v>1.6980079801691951E-2</v>
      </c>
      <c r="N520" s="33">
        <f>IFERROR(Table2[[#This Row],[Value(1000$) 2023]]/Table2[[#This Row],[Volume(1000) 2023]],0)</f>
        <v>1.8999623596296637E-2</v>
      </c>
      <c r="O520" s="33">
        <f>IFERROR(Table2[[#This Row],[Value(1000$) 2024]]/Table2[[#This Row],[Volume(1000) 2024]],0)</f>
        <v>2.1168239816542152E-2</v>
      </c>
      <c r="P520" s="33">
        <f>SUM(Table2[[#This Row],[Value(1000$) 2022]:[Value(1000$) 2024]])</f>
        <v>75.023200000000003</v>
      </c>
      <c r="Q520" s="33">
        <f>SUM(Table2[[#This Row],[Volume(1000) 2022]:[Volume(1000) 2024]])</f>
        <v>4164.8314</v>
      </c>
      <c r="R520" s="33">
        <f>AVERAGE(Table2[[#This Row],[Average Price(2022)]:[Average Price(2024)]])</f>
        <v>1.904931440484358E-2</v>
      </c>
    </row>
    <row r="521" spans="1:18" x14ac:dyDescent="0.3">
      <c r="A521" t="s">
        <v>662</v>
      </c>
      <c r="B521" t="s">
        <v>805</v>
      </c>
      <c r="C521" t="s">
        <v>658</v>
      </c>
      <c r="D521" t="s">
        <v>9</v>
      </c>
      <c r="E521" t="s">
        <v>20</v>
      </c>
      <c r="F521" s="27" t="str">
        <f>IF('Working Sheet'!B759="ITEM",'Working Sheet'!E759,"")</f>
        <v>72</v>
      </c>
      <c r="G521" s="27">
        <f>IF('Working Sheet'!B759="ITEM",'Working Sheet'!F759,"")</f>
        <v>73.361099999999993</v>
      </c>
      <c r="H521" s="27">
        <f>IF('Working Sheet'!B759="ITEM",'Working Sheet'!G759,"")</f>
        <v>57.603700000000003</v>
      </c>
      <c r="I521" s="27">
        <f>IF('Working Sheet'!B759="ITEM",'Working Sheet'!H759,"")</f>
        <v>12.2355</v>
      </c>
      <c r="J521">
        <f>IF('Working Sheet'!B759="ITEM",'Working Sheet'!I759,"")</f>
        <v>4307.2969000000003</v>
      </c>
      <c r="K521">
        <f>IF('Working Sheet'!B759="ITEM",'Working Sheet'!J759,"")</f>
        <v>3235.6705999999999</v>
      </c>
      <c r="L521">
        <f>IF('Working Sheet'!B759="ITEM",'Working Sheet'!K759,"")</f>
        <v>650.06870000000004</v>
      </c>
      <c r="M521" s="33">
        <f>IFERROR(Table2[[#This Row],[Value(1000$) 2022]]/Table2[[#This Row],[Volume(1000) 2022]],0)</f>
        <v>1.7031818726032093E-2</v>
      </c>
      <c r="N521" s="33">
        <f>IFERROR(Table2[[#This Row],[Value(1000$) 2023]]/Table2[[#This Row],[Volume(1000) 2023]],0)</f>
        <v>1.7802708347382457E-2</v>
      </c>
      <c r="O521" s="33">
        <f>IFERROR(Table2[[#This Row],[Value(1000$) 2024]]/Table2[[#This Row],[Volume(1000) 2024]],0)</f>
        <v>1.8821856828362907E-2</v>
      </c>
      <c r="P521" s="33">
        <f>SUM(Table2[[#This Row],[Value(1000$) 2022]:[Value(1000$) 2024]])</f>
        <v>143.2003</v>
      </c>
      <c r="Q521" s="33">
        <f>SUM(Table2[[#This Row],[Volume(1000) 2022]:[Volume(1000) 2024]])</f>
        <v>8193.0362000000005</v>
      </c>
      <c r="R521" s="33">
        <f>AVERAGE(Table2[[#This Row],[Average Price(2022)]:[Average Price(2024)]])</f>
        <v>1.7885461300592487E-2</v>
      </c>
    </row>
    <row r="522" spans="1:18" x14ac:dyDescent="0.3">
      <c r="A522" t="s">
        <v>663</v>
      </c>
      <c r="B522" t="s">
        <v>805</v>
      </c>
      <c r="C522" t="s">
        <v>658</v>
      </c>
      <c r="D522" t="s">
        <v>9</v>
      </c>
      <c r="E522" t="s">
        <v>20</v>
      </c>
      <c r="F522" s="27" t="str">
        <f>IF('Working Sheet'!B760="ITEM",'Working Sheet'!E760,"")</f>
        <v>72</v>
      </c>
      <c r="G522" s="27">
        <f>IF('Working Sheet'!B760="ITEM",'Working Sheet'!F760,"")</f>
        <v>7.6637000000000004</v>
      </c>
      <c r="H522" s="27">
        <f>IF('Working Sheet'!B760="ITEM",'Working Sheet'!G760,"")</f>
        <v>5.7187999999999999</v>
      </c>
      <c r="I522" s="27">
        <f>IF('Working Sheet'!B760="ITEM",'Working Sheet'!H760,"")</f>
        <v>3.4293999999999998</v>
      </c>
      <c r="J522">
        <f>IF('Working Sheet'!B760="ITEM",'Working Sheet'!I760,"")</f>
        <v>412.75630000000001</v>
      </c>
      <c r="K522">
        <f>IF('Working Sheet'!B760="ITEM",'Working Sheet'!J760,"")</f>
        <v>314.68810000000002</v>
      </c>
      <c r="L522">
        <f>IF('Working Sheet'!B760="ITEM",'Working Sheet'!K760,"")</f>
        <v>185.42320000000001</v>
      </c>
      <c r="M522" s="33">
        <f>IFERROR(Table2[[#This Row],[Value(1000$) 2022]]/Table2[[#This Row],[Volume(1000) 2022]],0)</f>
        <v>1.8567130289713324E-2</v>
      </c>
      <c r="N522" s="33">
        <f>IFERROR(Table2[[#This Row],[Value(1000$) 2023]]/Table2[[#This Row],[Volume(1000) 2023]],0)</f>
        <v>1.8172914705068287E-2</v>
      </c>
      <c r="O522" s="33">
        <f>IFERROR(Table2[[#This Row],[Value(1000$) 2024]]/Table2[[#This Row],[Volume(1000) 2024]],0)</f>
        <v>1.849498876084546E-2</v>
      </c>
      <c r="P522" s="33">
        <f>SUM(Table2[[#This Row],[Value(1000$) 2022]:[Value(1000$) 2024]])</f>
        <v>16.811900000000001</v>
      </c>
      <c r="Q522" s="33">
        <f>SUM(Table2[[#This Row],[Volume(1000) 2022]:[Volume(1000) 2024]])</f>
        <v>912.86760000000004</v>
      </c>
      <c r="R522" s="33">
        <f>AVERAGE(Table2[[#This Row],[Average Price(2022)]:[Average Price(2024)]])</f>
        <v>1.8411677918542358E-2</v>
      </c>
    </row>
    <row r="523" spans="1:18" x14ac:dyDescent="0.3">
      <c r="A523" t="s">
        <v>664</v>
      </c>
      <c r="B523" t="s">
        <v>805</v>
      </c>
      <c r="C523" t="s">
        <v>658</v>
      </c>
      <c r="D523" t="s">
        <v>9</v>
      </c>
      <c r="E523" t="s">
        <v>20</v>
      </c>
      <c r="F523" s="27" t="str">
        <f>IF('Working Sheet'!B761="ITEM",'Working Sheet'!E761,"")</f>
        <v>72</v>
      </c>
      <c r="G523" s="27">
        <f>IF('Working Sheet'!B761="ITEM",'Working Sheet'!F761,"")</f>
        <v>97.800700000000006</v>
      </c>
      <c r="H523" s="27">
        <f>IF('Working Sheet'!B761="ITEM",'Working Sheet'!G761,"")</f>
        <v>61.680799999999998</v>
      </c>
      <c r="I523" s="27">
        <f>IF('Working Sheet'!B761="ITEM",'Working Sheet'!H761,"")</f>
        <v>23.825800000000001</v>
      </c>
      <c r="J523">
        <f>IF('Working Sheet'!B761="ITEM",'Working Sheet'!I761,"")</f>
        <v>4426.3535000000002</v>
      </c>
      <c r="K523">
        <f>IF('Working Sheet'!B761="ITEM",'Working Sheet'!J761,"")</f>
        <v>2861.6763999999998</v>
      </c>
      <c r="L523">
        <f>IF('Working Sheet'!B761="ITEM",'Working Sheet'!K761,"")</f>
        <v>975.65369999999996</v>
      </c>
      <c r="M523" s="33">
        <f>IFERROR(Table2[[#This Row],[Value(1000$) 2022]]/Table2[[#This Row],[Volume(1000) 2022]],0)</f>
        <v>2.2095094754632678E-2</v>
      </c>
      <c r="N523" s="33">
        <f>IFERROR(Table2[[#This Row],[Value(1000$) 2023]]/Table2[[#This Row],[Volume(1000) 2023]],0)</f>
        <v>2.1554079280242867E-2</v>
      </c>
      <c r="O523" s="33">
        <f>IFERROR(Table2[[#This Row],[Value(1000$) 2024]]/Table2[[#This Row],[Volume(1000) 2024]],0)</f>
        <v>2.4420345046608241E-2</v>
      </c>
      <c r="P523" s="33">
        <f>SUM(Table2[[#This Row],[Value(1000$) 2022]:[Value(1000$) 2024]])</f>
        <v>183.3073</v>
      </c>
      <c r="Q523" s="33">
        <f>SUM(Table2[[#This Row],[Volume(1000) 2022]:[Volume(1000) 2024]])</f>
        <v>8263.6836000000003</v>
      </c>
      <c r="R523" s="33">
        <f>AVERAGE(Table2[[#This Row],[Average Price(2022)]:[Average Price(2024)]])</f>
        <v>2.2689839693827929E-2</v>
      </c>
    </row>
    <row r="524" spans="1:18" x14ac:dyDescent="0.3">
      <c r="A524" t="s">
        <v>665</v>
      </c>
      <c r="B524" t="s">
        <v>805</v>
      </c>
      <c r="C524" t="s">
        <v>658</v>
      </c>
      <c r="D524" t="s">
        <v>9</v>
      </c>
      <c r="E524" t="s">
        <v>20</v>
      </c>
      <c r="F524" s="27" t="str">
        <f>IF('Working Sheet'!B762="ITEM",'Working Sheet'!E762,"")</f>
        <v>80</v>
      </c>
      <c r="G524" s="27">
        <f>IF('Working Sheet'!B762="ITEM",'Working Sheet'!F762,"")</f>
        <v>137.74010000000001</v>
      </c>
      <c r="H524" s="27">
        <f>IF('Working Sheet'!B762="ITEM",'Working Sheet'!G762,"")</f>
        <v>71.2029</v>
      </c>
      <c r="I524" s="27">
        <f>IF('Working Sheet'!B762="ITEM",'Working Sheet'!H762,"")</f>
        <v>36.735799999999998</v>
      </c>
      <c r="J524">
        <f>IF('Working Sheet'!B762="ITEM",'Working Sheet'!I762,"")</f>
        <v>9592.0316999999995</v>
      </c>
      <c r="K524">
        <f>IF('Working Sheet'!B762="ITEM",'Working Sheet'!J762,"")</f>
        <v>4713.7775000000001</v>
      </c>
      <c r="L524">
        <f>IF('Working Sheet'!B762="ITEM",'Working Sheet'!K762,"")</f>
        <v>2155.8667</v>
      </c>
      <c r="M524" s="33">
        <f>IFERROR(Table2[[#This Row],[Value(1000$) 2022]]/Table2[[#This Row],[Volume(1000) 2022]],0)</f>
        <v>1.4359846204428204E-2</v>
      </c>
      <c r="N524" s="33">
        <f>IFERROR(Table2[[#This Row],[Value(1000$) 2023]]/Table2[[#This Row],[Volume(1000) 2023]],0)</f>
        <v>1.5105273848839916E-2</v>
      </c>
      <c r="O524" s="33">
        <f>IFERROR(Table2[[#This Row],[Value(1000$) 2024]]/Table2[[#This Row],[Volume(1000) 2024]],0)</f>
        <v>1.703992180963693E-2</v>
      </c>
      <c r="P524" s="33">
        <f>SUM(Table2[[#This Row],[Value(1000$) 2022]:[Value(1000$) 2024]])</f>
        <v>245.67880000000002</v>
      </c>
      <c r="Q524" s="33">
        <f>SUM(Table2[[#This Row],[Volume(1000) 2022]:[Volume(1000) 2024]])</f>
        <v>16461.675899999998</v>
      </c>
      <c r="R524" s="33">
        <f>AVERAGE(Table2[[#This Row],[Average Price(2022)]:[Average Price(2024)]])</f>
        <v>1.550168062096835E-2</v>
      </c>
    </row>
    <row r="525" spans="1:18" x14ac:dyDescent="0.3">
      <c r="A525" t="s">
        <v>666</v>
      </c>
      <c r="B525" t="s">
        <v>805</v>
      </c>
      <c r="C525" t="s">
        <v>658</v>
      </c>
      <c r="D525" t="s">
        <v>9</v>
      </c>
      <c r="E525" t="s">
        <v>30</v>
      </c>
      <c r="F525" s="27" t="str">
        <f>IF('Working Sheet'!B763="ITEM",'Working Sheet'!E763,"")</f>
        <v>80</v>
      </c>
      <c r="G525" s="27">
        <f>IF('Working Sheet'!B763="ITEM",'Working Sheet'!F763,"")</f>
        <v>34.508099999999999</v>
      </c>
      <c r="H525" s="27">
        <f>IF('Working Sheet'!B763="ITEM",'Working Sheet'!G763,"")</f>
        <v>21.348800000000001</v>
      </c>
      <c r="I525" s="27">
        <f>IF('Working Sheet'!B763="ITEM",'Working Sheet'!H763,"")</f>
        <v>13.753299999999999</v>
      </c>
      <c r="J525">
        <f>IF('Working Sheet'!B763="ITEM",'Working Sheet'!I763,"")</f>
        <v>2073.3334</v>
      </c>
      <c r="K525">
        <f>IF('Working Sheet'!B763="ITEM",'Working Sheet'!J763,"")</f>
        <v>1342.2397000000001</v>
      </c>
      <c r="L525">
        <f>IF('Working Sheet'!B763="ITEM",'Working Sheet'!K763,"")</f>
        <v>736.28099999999995</v>
      </c>
      <c r="M525" s="33">
        <f>IFERROR(Table2[[#This Row],[Value(1000$) 2022]]/Table2[[#This Row],[Volume(1000) 2022]],0)</f>
        <v>1.6643777599878534E-2</v>
      </c>
      <c r="N525" s="33">
        <f>IFERROR(Table2[[#This Row],[Value(1000$) 2023]]/Table2[[#This Row],[Volume(1000) 2023]],0)</f>
        <v>1.5905355801948042E-2</v>
      </c>
      <c r="O525" s="33">
        <f>IFERROR(Table2[[#This Row],[Value(1000$) 2024]]/Table2[[#This Row],[Volume(1000) 2024]],0)</f>
        <v>1.8679417233366066E-2</v>
      </c>
      <c r="P525" s="33">
        <f>SUM(Table2[[#This Row],[Value(1000$) 2022]:[Value(1000$) 2024]])</f>
        <v>69.610199999999992</v>
      </c>
      <c r="Q525" s="33">
        <f>SUM(Table2[[#This Row],[Volume(1000) 2022]:[Volume(1000) 2024]])</f>
        <v>4151.8541000000005</v>
      </c>
      <c r="R525" s="33">
        <f>AVERAGE(Table2[[#This Row],[Average Price(2022)]:[Average Price(2024)]])</f>
        <v>1.7076183545064214E-2</v>
      </c>
    </row>
    <row r="526" spans="1:18" x14ac:dyDescent="0.3">
      <c r="A526" t="s">
        <v>668</v>
      </c>
      <c r="B526" t="s">
        <v>805</v>
      </c>
      <c r="C526" t="s">
        <v>667</v>
      </c>
      <c r="D526" t="s">
        <v>9</v>
      </c>
      <c r="E526" t="s">
        <v>20</v>
      </c>
      <c r="F526" s="27" t="str">
        <f>IF('Working Sheet'!B765="ITEM",'Working Sheet'!E765,"")</f>
        <v>72</v>
      </c>
      <c r="G526" s="27">
        <f>IF('Working Sheet'!B765="ITEM",'Working Sheet'!F765,"")</f>
        <v>0</v>
      </c>
      <c r="H526" s="27">
        <f>IF('Working Sheet'!B765="ITEM",'Working Sheet'!G765,"")</f>
        <v>0</v>
      </c>
      <c r="I526" s="27">
        <f>IF('Working Sheet'!B765="ITEM",'Working Sheet'!H765,"")</f>
        <v>0</v>
      </c>
      <c r="J526">
        <f>IF('Working Sheet'!B765="ITEM",'Working Sheet'!I765,"")</f>
        <v>0</v>
      </c>
      <c r="K526">
        <f>IF('Working Sheet'!B765="ITEM",'Working Sheet'!J765,"")</f>
        <v>0</v>
      </c>
      <c r="L526">
        <f>IF('Working Sheet'!B765="ITEM",'Working Sheet'!K765,"")</f>
        <v>0</v>
      </c>
      <c r="M526" s="33">
        <f>IFERROR(Table2[[#This Row],[Value(1000$) 2022]]/Table2[[#This Row],[Volume(1000) 2022]],0)</f>
        <v>0</v>
      </c>
      <c r="N526" s="33">
        <f>IFERROR(Table2[[#This Row],[Value(1000$) 2023]]/Table2[[#This Row],[Volume(1000) 2023]],0)</f>
        <v>0</v>
      </c>
      <c r="O526" s="33">
        <f>IFERROR(Table2[[#This Row],[Value(1000$) 2024]]/Table2[[#This Row],[Volume(1000) 2024]],0)</f>
        <v>0</v>
      </c>
      <c r="P526" s="33">
        <f>SUM(Table2[[#This Row],[Value(1000$) 2022]:[Value(1000$) 2024]])</f>
        <v>0</v>
      </c>
      <c r="Q526" s="33">
        <f>SUM(Table2[[#This Row],[Volume(1000) 2022]:[Volume(1000) 2024]])</f>
        <v>0</v>
      </c>
      <c r="R526" s="33">
        <f>AVERAGE(Table2[[#This Row],[Average Price(2022)]:[Average Price(2024)]])</f>
        <v>0</v>
      </c>
    </row>
    <row r="527" spans="1:18" x14ac:dyDescent="0.3">
      <c r="A527" t="s">
        <v>670</v>
      </c>
      <c r="B527" t="s">
        <v>805</v>
      </c>
      <c r="C527" t="s">
        <v>669</v>
      </c>
      <c r="D527" t="s">
        <v>9</v>
      </c>
      <c r="E527" t="s">
        <v>20</v>
      </c>
      <c r="F527" s="27" t="str">
        <f>IF('Working Sheet'!B767="ITEM",'Working Sheet'!E767,"")</f>
        <v>72</v>
      </c>
      <c r="G527" s="27">
        <f>IF('Working Sheet'!B767="ITEM",'Working Sheet'!F767,"")</f>
        <v>0</v>
      </c>
      <c r="H527" s="27">
        <f>IF('Working Sheet'!B767="ITEM",'Working Sheet'!G767,"")</f>
        <v>3.1300000000000001E-2</v>
      </c>
      <c r="I527" s="27">
        <f>IF('Working Sheet'!B767="ITEM",'Working Sheet'!H767,"")</f>
        <v>0</v>
      </c>
      <c r="J527">
        <f>IF('Working Sheet'!B767="ITEM",'Working Sheet'!I767,"")</f>
        <v>0</v>
      </c>
      <c r="K527">
        <f>IF('Working Sheet'!B767="ITEM",'Working Sheet'!J767,"")</f>
        <v>1.2579</v>
      </c>
      <c r="L527">
        <f>IF('Working Sheet'!B767="ITEM",'Working Sheet'!K767,"")</f>
        <v>0</v>
      </c>
      <c r="M527" s="33">
        <f>IFERROR(Table2[[#This Row],[Value(1000$) 2022]]/Table2[[#This Row],[Volume(1000) 2022]],0)</f>
        <v>0</v>
      </c>
      <c r="N527" s="33">
        <f>IFERROR(Table2[[#This Row],[Value(1000$) 2023]]/Table2[[#This Row],[Volume(1000) 2023]],0)</f>
        <v>2.488274107639717E-2</v>
      </c>
      <c r="O527" s="33">
        <f>IFERROR(Table2[[#This Row],[Value(1000$) 2024]]/Table2[[#This Row],[Volume(1000) 2024]],0)</f>
        <v>0</v>
      </c>
      <c r="P527" s="33">
        <f>SUM(Table2[[#This Row],[Value(1000$) 2022]:[Value(1000$) 2024]])</f>
        <v>3.1300000000000001E-2</v>
      </c>
      <c r="Q527" s="33">
        <f>SUM(Table2[[#This Row],[Volume(1000) 2022]:[Volume(1000) 2024]])</f>
        <v>1.2579</v>
      </c>
      <c r="R527" s="33">
        <f>AVERAGE(Table2[[#This Row],[Average Price(2022)]:[Average Price(2024)]])</f>
        <v>8.2942470254657227E-3</v>
      </c>
    </row>
    <row r="528" spans="1:18" x14ac:dyDescent="0.3">
      <c r="A528" t="s">
        <v>672</v>
      </c>
      <c r="B528" t="s">
        <v>806</v>
      </c>
      <c r="C528" t="s">
        <v>671</v>
      </c>
      <c r="D528" t="s">
        <v>9</v>
      </c>
      <c r="E528" t="s">
        <v>64</v>
      </c>
      <c r="F528" s="27" t="str">
        <f>IF('Working Sheet'!B770="ITEM",'Working Sheet'!E770,"")</f>
        <v>60</v>
      </c>
      <c r="G528" s="27">
        <f>IF('Working Sheet'!B770="ITEM",'Working Sheet'!F770,"")</f>
        <v>7.7399999999999997E-2</v>
      </c>
      <c r="H528" s="27">
        <f>IF('Working Sheet'!B770="ITEM",'Working Sheet'!G770,"")</f>
        <v>0.20100000000000001</v>
      </c>
      <c r="I528" s="27">
        <f>IF('Working Sheet'!B770="ITEM",'Working Sheet'!H770,"")</f>
        <v>1.1599999999999999E-2</v>
      </c>
      <c r="J528">
        <f>IF('Working Sheet'!B770="ITEM",'Working Sheet'!I770,"")</f>
        <v>1.2943</v>
      </c>
      <c r="K528">
        <f>IF('Working Sheet'!B770="ITEM",'Working Sheet'!J770,"")</f>
        <v>3.8485999999999998</v>
      </c>
      <c r="L528">
        <f>IF('Working Sheet'!B770="ITEM",'Working Sheet'!K770,"")</f>
        <v>0.1971</v>
      </c>
      <c r="M528" s="33">
        <f>IFERROR(Table2[[#This Row],[Value(1000$) 2022]]/Table2[[#This Row],[Volume(1000) 2022]],0)</f>
        <v>5.9800664451827239E-2</v>
      </c>
      <c r="N528" s="33">
        <f>IFERROR(Table2[[#This Row],[Value(1000$) 2023]]/Table2[[#This Row],[Volume(1000) 2023]],0)</f>
        <v>5.2226783765525135E-2</v>
      </c>
      <c r="O528" s="33">
        <f>IFERROR(Table2[[#This Row],[Value(1000$) 2024]]/Table2[[#This Row],[Volume(1000) 2024]],0)</f>
        <v>5.8853373921867069E-2</v>
      </c>
      <c r="P528" s="33">
        <f>SUM(Table2[[#This Row],[Value(1000$) 2022]:[Value(1000$) 2024]])</f>
        <v>0.28999999999999998</v>
      </c>
      <c r="Q528" s="33">
        <f>SUM(Table2[[#This Row],[Volume(1000) 2022]:[Volume(1000) 2024]])</f>
        <v>5.34</v>
      </c>
      <c r="R528" s="33">
        <f>AVERAGE(Table2[[#This Row],[Average Price(2022)]:[Average Price(2024)]])</f>
        <v>5.6960274046406488E-2</v>
      </c>
    </row>
    <row r="529" spans="1:18" x14ac:dyDescent="0.3">
      <c r="A529" t="s">
        <v>673</v>
      </c>
      <c r="B529" t="s">
        <v>806</v>
      </c>
      <c r="C529" t="s">
        <v>671</v>
      </c>
      <c r="D529" t="s">
        <v>9</v>
      </c>
      <c r="E529" t="s">
        <v>20</v>
      </c>
      <c r="F529" s="27" t="str">
        <f>IF('Working Sheet'!B771="ITEM",'Working Sheet'!E771,"")</f>
        <v>72</v>
      </c>
      <c r="G529" s="27">
        <f>IF('Working Sheet'!B771="ITEM",'Working Sheet'!F771,"")</f>
        <v>6.8400000000000002E-2</v>
      </c>
      <c r="H529" s="27">
        <f>IF('Working Sheet'!B771="ITEM",'Working Sheet'!G771,"")</f>
        <v>9.8500000000000004E-2</v>
      </c>
      <c r="I529" s="27">
        <f>IF('Working Sheet'!B771="ITEM",'Working Sheet'!H771,"")</f>
        <v>3.8800000000000001E-2</v>
      </c>
      <c r="J529">
        <f>IF('Working Sheet'!B771="ITEM",'Working Sheet'!I771,"")</f>
        <v>1.5943000000000001</v>
      </c>
      <c r="K529">
        <f>IF('Working Sheet'!B771="ITEM",'Working Sheet'!J771,"")</f>
        <v>2.7256999999999998</v>
      </c>
      <c r="L529">
        <f>IF('Working Sheet'!B771="ITEM",'Working Sheet'!K771,"")</f>
        <v>0.93600000000000005</v>
      </c>
      <c r="M529" s="33">
        <f>IFERROR(Table2[[#This Row],[Value(1000$) 2022]]/Table2[[#This Row],[Volume(1000) 2022]],0)</f>
        <v>4.2902841372389137E-2</v>
      </c>
      <c r="N529" s="33">
        <f>IFERROR(Table2[[#This Row],[Value(1000$) 2023]]/Table2[[#This Row],[Volume(1000) 2023]],0)</f>
        <v>3.6137505961771295E-2</v>
      </c>
      <c r="O529" s="33">
        <f>IFERROR(Table2[[#This Row],[Value(1000$) 2024]]/Table2[[#This Row],[Volume(1000) 2024]],0)</f>
        <v>4.1452991452991451E-2</v>
      </c>
      <c r="P529" s="33">
        <f>SUM(Table2[[#This Row],[Value(1000$) 2022]:[Value(1000$) 2024]])</f>
        <v>0.20569999999999999</v>
      </c>
      <c r="Q529" s="33">
        <f>SUM(Table2[[#This Row],[Volume(1000) 2022]:[Volume(1000) 2024]])</f>
        <v>5.2560000000000002</v>
      </c>
      <c r="R529" s="33">
        <f>AVERAGE(Table2[[#This Row],[Average Price(2022)]:[Average Price(2024)]])</f>
        <v>4.0164446262383961E-2</v>
      </c>
    </row>
    <row r="530" spans="1:18" x14ac:dyDescent="0.3">
      <c r="A530" t="s">
        <v>675</v>
      </c>
      <c r="B530" t="s">
        <v>807</v>
      </c>
      <c r="C530" t="s">
        <v>674</v>
      </c>
      <c r="D530" t="s">
        <v>9</v>
      </c>
      <c r="E530" t="s">
        <v>20</v>
      </c>
      <c r="F530" s="27" t="str">
        <f>IF('Working Sheet'!B774="ITEM",'Working Sheet'!E774,"")</f>
        <v>100</v>
      </c>
      <c r="G530" s="27">
        <f>IF('Working Sheet'!B774="ITEM",'Working Sheet'!F774,"")</f>
        <v>1.2095</v>
      </c>
      <c r="H530" s="27">
        <f>IF('Working Sheet'!B774="ITEM",'Working Sheet'!G774,"")</f>
        <v>0</v>
      </c>
      <c r="I530" s="27">
        <f>IF('Working Sheet'!B774="ITEM",'Working Sheet'!H774,"")</f>
        <v>0</v>
      </c>
      <c r="J530">
        <f>IF('Working Sheet'!B774="ITEM",'Working Sheet'!I774,"")</f>
        <v>58.601599999999998</v>
      </c>
      <c r="K530">
        <f>IF('Working Sheet'!B774="ITEM",'Working Sheet'!J774,"")</f>
        <v>0</v>
      </c>
      <c r="L530">
        <f>IF('Working Sheet'!B774="ITEM",'Working Sheet'!K774,"")</f>
        <v>0</v>
      </c>
      <c r="M530" s="33">
        <f>IFERROR(Table2[[#This Row],[Value(1000$) 2022]]/Table2[[#This Row],[Volume(1000) 2022]],0)</f>
        <v>2.0639368208376564E-2</v>
      </c>
      <c r="N530" s="33">
        <f>IFERROR(Table2[[#This Row],[Value(1000$) 2023]]/Table2[[#This Row],[Volume(1000) 2023]],0)</f>
        <v>0</v>
      </c>
      <c r="O530" s="33">
        <f>IFERROR(Table2[[#This Row],[Value(1000$) 2024]]/Table2[[#This Row],[Volume(1000) 2024]],0)</f>
        <v>0</v>
      </c>
      <c r="P530" s="33">
        <f>SUM(Table2[[#This Row],[Value(1000$) 2022]:[Value(1000$) 2024]])</f>
        <v>1.2095</v>
      </c>
      <c r="Q530" s="33">
        <f>SUM(Table2[[#This Row],[Volume(1000) 2022]:[Volume(1000) 2024]])</f>
        <v>58.601599999999998</v>
      </c>
      <c r="R530" s="33">
        <f>AVERAGE(Table2[[#This Row],[Average Price(2022)]:[Average Price(2024)]])</f>
        <v>6.8797894027921884E-3</v>
      </c>
    </row>
    <row r="531" spans="1:18" x14ac:dyDescent="0.3">
      <c r="A531" t="s">
        <v>676</v>
      </c>
      <c r="B531" t="s">
        <v>807</v>
      </c>
      <c r="C531" t="s">
        <v>674</v>
      </c>
      <c r="D531" t="s">
        <v>9</v>
      </c>
      <c r="E531" t="s">
        <v>20</v>
      </c>
      <c r="F531" s="27" t="str">
        <f>IF('Working Sheet'!B775="ITEM",'Working Sheet'!E775,"")</f>
        <v>100</v>
      </c>
      <c r="G531" s="27">
        <f>IF('Working Sheet'!B775="ITEM",'Working Sheet'!F775,"")</f>
        <v>0</v>
      </c>
      <c r="H531" s="27">
        <f>IF('Working Sheet'!B775="ITEM",'Working Sheet'!G775,"")</f>
        <v>0</v>
      </c>
      <c r="I531" s="27">
        <f>IF('Working Sheet'!B775="ITEM",'Working Sheet'!H775,"")</f>
        <v>0</v>
      </c>
      <c r="J531">
        <f>IF('Working Sheet'!B775="ITEM",'Working Sheet'!I775,"")</f>
        <v>0</v>
      </c>
      <c r="K531">
        <f>IF('Working Sheet'!B775="ITEM",'Working Sheet'!J775,"")</f>
        <v>0</v>
      </c>
      <c r="L531">
        <f>IF('Working Sheet'!B775="ITEM",'Working Sheet'!K775,"")</f>
        <v>0</v>
      </c>
      <c r="M531" s="33">
        <f>IFERROR(Table2[[#This Row],[Value(1000$) 2022]]/Table2[[#This Row],[Volume(1000) 2022]],0)</f>
        <v>0</v>
      </c>
      <c r="N531" s="33">
        <f>IFERROR(Table2[[#This Row],[Value(1000$) 2023]]/Table2[[#This Row],[Volume(1000) 2023]],0)</f>
        <v>0</v>
      </c>
      <c r="O531" s="33">
        <f>IFERROR(Table2[[#This Row],[Value(1000$) 2024]]/Table2[[#This Row],[Volume(1000) 2024]],0)</f>
        <v>0</v>
      </c>
      <c r="P531" s="33">
        <f>SUM(Table2[[#This Row],[Value(1000$) 2022]:[Value(1000$) 2024]])</f>
        <v>0</v>
      </c>
      <c r="Q531" s="33">
        <f>SUM(Table2[[#This Row],[Volume(1000) 2022]:[Volume(1000) 2024]])</f>
        <v>0</v>
      </c>
      <c r="R531" s="33">
        <f>AVERAGE(Table2[[#This Row],[Average Price(2022)]:[Average Price(2024)]])</f>
        <v>0</v>
      </c>
    </row>
    <row r="532" spans="1:18" x14ac:dyDescent="0.3">
      <c r="A532" t="s">
        <v>677</v>
      </c>
      <c r="B532" t="s">
        <v>807</v>
      </c>
      <c r="C532" t="s">
        <v>674</v>
      </c>
      <c r="D532" t="s">
        <v>9</v>
      </c>
      <c r="E532" t="s">
        <v>20</v>
      </c>
      <c r="F532" s="27" t="str">
        <f>IF('Working Sheet'!B776="ITEM",'Working Sheet'!E776,"")</f>
        <v>120</v>
      </c>
      <c r="G532" s="27">
        <f>IF('Working Sheet'!B776="ITEM",'Working Sheet'!F776,"")</f>
        <v>3.4049</v>
      </c>
      <c r="H532" s="27">
        <f>IF('Working Sheet'!B776="ITEM",'Working Sheet'!G776,"")</f>
        <v>0</v>
      </c>
      <c r="I532" s="27">
        <f>IF('Working Sheet'!B776="ITEM",'Working Sheet'!H776,"")</f>
        <v>0</v>
      </c>
      <c r="J532">
        <f>IF('Working Sheet'!B776="ITEM",'Working Sheet'!I776,"")</f>
        <v>181.5942</v>
      </c>
      <c r="K532">
        <f>IF('Working Sheet'!B776="ITEM",'Working Sheet'!J776,"")</f>
        <v>0</v>
      </c>
      <c r="L532">
        <f>IF('Working Sheet'!B776="ITEM",'Working Sheet'!K776,"")</f>
        <v>0</v>
      </c>
      <c r="M532" s="33">
        <f>IFERROR(Table2[[#This Row],[Value(1000$) 2022]]/Table2[[#This Row],[Volume(1000) 2022]],0)</f>
        <v>1.8750048184358312E-2</v>
      </c>
      <c r="N532" s="33">
        <f>IFERROR(Table2[[#This Row],[Value(1000$) 2023]]/Table2[[#This Row],[Volume(1000) 2023]],0)</f>
        <v>0</v>
      </c>
      <c r="O532" s="33">
        <f>IFERROR(Table2[[#This Row],[Value(1000$) 2024]]/Table2[[#This Row],[Volume(1000) 2024]],0)</f>
        <v>0</v>
      </c>
      <c r="P532" s="33">
        <f>SUM(Table2[[#This Row],[Value(1000$) 2022]:[Value(1000$) 2024]])</f>
        <v>3.4049</v>
      </c>
      <c r="Q532" s="33">
        <f>SUM(Table2[[#This Row],[Volume(1000) 2022]:[Volume(1000) 2024]])</f>
        <v>181.5942</v>
      </c>
      <c r="R532" s="33">
        <f>AVERAGE(Table2[[#This Row],[Average Price(2022)]:[Average Price(2024)]])</f>
        <v>6.2500160614527706E-3</v>
      </c>
    </row>
    <row r="533" spans="1:18" x14ac:dyDescent="0.3">
      <c r="A533" t="s">
        <v>678</v>
      </c>
      <c r="B533" t="s">
        <v>807</v>
      </c>
      <c r="C533" t="s">
        <v>674</v>
      </c>
      <c r="D533" t="s">
        <v>9</v>
      </c>
      <c r="E533" t="s">
        <v>20</v>
      </c>
      <c r="F533" s="27" t="str">
        <f>IF('Working Sheet'!B777="ITEM",'Working Sheet'!E777,"")</f>
        <v>72</v>
      </c>
      <c r="G533" s="27">
        <f>IF('Working Sheet'!B777="ITEM",'Working Sheet'!F777,"")</f>
        <v>0.27539999999999998</v>
      </c>
      <c r="H533" s="27">
        <f>IF('Working Sheet'!B777="ITEM",'Working Sheet'!G777,"")</f>
        <v>0</v>
      </c>
      <c r="I533" s="27">
        <f>IF('Working Sheet'!B777="ITEM",'Working Sheet'!H777,"")</f>
        <v>0</v>
      </c>
      <c r="J533">
        <f>IF('Working Sheet'!B777="ITEM",'Working Sheet'!I777,"")</f>
        <v>11.6632</v>
      </c>
      <c r="K533">
        <f>IF('Working Sheet'!B777="ITEM",'Working Sheet'!J777,"")</f>
        <v>0</v>
      </c>
      <c r="L533">
        <f>IF('Working Sheet'!B777="ITEM",'Working Sheet'!K777,"")</f>
        <v>0</v>
      </c>
      <c r="M533" s="33">
        <f>IFERROR(Table2[[#This Row],[Value(1000$) 2022]]/Table2[[#This Row],[Volume(1000) 2022]],0)</f>
        <v>2.3612730639961586E-2</v>
      </c>
      <c r="N533" s="33">
        <f>IFERROR(Table2[[#This Row],[Value(1000$) 2023]]/Table2[[#This Row],[Volume(1000) 2023]],0)</f>
        <v>0</v>
      </c>
      <c r="O533" s="33">
        <f>IFERROR(Table2[[#This Row],[Value(1000$) 2024]]/Table2[[#This Row],[Volume(1000) 2024]],0)</f>
        <v>0</v>
      </c>
      <c r="P533" s="33">
        <f>SUM(Table2[[#This Row],[Value(1000$) 2022]:[Value(1000$) 2024]])</f>
        <v>0.27539999999999998</v>
      </c>
      <c r="Q533" s="33">
        <f>SUM(Table2[[#This Row],[Volume(1000) 2022]:[Volume(1000) 2024]])</f>
        <v>11.6632</v>
      </c>
      <c r="R533" s="33">
        <f>AVERAGE(Table2[[#This Row],[Average Price(2022)]:[Average Price(2024)]])</f>
        <v>7.870910213320528E-3</v>
      </c>
    </row>
    <row r="534" spans="1:18" x14ac:dyDescent="0.3">
      <c r="A534" t="s">
        <v>679</v>
      </c>
      <c r="B534" t="s">
        <v>807</v>
      </c>
      <c r="C534" t="s">
        <v>674</v>
      </c>
      <c r="D534" t="s">
        <v>9</v>
      </c>
      <c r="E534" t="s">
        <v>20</v>
      </c>
      <c r="F534" s="27" t="str">
        <f>IF('Working Sheet'!B778="ITEM",'Working Sheet'!E778,"")</f>
        <v>72</v>
      </c>
      <c r="G534" s="27">
        <f>IF('Working Sheet'!B778="ITEM",'Working Sheet'!F778,"")</f>
        <v>0.36249999999999999</v>
      </c>
      <c r="H534" s="27">
        <f>IF('Working Sheet'!B778="ITEM",'Working Sheet'!G778,"")</f>
        <v>0</v>
      </c>
      <c r="I534" s="27">
        <f>IF('Working Sheet'!B778="ITEM",'Working Sheet'!H778,"")</f>
        <v>0</v>
      </c>
      <c r="J534">
        <f>IF('Working Sheet'!B778="ITEM",'Working Sheet'!I778,"")</f>
        <v>17.400500000000001</v>
      </c>
      <c r="K534">
        <f>IF('Working Sheet'!B778="ITEM",'Working Sheet'!J778,"")</f>
        <v>0</v>
      </c>
      <c r="L534">
        <f>IF('Working Sheet'!B778="ITEM",'Working Sheet'!K778,"")</f>
        <v>0</v>
      </c>
      <c r="M534" s="33">
        <f>IFERROR(Table2[[#This Row],[Value(1000$) 2022]]/Table2[[#This Row],[Volume(1000) 2022]],0)</f>
        <v>2.0832734691531851E-2</v>
      </c>
      <c r="N534" s="33">
        <f>IFERROR(Table2[[#This Row],[Value(1000$) 2023]]/Table2[[#This Row],[Volume(1000) 2023]],0)</f>
        <v>0</v>
      </c>
      <c r="O534" s="33">
        <f>IFERROR(Table2[[#This Row],[Value(1000$) 2024]]/Table2[[#This Row],[Volume(1000) 2024]],0)</f>
        <v>0</v>
      </c>
      <c r="P534" s="33">
        <f>SUM(Table2[[#This Row],[Value(1000$) 2022]:[Value(1000$) 2024]])</f>
        <v>0.36249999999999999</v>
      </c>
      <c r="Q534" s="33">
        <f>SUM(Table2[[#This Row],[Volume(1000) 2022]:[Volume(1000) 2024]])</f>
        <v>17.400500000000001</v>
      </c>
      <c r="R534" s="33">
        <f>AVERAGE(Table2[[#This Row],[Average Price(2022)]:[Average Price(2024)]])</f>
        <v>6.9442448971772834E-3</v>
      </c>
    </row>
    <row r="535" spans="1:18" x14ac:dyDescent="0.3">
      <c r="A535" t="s">
        <v>681</v>
      </c>
      <c r="B535" t="s">
        <v>808</v>
      </c>
      <c r="C535" t="s">
        <v>680</v>
      </c>
      <c r="D535" t="s">
        <v>9</v>
      </c>
      <c r="E535" t="s">
        <v>10</v>
      </c>
      <c r="F535" s="27" t="str">
        <f>IF('Working Sheet'!B781="ITEM",'Working Sheet'!E781,"")</f>
        <v>20</v>
      </c>
      <c r="G535" s="27">
        <f>IF('Working Sheet'!B781="ITEM",'Working Sheet'!F781,"")</f>
        <v>0</v>
      </c>
      <c r="H535" s="27">
        <f>IF('Working Sheet'!B781="ITEM",'Working Sheet'!G781,"")</f>
        <v>0</v>
      </c>
      <c r="I535" s="27">
        <f>IF('Working Sheet'!B781="ITEM",'Working Sheet'!H781,"")</f>
        <v>0</v>
      </c>
      <c r="J535">
        <f>IF('Working Sheet'!B781="ITEM",'Working Sheet'!I781,"")</f>
        <v>0</v>
      </c>
      <c r="K535">
        <f>IF('Working Sheet'!B781="ITEM",'Working Sheet'!J781,"")</f>
        <v>0</v>
      </c>
      <c r="L535">
        <f>IF('Working Sheet'!B781="ITEM",'Working Sheet'!K781,"")</f>
        <v>0</v>
      </c>
      <c r="M535" s="33">
        <f>IFERROR(Table2[[#This Row],[Value(1000$) 2022]]/Table2[[#This Row],[Volume(1000) 2022]],0)</f>
        <v>0</v>
      </c>
      <c r="N535" s="33">
        <f>IFERROR(Table2[[#This Row],[Value(1000$) 2023]]/Table2[[#This Row],[Volume(1000) 2023]],0)</f>
        <v>0</v>
      </c>
      <c r="O535" s="33">
        <f>IFERROR(Table2[[#This Row],[Value(1000$) 2024]]/Table2[[#This Row],[Volume(1000) 2024]],0)</f>
        <v>0</v>
      </c>
      <c r="P535" s="33">
        <f>SUM(Table2[[#This Row],[Value(1000$) 2022]:[Value(1000$) 2024]])</f>
        <v>0</v>
      </c>
      <c r="Q535" s="33">
        <f>SUM(Table2[[#This Row],[Volume(1000) 2022]:[Volume(1000) 2024]])</f>
        <v>0</v>
      </c>
      <c r="R535" s="33">
        <f>AVERAGE(Table2[[#This Row],[Average Price(2022)]:[Average Price(2024)]])</f>
        <v>0</v>
      </c>
    </row>
    <row r="536" spans="1:18" x14ac:dyDescent="0.3">
      <c r="A536" t="s">
        <v>682</v>
      </c>
      <c r="B536" t="s">
        <v>808</v>
      </c>
      <c r="C536" t="s">
        <v>680</v>
      </c>
      <c r="D536" t="s">
        <v>9</v>
      </c>
      <c r="E536" t="s">
        <v>10</v>
      </c>
      <c r="F536" s="27" t="str">
        <f>IF('Working Sheet'!B782="ITEM",'Working Sheet'!E782,"")</f>
        <v>72</v>
      </c>
      <c r="G536" s="27">
        <f>IF('Working Sheet'!B782="ITEM",'Working Sheet'!F782,"")</f>
        <v>0</v>
      </c>
      <c r="H536" s="27">
        <f>IF('Working Sheet'!B782="ITEM",'Working Sheet'!G782,"")</f>
        <v>0</v>
      </c>
      <c r="I536" s="27">
        <f>IF('Working Sheet'!B782="ITEM",'Working Sheet'!H782,"")</f>
        <v>0</v>
      </c>
      <c r="J536">
        <f>IF('Working Sheet'!B782="ITEM",'Working Sheet'!I782,"")</f>
        <v>0</v>
      </c>
      <c r="K536">
        <f>IF('Working Sheet'!B782="ITEM",'Working Sheet'!J782,"")</f>
        <v>0</v>
      </c>
      <c r="L536">
        <f>IF('Working Sheet'!B782="ITEM",'Working Sheet'!K782,"")</f>
        <v>0</v>
      </c>
      <c r="M536" s="33">
        <f>IFERROR(Table2[[#This Row],[Value(1000$) 2022]]/Table2[[#This Row],[Volume(1000) 2022]],0)</f>
        <v>0</v>
      </c>
      <c r="N536" s="33">
        <f>IFERROR(Table2[[#This Row],[Value(1000$) 2023]]/Table2[[#This Row],[Volume(1000) 2023]],0)</f>
        <v>0</v>
      </c>
      <c r="O536" s="33">
        <f>IFERROR(Table2[[#This Row],[Value(1000$) 2024]]/Table2[[#This Row],[Volume(1000) 2024]],0)</f>
        <v>0</v>
      </c>
      <c r="P536" s="33">
        <f>SUM(Table2[[#This Row],[Value(1000$) 2022]:[Value(1000$) 2024]])</f>
        <v>0</v>
      </c>
      <c r="Q536" s="33">
        <f>SUM(Table2[[#This Row],[Volume(1000) 2022]:[Volume(1000) 2024]])</f>
        <v>0</v>
      </c>
      <c r="R536" s="33">
        <f>AVERAGE(Table2[[#This Row],[Average Price(2022)]:[Average Price(2024)]])</f>
        <v>0</v>
      </c>
    </row>
    <row r="537" spans="1:18" x14ac:dyDescent="0.3">
      <c r="A537" t="s">
        <v>827</v>
      </c>
      <c r="B537" t="s">
        <v>809</v>
      </c>
      <c r="C537" t="s">
        <v>683</v>
      </c>
      <c r="D537" t="s">
        <v>9</v>
      </c>
      <c r="E537" t="s">
        <v>20</v>
      </c>
      <c r="F537" s="27" t="str">
        <f>IF('Working Sheet'!B785="ITEM",'Working Sheet'!E785,"")</f>
        <v>120</v>
      </c>
      <c r="G537" s="27">
        <f>IF('Working Sheet'!B785="ITEM",'Working Sheet'!F785,"")</f>
        <v>0</v>
      </c>
      <c r="H537" s="27">
        <f>IF('Working Sheet'!B785="ITEM",'Working Sheet'!G785,"")</f>
        <v>0</v>
      </c>
      <c r="I537" s="27">
        <f>IF('Working Sheet'!B785="ITEM",'Working Sheet'!H785,"")</f>
        <v>3.1633</v>
      </c>
      <c r="J537">
        <f>IF('Working Sheet'!B785="ITEM",'Working Sheet'!I785,"")</f>
        <v>0</v>
      </c>
      <c r="K537">
        <f>IF('Working Sheet'!B785="ITEM",'Working Sheet'!J785,"")</f>
        <v>0</v>
      </c>
      <c r="L537">
        <f>IF('Working Sheet'!B785="ITEM",'Working Sheet'!K785,"")</f>
        <v>171.71680000000001</v>
      </c>
      <c r="M537" s="33">
        <f>IFERROR(Table2[[#This Row],[Value(1000$) 2022]]/Table2[[#This Row],[Volume(1000) 2022]],0)</f>
        <v>0</v>
      </c>
      <c r="N537" s="33">
        <f>IFERROR(Table2[[#This Row],[Value(1000$) 2023]]/Table2[[#This Row],[Volume(1000) 2023]],0)</f>
        <v>0</v>
      </c>
      <c r="O537" s="33">
        <f>IFERROR(Table2[[#This Row],[Value(1000$) 2024]]/Table2[[#This Row],[Volume(1000) 2024]],0)</f>
        <v>1.8421610465603831E-2</v>
      </c>
      <c r="P537" s="33">
        <f>SUM(Table2[[#This Row],[Value(1000$) 2022]:[Value(1000$) 2024]])</f>
        <v>3.1633</v>
      </c>
      <c r="Q537" s="33">
        <f>SUM(Table2[[#This Row],[Volume(1000) 2022]:[Volume(1000) 2024]])</f>
        <v>171.71680000000001</v>
      </c>
      <c r="R537" s="33">
        <f>AVERAGE(Table2[[#This Row],[Average Price(2022)]:[Average Price(2024)]])</f>
        <v>6.1405368218679438E-3</v>
      </c>
    </row>
    <row r="538" spans="1:18" x14ac:dyDescent="0.3">
      <c r="A538" t="s">
        <v>685</v>
      </c>
      <c r="B538" t="s">
        <v>810</v>
      </c>
      <c r="C538" t="s">
        <v>684</v>
      </c>
      <c r="D538" t="s">
        <v>9</v>
      </c>
      <c r="E538" t="s">
        <v>20</v>
      </c>
      <c r="F538" s="27" t="str">
        <f>IF('Working Sheet'!B788="ITEM",'Working Sheet'!E788,"")</f>
        <v>120</v>
      </c>
      <c r="G538" s="27">
        <f>IF('Working Sheet'!B788="ITEM",'Working Sheet'!F788,"")</f>
        <v>0</v>
      </c>
      <c r="H538" s="27">
        <f>IF('Working Sheet'!B788="ITEM",'Working Sheet'!G788,"")</f>
        <v>10.313499999999999</v>
      </c>
      <c r="I538" s="27">
        <f>IF('Working Sheet'!B788="ITEM",'Working Sheet'!H788,"")</f>
        <v>10.635400000000001</v>
      </c>
      <c r="J538">
        <f>IF('Working Sheet'!B788="ITEM",'Working Sheet'!I788,"")</f>
        <v>0</v>
      </c>
      <c r="K538">
        <f>IF('Working Sheet'!B788="ITEM",'Working Sheet'!J788,"")</f>
        <v>475.9119</v>
      </c>
      <c r="L538">
        <f>IF('Working Sheet'!B788="ITEM",'Working Sheet'!K788,"")</f>
        <v>461.80500000000001</v>
      </c>
      <c r="M538" s="33">
        <f>IFERROR(Table2[[#This Row],[Value(1000$) 2022]]/Table2[[#This Row],[Volume(1000) 2022]],0)</f>
        <v>0</v>
      </c>
      <c r="N538" s="33">
        <f>IFERROR(Table2[[#This Row],[Value(1000$) 2023]]/Table2[[#This Row],[Volume(1000) 2023]],0)</f>
        <v>2.1671027767954529E-2</v>
      </c>
      <c r="O538" s="33">
        <f>IFERROR(Table2[[#This Row],[Value(1000$) 2024]]/Table2[[#This Row],[Volume(1000) 2024]],0)</f>
        <v>2.3030066803087883E-2</v>
      </c>
      <c r="P538" s="33">
        <f>SUM(Table2[[#This Row],[Value(1000$) 2022]:[Value(1000$) 2024]])</f>
        <v>20.948900000000002</v>
      </c>
      <c r="Q538" s="33">
        <f>SUM(Table2[[#This Row],[Volume(1000) 2022]:[Volume(1000) 2024]])</f>
        <v>937.71690000000001</v>
      </c>
      <c r="R538" s="33">
        <f>AVERAGE(Table2[[#This Row],[Average Price(2022)]:[Average Price(2024)]])</f>
        <v>1.4900364857014138E-2</v>
      </c>
    </row>
    <row r="539" spans="1:18" x14ac:dyDescent="0.3">
      <c r="A539" t="s">
        <v>686</v>
      </c>
      <c r="B539" t="s">
        <v>810</v>
      </c>
      <c r="C539" t="s">
        <v>684</v>
      </c>
      <c r="D539" t="s">
        <v>9</v>
      </c>
      <c r="E539" t="s">
        <v>20</v>
      </c>
      <c r="F539" s="27" t="str">
        <f>IF('Working Sheet'!B789="ITEM",'Working Sheet'!E789,"")</f>
        <v>72</v>
      </c>
      <c r="G539" s="27">
        <f>IF('Working Sheet'!B789="ITEM",'Working Sheet'!F789,"")</f>
        <v>54.988799999999998</v>
      </c>
      <c r="H539" s="27">
        <f>IF('Working Sheet'!B789="ITEM",'Working Sheet'!G789,"")</f>
        <v>32.909799999999997</v>
      </c>
      <c r="I539" s="27">
        <f>IF('Working Sheet'!B789="ITEM",'Working Sheet'!H789,"")</f>
        <v>13.822900000000001</v>
      </c>
      <c r="J539">
        <f>IF('Working Sheet'!B789="ITEM",'Working Sheet'!I789,"")</f>
        <v>1994.8981000000001</v>
      </c>
      <c r="K539">
        <f>IF('Working Sheet'!B789="ITEM",'Working Sheet'!J789,"")</f>
        <v>1164.6792</v>
      </c>
      <c r="L539">
        <f>IF('Working Sheet'!B789="ITEM",'Working Sheet'!K789,"")</f>
        <v>463.84859999999998</v>
      </c>
      <c r="M539" s="33">
        <f>IFERROR(Table2[[#This Row],[Value(1000$) 2022]]/Table2[[#This Row],[Volume(1000) 2022]],0)</f>
        <v>2.7564716212823099E-2</v>
      </c>
      <c r="N539" s="33">
        <f>IFERROR(Table2[[#This Row],[Value(1000$) 2023]]/Table2[[#This Row],[Volume(1000) 2023]],0)</f>
        <v>2.8256536220445935E-2</v>
      </c>
      <c r="O539" s="33">
        <f>IFERROR(Table2[[#This Row],[Value(1000$) 2024]]/Table2[[#This Row],[Volume(1000) 2024]],0)</f>
        <v>2.980045644203734E-2</v>
      </c>
      <c r="P539" s="33">
        <f>SUM(Table2[[#This Row],[Value(1000$) 2022]:[Value(1000$) 2024]])</f>
        <v>101.72149999999999</v>
      </c>
      <c r="Q539" s="33">
        <f>SUM(Table2[[#This Row],[Volume(1000) 2022]:[Volume(1000) 2024]])</f>
        <v>3623.4258999999997</v>
      </c>
      <c r="R539" s="33">
        <f>AVERAGE(Table2[[#This Row],[Average Price(2022)]:[Average Price(2024)]])</f>
        <v>2.8540569625102125E-2</v>
      </c>
    </row>
    <row r="540" spans="1:18" x14ac:dyDescent="0.3">
      <c r="A540" t="s">
        <v>688</v>
      </c>
      <c r="B540" t="s">
        <v>810</v>
      </c>
      <c r="C540" t="s">
        <v>687</v>
      </c>
      <c r="D540" t="s">
        <v>9</v>
      </c>
      <c r="E540" t="s">
        <v>20</v>
      </c>
      <c r="F540" s="27" t="str">
        <f>IF('Working Sheet'!B791="ITEM",'Working Sheet'!E791,"")</f>
        <v>72</v>
      </c>
      <c r="G540" s="27">
        <f>IF('Working Sheet'!B791="ITEM",'Working Sheet'!F791,"")</f>
        <v>0.1076</v>
      </c>
      <c r="H540" s="27">
        <f>IF('Working Sheet'!B791="ITEM",'Working Sheet'!G791,"")</f>
        <v>0.1249</v>
      </c>
      <c r="I540" s="27">
        <f>IF('Working Sheet'!B791="ITEM",'Working Sheet'!H791,"")</f>
        <v>7.1900000000000006E-2</v>
      </c>
      <c r="J540">
        <f>IF('Working Sheet'!B791="ITEM",'Working Sheet'!I791,"")</f>
        <v>5.5374999999999996</v>
      </c>
      <c r="K540">
        <f>IF('Working Sheet'!B791="ITEM",'Working Sheet'!J791,"")</f>
        <v>6.4203000000000001</v>
      </c>
      <c r="L540">
        <f>IF('Working Sheet'!B791="ITEM",'Working Sheet'!K791,"")</f>
        <v>3.698</v>
      </c>
      <c r="M540" s="33">
        <f>IFERROR(Table2[[#This Row],[Value(1000$) 2022]]/Table2[[#This Row],[Volume(1000) 2022]],0)</f>
        <v>1.9431151241534991E-2</v>
      </c>
      <c r="N540" s="33">
        <f>IFERROR(Table2[[#This Row],[Value(1000$) 2023]]/Table2[[#This Row],[Volume(1000) 2023]],0)</f>
        <v>1.9453919598772643E-2</v>
      </c>
      <c r="O540" s="33">
        <f>IFERROR(Table2[[#This Row],[Value(1000$) 2024]]/Table2[[#This Row],[Volume(1000) 2024]],0)</f>
        <v>1.944294213088156E-2</v>
      </c>
      <c r="P540" s="33">
        <f>SUM(Table2[[#This Row],[Value(1000$) 2022]:[Value(1000$) 2024]])</f>
        <v>0.3044</v>
      </c>
      <c r="Q540" s="33">
        <f>SUM(Table2[[#This Row],[Volume(1000) 2022]:[Volume(1000) 2024]])</f>
        <v>15.655799999999999</v>
      </c>
      <c r="R540" s="33">
        <f>AVERAGE(Table2[[#This Row],[Average Price(2022)]:[Average Price(2024)]])</f>
        <v>1.9442670990396399E-2</v>
      </c>
    </row>
    <row r="541" spans="1:18" x14ac:dyDescent="0.3">
      <c r="A541" t="s">
        <v>690</v>
      </c>
      <c r="B541" t="s">
        <v>811</v>
      </c>
      <c r="C541" t="s">
        <v>689</v>
      </c>
      <c r="D541" t="s">
        <v>9</v>
      </c>
      <c r="E541" t="s">
        <v>30</v>
      </c>
      <c r="F541" s="27" t="str">
        <f>IF('Working Sheet'!B794="ITEM",'Working Sheet'!E794,"")</f>
        <v>60</v>
      </c>
      <c r="G541" s="27">
        <f>IF('Working Sheet'!B794="ITEM",'Working Sheet'!F794,"")</f>
        <v>0.30349999999999999</v>
      </c>
      <c r="H541" s="27">
        <f>IF('Working Sheet'!B794="ITEM",'Working Sheet'!G794,"")</f>
        <v>7.7100000000000002E-2</v>
      </c>
      <c r="I541" s="27">
        <f>IF('Working Sheet'!B794="ITEM",'Working Sheet'!H794,"")</f>
        <v>0</v>
      </c>
      <c r="J541">
        <f>IF('Working Sheet'!B794="ITEM",'Working Sheet'!I794,"")</f>
        <v>10.7111</v>
      </c>
      <c r="K541">
        <f>IF('Working Sheet'!B794="ITEM",'Working Sheet'!J794,"")</f>
        <v>2.9864999999999999</v>
      </c>
      <c r="L541">
        <f>IF('Working Sheet'!B794="ITEM",'Working Sheet'!K794,"")</f>
        <v>0</v>
      </c>
      <c r="M541" s="33">
        <f>IFERROR(Table2[[#This Row],[Value(1000$) 2022]]/Table2[[#This Row],[Volume(1000) 2022]],0)</f>
        <v>2.8335091633912481E-2</v>
      </c>
      <c r="N541" s="33">
        <f>IFERROR(Table2[[#This Row],[Value(1000$) 2023]]/Table2[[#This Row],[Volume(1000) 2023]],0)</f>
        <v>2.5816172777498744E-2</v>
      </c>
      <c r="O541" s="33">
        <f>IFERROR(Table2[[#This Row],[Value(1000$) 2024]]/Table2[[#This Row],[Volume(1000) 2024]],0)</f>
        <v>0</v>
      </c>
      <c r="P541" s="33">
        <f>SUM(Table2[[#This Row],[Value(1000$) 2022]:[Value(1000$) 2024]])</f>
        <v>0.38059999999999999</v>
      </c>
      <c r="Q541" s="33">
        <f>SUM(Table2[[#This Row],[Volume(1000) 2022]:[Volume(1000) 2024]])</f>
        <v>13.6976</v>
      </c>
      <c r="R541" s="33">
        <f>AVERAGE(Table2[[#This Row],[Average Price(2022)]:[Average Price(2024)]])</f>
        <v>1.805042147047041E-2</v>
      </c>
    </row>
    <row r="542" spans="1:18" x14ac:dyDescent="0.3">
      <c r="A542" t="s">
        <v>691</v>
      </c>
      <c r="B542" t="s">
        <v>811</v>
      </c>
      <c r="C542" t="s">
        <v>689</v>
      </c>
      <c r="D542" t="s">
        <v>9</v>
      </c>
      <c r="E542" t="s">
        <v>30</v>
      </c>
      <c r="F542" s="27" t="str">
        <f>IF('Working Sheet'!B795="ITEM",'Working Sheet'!E795,"")</f>
        <v>72</v>
      </c>
      <c r="G542" s="27">
        <f>IF('Working Sheet'!B795="ITEM",'Working Sheet'!F795,"")</f>
        <v>34.620800000000003</v>
      </c>
      <c r="H542" s="27">
        <f>IF('Working Sheet'!B795="ITEM",'Working Sheet'!G795,"")</f>
        <v>13.6218</v>
      </c>
      <c r="I542" s="27">
        <f>IF('Working Sheet'!B795="ITEM",'Working Sheet'!H795,"")</f>
        <v>2.1793999999999998</v>
      </c>
      <c r="J542">
        <f>IF('Working Sheet'!B795="ITEM",'Working Sheet'!I795,"")</f>
        <v>2351.0409</v>
      </c>
      <c r="K542">
        <f>IF('Working Sheet'!B795="ITEM",'Working Sheet'!J795,"")</f>
        <v>917.37919999999997</v>
      </c>
      <c r="L542">
        <f>IF('Working Sheet'!B795="ITEM",'Working Sheet'!K795,"")</f>
        <v>151.65029999999999</v>
      </c>
      <c r="M542" s="33">
        <f>IFERROR(Table2[[#This Row],[Value(1000$) 2022]]/Table2[[#This Row],[Volume(1000) 2022]],0)</f>
        <v>1.4725732759476879E-2</v>
      </c>
      <c r="N542" s="33">
        <f>IFERROR(Table2[[#This Row],[Value(1000$) 2023]]/Table2[[#This Row],[Volume(1000) 2023]],0)</f>
        <v>1.4848603500057556E-2</v>
      </c>
      <c r="O542" s="33">
        <f>IFERROR(Table2[[#This Row],[Value(1000$) 2024]]/Table2[[#This Row],[Volume(1000) 2024]],0)</f>
        <v>1.4371221158151351E-2</v>
      </c>
      <c r="P542" s="33">
        <f>SUM(Table2[[#This Row],[Value(1000$) 2022]:[Value(1000$) 2024]])</f>
        <v>50.422000000000004</v>
      </c>
      <c r="Q542" s="33">
        <f>SUM(Table2[[#This Row],[Volume(1000) 2022]:[Volume(1000) 2024]])</f>
        <v>3420.0703999999996</v>
      </c>
      <c r="R542" s="33">
        <f>AVERAGE(Table2[[#This Row],[Average Price(2022)]:[Average Price(2024)]])</f>
        <v>1.4648519139228594E-2</v>
      </c>
    </row>
    <row r="543" spans="1:18" x14ac:dyDescent="0.3">
      <c r="A543" t="s">
        <v>693</v>
      </c>
      <c r="B543" t="s">
        <v>812</v>
      </c>
      <c r="C543" t="s">
        <v>692</v>
      </c>
      <c r="D543" t="s">
        <v>9</v>
      </c>
      <c r="E543" t="s">
        <v>10</v>
      </c>
      <c r="F543" s="27" t="str">
        <f>IF('Working Sheet'!B798="ITEM",'Working Sheet'!E798,"")</f>
        <v>120</v>
      </c>
      <c r="G543" s="27">
        <f>IF('Working Sheet'!B798="ITEM",'Working Sheet'!F798,"")</f>
        <v>0</v>
      </c>
      <c r="H543" s="27">
        <f>IF('Working Sheet'!B798="ITEM",'Working Sheet'!G798,"")</f>
        <v>0</v>
      </c>
      <c r="I543" s="27">
        <f>IF('Working Sheet'!B798="ITEM",'Working Sheet'!H798,"")</f>
        <v>1.9407000000000001</v>
      </c>
      <c r="J543">
        <f>IF('Working Sheet'!B798="ITEM",'Working Sheet'!I798,"")</f>
        <v>0</v>
      </c>
      <c r="K543">
        <f>IF('Working Sheet'!B798="ITEM",'Working Sheet'!J798,"")</f>
        <v>0</v>
      </c>
      <c r="L543">
        <f>IF('Working Sheet'!B798="ITEM",'Working Sheet'!K798,"")</f>
        <v>110.1146</v>
      </c>
      <c r="M543" s="33">
        <f>IFERROR(Table2[[#This Row],[Value(1000$) 2022]]/Table2[[#This Row],[Volume(1000) 2022]],0)</f>
        <v>0</v>
      </c>
      <c r="N543" s="33">
        <f>IFERROR(Table2[[#This Row],[Value(1000$) 2023]]/Table2[[#This Row],[Volume(1000) 2023]],0)</f>
        <v>0</v>
      </c>
      <c r="O543" s="33">
        <f>IFERROR(Table2[[#This Row],[Value(1000$) 2024]]/Table2[[#This Row],[Volume(1000) 2024]],0)</f>
        <v>1.7624365887902241E-2</v>
      </c>
      <c r="P543" s="33">
        <f>SUM(Table2[[#This Row],[Value(1000$) 2022]:[Value(1000$) 2024]])</f>
        <v>1.9407000000000001</v>
      </c>
      <c r="Q543" s="33">
        <f>SUM(Table2[[#This Row],[Volume(1000) 2022]:[Volume(1000) 2024]])</f>
        <v>110.1146</v>
      </c>
      <c r="R543" s="33">
        <f>AVERAGE(Table2[[#This Row],[Average Price(2022)]:[Average Price(2024)]])</f>
        <v>5.8747886293007466E-3</v>
      </c>
    </row>
    <row r="544" spans="1:18" x14ac:dyDescent="0.3">
      <c r="A544" t="s">
        <v>695</v>
      </c>
      <c r="B544" t="s">
        <v>813</v>
      </c>
      <c r="C544" t="s">
        <v>694</v>
      </c>
      <c r="D544" t="s">
        <v>9</v>
      </c>
      <c r="E544" t="s">
        <v>20</v>
      </c>
      <c r="F544" s="27" t="str">
        <f>IF('Working Sheet'!B801="ITEM",'Working Sheet'!E801,"")</f>
        <v>72</v>
      </c>
      <c r="G544" s="27">
        <f>IF('Working Sheet'!B801="ITEM",'Working Sheet'!F801,"")</f>
        <v>2.0785999999999998</v>
      </c>
      <c r="H544" s="27">
        <f>IF('Working Sheet'!B801="ITEM",'Working Sheet'!G801,"")</f>
        <v>7.1199999999999999E-2</v>
      </c>
      <c r="I544" s="27">
        <f>IF('Working Sheet'!B801="ITEM",'Working Sheet'!H801,"")</f>
        <v>0</v>
      </c>
      <c r="J544">
        <f>IF('Working Sheet'!B801="ITEM",'Working Sheet'!I801,"")</f>
        <v>104.04649999999999</v>
      </c>
      <c r="K544">
        <f>IF('Working Sheet'!B801="ITEM",'Working Sheet'!J801,"")</f>
        <v>3.8216000000000001</v>
      </c>
      <c r="L544">
        <f>IF('Working Sheet'!B801="ITEM",'Working Sheet'!K801,"")</f>
        <v>0</v>
      </c>
      <c r="M544" s="33">
        <f>IFERROR(Table2[[#This Row],[Value(1000$) 2022]]/Table2[[#This Row],[Volume(1000) 2022]],0)</f>
        <v>1.9977606166473642E-2</v>
      </c>
      <c r="N544" s="33">
        <f>IFERROR(Table2[[#This Row],[Value(1000$) 2023]]/Table2[[#This Row],[Volume(1000) 2023]],0)</f>
        <v>1.8630939920452165E-2</v>
      </c>
      <c r="O544" s="33">
        <f>IFERROR(Table2[[#This Row],[Value(1000$) 2024]]/Table2[[#This Row],[Volume(1000) 2024]],0)</f>
        <v>0</v>
      </c>
      <c r="P544" s="33">
        <f>SUM(Table2[[#This Row],[Value(1000$) 2022]:[Value(1000$) 2024]])</f>
        <v>2.1497999999999999</v>
      </c>
      <c r="Q544" s="33">
        <f>SUM(Table2[[#This Row],[Volume(1000) 2022]:[Volume(1000) 2024]])</f>
        <v>107.8681</v>
      </c>
      <c r="R544" s="33">
        <f>AVERAGE(Table2[[#This Row],[Average Price(2022)]:[Average Price(2024)]])</f>
        <v>1.2869515362308603E-2</v>
      </c>
    </row>
    <row r="545" spans="1:18" x14ac:dyDescent="0.3">
      <c r="A545" t="s">
        <v>697</v>
      </c>
      <c r="B545" t="s">
        <v>814</v>
      </c>
      <c r="C545" t="s">
        <v>696</v>
      </c>
      <c r="D545" t="s">
        <v>9</v>
      </c>
      <c r="E545" t="s">
        <v>30</v>
      </c>
      <c r="F545" s="27" t="str">
        <f>IF('Working Sheet'!B804="ITEM",'Working Sheet'!E804,"")</f>
        <v>120</v>
      </c>
      <c r="G545" s="27">
        <f>IF('Working Sheet'!B804="ITEM",'Working Sheet'!F804,"")</f>
        <v>0</v>
      </c>
      <c r="H545" s="27">
        <f>IF('Working Sheet'!B804="ITEM",'Working Sheet'!G804,"")</f>
        <v>0</v>
      </c>
      <c r="I545" s="27">
        <f>IF('Working Sheet'!B804="ITEM",'Working Sheet'!H804,"")</f>
        <v>0.1532</v>
      </c>
      <c r="J545">
        <f>IF('Working Sheet'!B804="ITEM",'Working Sheet'!I804,"")</f>
        <v>0</v>
      </c>
      <c r="K545">
        <f>IF('Working Sheet'!B804="ITEM",'Working Sheet'!J804,"")</f>
        <v>0</v>
      </c>
      <c r="L545">
        <f>IF('Working Sheet'!B804="ITEM",'Working Sheet'!K804,"")</f>
        <v>9.1946999999999992</v>
      </c>
      <c r="M545" s="33">
        <f>IFERROR(Table2[[#This Row],[Value(1000$) 2022]]/Table2[[#This Row],[Volume(1000) 2022]],0)</f>
        <v>0</v>
      </c>
      <c r="N545" s="33">
        <f>IFERROR(Table2[[#This Row],[Value(1000$) 2023]]/Table2[[#This Row],[Volume(1000) 2023]],0)</f>
        <v>0</v>
      </c>
      <c r="O545" s="33">
        <f>IFERROR(Table2[[#This Row],[Value(1000$) 2024]]/Table2[[#This Row],[Volume(1000) 2024]],0)</f>
        <v>1.6661772542877963E-2</v>
      </c>
      <c r="P545" s="33">
        <f>SUM(Table2[[#This Row],[Value(1000$) 2022]:[Value(1000$) 2024]])</f>
        <v>0.1532</v>
      </c>
      <c r="Q545" s="33">
        <f>SUM(Table2[[#This Row],[Volume(1000) 2022]:[Volume(1000) 2024]])</f>
        <v>9.1946999999999992</v>
      </c>
      <c r="R545" s="33">
        <f>AVERAGE(Table2[[#This Row],[Average Price(2022)]:[Average Price(2024)]])</f>
        <v>5.5539241809593213E-3</v>
      </c>
    </row>
    <row r="546" spans="1:18" x14ac:dyDescent="0.3">
      <c r="A546" t="s">
        <v>699</v>
      </c>
      <c r="B546" t="s">
        <v>814</v>
      </c>
      <c r="C546" t="s">
        <v>698</v>
      </c>
      <c r="D546" t="s">
        <v>9</v>
      </c>
      <c r="E546" t="s">
        <v>30</v>
      </c>
      <c r="F546" s="27" t="str">
        <f>IF('Working Sheet'!B806="ITEM",'Working Sheet'!E806,"")</f>
        <v>72</v>
      </c>
      <c r="G546" s="27">
        <f>IF('Working Sheet'!B806="ITEM",'Working Sheet'!F806,"")</f>
        <v>0</v>
      </c>
      <c r="H546" s="27">
        <f>IF('Working Sheet'!B806="ITEM",'Working Sheet'!G806,"")</f>
        <v>2.8000000000000001E-2</v>
      </c>
      <c r="I546" s="27">
        <f>IF('Working Sheet'!B806="ITEM",'Working Sheet'!H806,"")</f>
        <v>14.061199999999999</v>
      </c>
      <c r="J546">
        <f>IF('Working Sheet'!B806="ITEM",'Working Sheet'!I806,"")</f>
        <v>0</v>
      </c>
      <c r="K546">
        <f>IF('Working Sheet'!B806="ITEM",'Working Sheet'!J806,"")</f>
        <v>1.8513999999999999</v>
      </c>
      <c r="L546">
        <f>IF('Working Sheet'!B806="ITEM",'Working Sheet'!K806,"")</f>
        <v>850.57989999999995</v>
      </c>
      <c r="M546" s="33">
        <f>IFERROR(Table2[[#This Row],[Value(1000$) 2022]]/Table2[[#This Row],[Volume(1000) 2022]],0)</f>
        <v>0</v>
      </c>
      <c r="N546" s="33">
        <f>IFERROR(Table2[[#This Row],[Value(1000$) 2023]]/Table2[[#This Row],[Volume(1000) 2023]],0)</f>
        <v>1.512369018040402E-2</v>
      </c>
      <c r="O546" s="33">
        <f>IFERROR(Table2[[#This Row],[Value(1000$) 2024]]/Table2[[#This Row],[Volume(1000) 2024]],0)</f>
        <v>1.6531309992159467E-2</v>
      </c>
      <c r="P546" s="33">
        <f>SUM(Table2[[#This Row],[Value(1000$) 2022]:[Value(1000$) 2024]])</f>
        <v>14.0892</v>
      </c>
      <c r="Q546" s="33">
        <f>SUM(Table2[[#This Row],[Volume(1000) 2022]:[Volume(1000) 2024]])</f>
        <v>852.43129999999996</v>
      </c>
      <c r="R546" s="33">
        <f>AVERAGE(Table2[[#This Row],[Average Price(2022)]:[Average Price(2024)]])</f>
        <v>1.0551666724187829E-2</v>
      </c>
    </row>
    <row r="547" spans="1:18" x14ac:dyDescent="0.3">
      <c r="A547" t="s">
        <v>700</v>
      </c>
      <c r="B547" t="s">
        <v>814</v>
      </c>
      <c r="C547" t="s">
        <v>698</v>
      </c>
      <c r="D547" t="s">
        <v>9</v>
      </c>
      <c r="E547" t="s">
        <v>30</v>
      </c>
      <c r="F547" s="27" t="str">
        <f>IF('Working Sheet'!B807="ITEM",'Working Sheet'!E807,"")</f>
        <v>72</v>
      </c>
      <c r="G547" s="27">
        <f>IF('Working Sheet'!B807="ITEM",'Working Sheet'!F807,"")</f>
        <v>0</v>
      </c>
      <c r="H547" s="27">
        <f>IF('Working Sheet'!B807="ITEM",'Working Sheet'!G807,"")</f>
        <v>3.1899999999999998E-2</v>
      </c>
      <c r="I547" s="27">
        <f>IF('Working Sheet'!B807="ITEM",'Working Sheet'!H807,"")</f>
        <v>8.1054999999999993</v>
      </c>
      <c r="J547">
        <f>IF('Working Sheet'!B807="ITEM",'Working Sheet'!I807,"")</f>
        <v>0</v>
      </c>
      <c r="K547">
        <f>IF('Working Sheet'!B807="ITEM",'Working Sheet'!J807,"")</f>
        <v>2.1086</v>
      </c>
      <c r="L547">
        <f>IF('Working Sheet'!B807="ITEM",'Working Sheet'!K807,"")</f>
        <v>502.96</v>
      </c>
      <c r="M547" s="33">
        <f>IFERROR(Table2[[#This Row],[Value(1000$) 2022]]/Table2[[#This Row],[Volume(1000) 2022]],0)</f>
        <v>0</v>
      </c>
      <c r="N547" s="33">
        <f>IFERROR(Table2[[#This Row],[Value(1000$) 2023]]/Table2[[#This Row],[Volume(1000) 2023]],0)</f>
        <v>1.5128521293749406E-2</v>
      </c>
      <c r="O547" s="33">
        <f>IFERROR(Table2[[#This Row],[Value(1000$) 2024]]/Table2[[#This Row],[Volume(1000) 2024]],0)</f>
        <v>1.6115595673612215E-2</v>
      </c>
      <c r="P547" s="33">
        <f>SUM(Table2[[#This Row],[Value(1000$) 2022]:[Value(1000$) 2024]])</f>
        <v>8.1373999999999995</v>
      </c>
      <c r="Q547" s="33">
        <f>SUM(Table2[[#This Row],[Volume(1000) 2022]:[Volume(1000) 2024]])</f>
        <v>505.0686</v>
      </c>
      <c r="R547" s="33">
        <f>AVERAGE(Table2[[#This Row],[Average Price(2022)]:[Average Price(2024)]])</f>
        <v>1.0414705655787207E-2</v>
      </c>
    </row>
    <row r="548" spans="1:18" x14ac:dyDescent="0.3">
      <c r="A548" t="s">
        <v>702</v>
      </c>
      <c r="B548" t="s">
        <v>815</v>
      </c>
      <c r="C548" t="s">
        <v>701</v>
      </c>
      <c r="D548" t="s">
        <v>9</v>
      </c>
      <c r="E548" t="s">
        <v>64</v>
      </c>
      <c r="F548" s="27" t="str">
        <f>IF('Working Sheet'!B810="ITEM",'Working Sheet'!E810,"")</f>
        <v>100</v>
      </c>
      <c r="G548" s="27">
        <f>IF('Working Sheet'!B810="ITEM",'Working Sheet'!F810,"")</f>
        <v>0</v>
      </c>
      <c r="H548" s="27">
        <f>IF('Working Sheet'!B810="ITEM",'Working Sheet'!G810,"")</f>
        <v>0</v>
      </c>
      <c r="I548" s="27">
        <f>IF('Working Sheet'!B810="ITEM",'Working Sheet'!H810,"")</f>
        <v>0</v>
      </c>
      <c r="J548">
        <f>IF('Working Sheet'!B810="ITEM",'Working Sheet'!I810,"")</f>
        <v>0</v>
      </c>
      <c r="K548">
        <f>IF('Working Sheet'!B810="ITEM",'Working Sheet'!J810,"")</f>
        <v>0</v>
      </c>
      <c r="L548">
        <f>IF('Working Sheet'!B810="ITEM",'Working Sheet'!K810,"")</f>
        <v>0</v>
      </c>
      <c r="M548" s="33">
        <f>IFERROR(Table2[[#This Row],[Value(1000$) 2022]]/Table2[[#This Row],[Volume(1000) 2022]],0)</f>
        <v>0</v>
      </c>
      <c r="N548" s="33">
        <f>IFERROR(Table2[[#This Row],[Value(1000$) 2023]]/Table2[[#This Row],[Volume(1000) 2023]],0)</f>
        <v>0</v>
      </c>
      <c r="O548" s="33">
        <f>IFERROR(Table2[[#This Row],[Value(1000$) 2024]]/Table2[[#This Row],[Volume(1000) 2024]],0)</f>
        <v>0</v>
      </c>
      <c r="P548" s="33">
        <f>SUM(Table2[[#This Row],[Value(1000$) 2022]:[Value(1000$) 2024]])</f>
        <v>0</v>
      </c>
      <c r="Q548" s="33">
        <f>SUM(Table2[[#This Row],[Volume(1000) 2022]:[Volume(1000) 2024]])</f>
        <v>0</v>
      </c>
      <c r="R548" s="33">
        <f>AVERAGE(Table2[[#This Row],[Average Price(2022)]:[Average Price(2024)]])</f>
        <v>0</v>
      </c>
    </row>
    <row r="549" spans="1:18" x14ac:dyDescent="0.3">
      <c r="A549" t="s">
        <v>704</v>
      </c>
      <c r="B549" t="s">
        <v>816</v>
      </c>
      <c r="C549" t="s">
        <v>703</v>
      </c>
      <c r="D549" t="s">
        <v>9</v>
      </c>
      <c r="E549" t="s">
        <v>30</v>
      </c>
      <c r="F549" s="27" t="str">
        <f>IF('Working Sheet'!B813="ITEM",'Working Sheet'!E813,"")</f>
        <v>120</v>
      </c>
      <c r="G549" s="27">
        <f>IF('Working Sheet'!B813="ITEM",'Working Sheet'!F813,"")</f>
        <v>25.839099999999998</v>
      </c>
      <c r="H549" s="27">
        <f>IF('Working Sheet'!B813="ITEM",'Working Sheet'!G813,"")</f>
        <v>9.0121000000000002</v>
      </c>
      <c r="I549" s="27">
        <f>IF('Working Sheet'!B813="ITEM",'Working Sheet'!H813,"")</f>
        <v>10.0204</v>
      </c>
      <c r="J549">
        <f>IF('Working Sheet'!B813="ITEM",'Working Sheet'!I813,"")</f>
        <v>1539.4739</v>
      </c>
      <c r="K549">
        <f>IF('Working Sheet'!B813="ITEM",'Working Sheet'!J813,"")</f>
        <v>509.45670000000001</v>
      </c>
      <c r="L549">
        <f>IF('Working Sheet'!B813="ITEM",'Working Sheet'!K813,"")</f>
        <v>585.52229999999997</v>
      </c>
      <c r="M549" s="33">
        <f>IFERROR(Table2[[#This Row],[Value(1000$) 2022]]/Table2[[#This Row],[Volume(1000) 2022]],0)</f>
        <v>1.6784370296891685E-2</v>
      </c>
      <c r="N549" s="33">
        <f>IFERROR(Table2[[#This Row],[Value(1000$) 2023]]/Table2[[#This Row],[Volume(1000) 2023]],0)</f>
        <v>1.7689628971412096E-2</v>
      </c>
      <c r="O549" s="33">
        <f>IFERROR(Table2[[#This Row],[Value(1000$) 2024]]/Table2[[#This Row],[Volume(1000) 2024]],0)</f>
        <v>1.7113609507272396E-2</v>
      </c>
      <c r="P549" s="33">
        <f>SUM(Table2[[#This Row],[Value(1000$) 2022]:[Value(1000$) 2024]])</f>
        <v>44.871600000000001</v>
      </c>
      <c r="Q549" s="33">
        <f>SUM(Table2[[#This Row],[Volume(1000) 2022]:[Volume(1000) 2024]])</f>
        <v>2634.4529000000002</v>
      </c>
      <c r="R549" s="33">
        <f>AVERAGE(Table2[[#This Row],[Average Price(2022)]:[Average Price(2024)]])</f>
        <v>1.7195869591858728E-2</v>
      </c>
    </row>
    <row r="550" spans="1:18" x14ac:dyDescent="0.3">
      <c r="A550" t="s">
        <v>706</v>
      </c>
      <c r="B550" t="s">
        <v>817</v>
      </c>
      <c r="C550" t="s">
        <v>705</v>
      </c>
      <c r="D550" t="s">
        <v>9</v>
      </c>
      <c r="E550" t="s">
        <v>249</v>
      </c>
      <c r="F550" s="27" t="str">
        <f>IF('Working Sheet'!B816="ITEM",'Working Sheet'!E816,"")</f>
        <v>50</v>
      </c>
      <c r="G550" s="27">
        <f>IF('Working Sheet'!B816="ITEM",'Working Sheet'!F816,"")</f>
        <v>9.0969999999999995</v>
      </c>
      <c r="H550" s="27">
        <f>IF('Working Sheet'!B816="ITEM",'Working Sheet'!G816,"")</f>
        <v>13.0891</v>
      </c>
      <c r="I550" s="27">
        <f>IF('Working Sheet'!B816="ITEM",'Working Sheet'!H816,"")</f>
        <v>4.6460999999999997</v>
      </c>
      <c r="J550">
        <f>IF('Working Sheet'!B816="ITEM",'Working Sheet'!I816,"")</f>
        <v>134.3818</v>
      </c>
      <c r="K550">
        <f>IF('Working Sheet'!B816="ITEM",'Working Sheet'!J816,"")</f>
        <v>186.4109</v>
      </c>
      <c r="L550">
        <f>IF('Working Sheet'!B816="ITEM",'Working Sheet'!K816,"")</f>
        <v>56.316099999999999</v>
      </c>
      <c r="M550" s="33">
        <f>IFERROR(Table2[[#This Row],[Value(1000$) 2022]]/Table2[[#This Row],[Volume(1000) 2022]],0)</f>
        <v>6.76951789602461E-2</v>
      </c>
      <c r="N550" s="33">
        <f>IFERROR(Table2[[#This Row],[Value(1000$) 2023]]/Table2[[#This Row],[Volume(1000) 2023]],0)</f>
        <v>7.0216387561027813E-2</v>
      </c>
      <c r="O550" s="33">
        <f>IFERROR(Table2[[#This Row],[Value(1000$) 2024]]/Table2[[#This Row],[Volume(1000) 2024]],0)</f>
        <v>8.2500386212823684E-2</v>
      </c>
      <c r="P550" s="33">
        <f>SUM(Table2[[#This Row],[Value(1000$) 2022]:[Value(1000$) 2024]])</f>
        <v>26.8322</v>
      </c>
      <c r="Q550" s="33">
        <f>SUM(Table2[[#This Row],[Volume(1000) 2022]:[Volume(1000) 2024]])</f>
        <v>377.10879999999997</v>
      </c>
      <c r="R550" s="33">
        <f>AVERAGE(Table2[[#This Row],[Average Price(2022)]:[Average Price(2024)]])</f>
        <v>7.3470650911365856E-2</v>
      </c>
    </row>
    <row r="551" spans="1:18" x14ac:dyDescent="0.3">
      <c r="A551" t="s">
        <v>707</v>
      </c>
      <c r="B551" t="s">
        <v>817</v>
      </c>
      <c r="C551" t="s">
        <v>705</v>
      </c>
      <c r="D551" t="s">
        <v>9</v>
      </c>
      <c r="E551" t="s">
        <v>64</v>
      </c>
      <c r="F551" s="27" t="str">
        <f>IF('Working Sheet'!B817="ITEM",'Working Sheet'!E817,"")</f>
        <v>50</v>
      </c>
      <c r="G551" s="27">
        <f>IF('Working Sheet'!B817="ITEM",'Working Sheet'!F817,"")</f>
        <v>10.3986</v>
      </c>
      <c r="H551" s="27">
        <f>IF('Working Sheet'!B817="ITEM",'Working Sheet'!G817,"")</f>
        <v>26.6724</v>
      </c>
      <c r="I551" s="27">
        <f>IF('Working Sheet'!B817="ITEM",'Working Sheet'!H817,"")</f>
        <v>21.6234</v>
      </c>
      <c r="J551">
        <f>IF('Working Sheet'!B817="ITEM",'Working Sheet'!I817,"")</f>
        <v>151.6679</v>
      </c>
      <c r="K551">
        <f>IF('Working Sheet'!B817="ITEM",'Working Sheet'!J817,"")</f>
        <v>465.6979</v>
      </c>
      <c r="L551">
        <f>IF('Working Sheet'!B817="ITEM",'Working Sheet'!K817,"")</f>
        <v>443.52179999999998</v>
      </c>
      <c r="M551" s="33">
        <f>IFERROR(Table2[[#This Row],[Value(1000$) 2022]]/Table2[[#This Row],[Volume(1000) 2022]],0)</f>
        <v>6.8561640267980242E-2</v>
      </c>
      <c r="N551" s="33">
        <f>IFERROR(Table2[[#This Row],[Value(1000$) 2023]]/Table2[[#This Row],[Volume(1000) 2023]],0)</f>
        <v>5.7274039672500131E-2</v>
      </c>
      <c r="O551" s="33">
        <f>IFERROR(Table2[[#This Row],[Value(1000$) 2024]]/Table2[[#This Row],[Volume(1000) 2024]],0)</f>
        <v>4.8753860576864545E-2</v>
      </c>
      <c r="P551" s="33">
        <f>SUM(Table2[[#This Row],[Value(1000$) 2022]:[Value(1000$) 2024]])</f>
        <v>58.694400000000002</v>
      </c>
      <c r="Q551" s="33">
        <f>SUM(Table2[[#This Row],[Volume(1000) 2022]:[Volume(1000) 2024]])</f>
        <v>1060.8876</v>
      </c>
      <c r="R551" s="33">
        <f>AVERAGE(Table2[[#This Row],[Average Price(2022)]:[Average Price(2024)]])</f>
        <v>5.8196513505781637E-2</v>
      </c>
    </row>
    <row r="552" spans="1:18" x14ac:dyDescent="0.3">
      <c r="A552" t="s">
        <v>709</v>
      </c>
      <c r="B552" t="s">
        <v>818</v>
      </c>
      <c r="C552" t="s">
        <v>708</v>
      </c>
      <c r="D552" t="s">
        <v>9</v>
      </c>
      <c r="E552" t="s">
        <v>20</v>
      </c>
      <c r="F552" s="27" t="str">
        <f>IF('Working Sheet'!B820="ITEM",'Working Sheet'!E820,"")</f>
        <v>72</v>
      </c>
      <c r="G552" s="27">
        <f>IF('Working Sheet'!B820="ITEM",'Working Sheet'!F820,"")</f>
        <v>1.8396999999999999</v>
      </c>
      <c r="H552" s="27">
        <f>IF('Working Sheet'!B820="ITEM",'Working Sheet'!G820,"")</f>
        <v>4.3616000000000001</v>
      </c>
      <c r="I552" s="27">
        <f>IF('Working Sheet'!B820="ITEM",'Working Sheet'!H820,"")</f>
        <v>0</v>
      </c>
      <c r="J552">
        <f>IF('Working Sheet'!B820="ITEM",'Working Sheet'!I820,"")</f>
        <v>115.49760000000001</v>
      </c>
      <c r="K552">
        <f>IF('Working Sheet'!B820="ITEM",'Working Sheet'!J820,"")</f>
        <v>300.46589999999998</v>
      </c>
      <c r="L552">
        <f>IF('Working Sheet'!B820="ITEM",'Working Sheet'!K820,"")</f>
        <v>0</v>
      </c>
      <c r="M552" s="33">
        <f>IFERROR(Table2[[#This Row],[Value(1000$) 2022]]/Table2[[#This Row],[Volume(1000) 2022]],0)</f>
        <v>1.5928469509323136E-2</v>
      </c>
      <c r="N552" s="33">
        <f>IFERROR(Table2[[#This Row],[Value(1000$) 2023]]/Table2[[#This Row],[Volume(1000) 2023]],0)</f>
        <v>1.4516123127449739E-2</v>
      </c>
      <c r="O552" s="33">
        <f>IFERROR(Table2[[#This Row],[Value(1000$) 2024]]/Table2[[#This Row],[Volume(1000) 2024]],0)</f>
        <v>0</v>
      </c>
      <c r="P552" s="33">
        <f>SUM(Table2[[#This Row],[Value(1000$) 2022]:[Value(1000$) 2024]])</f>
        <v>6.2012999999999998</v>
      </c>
      <c r="Q552" s="33">
        <f>SUM(Table2[[#This Row],[Volume(1000) 2022]:[Volume(1000) 2024]])</f>
        <v>415.96349999999995</v>
      </c>
      <c r="R552" s="33">
        <f>AVERAGE(Table2[[#This Row],[Average Price(2022)]:[Average Price(2024)]])</f>
        <v>1.0148197545590959E-2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 Table</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NewPC20</dc:creator>
  <cp:lastModifiedBy>Muna Saha</cp:lastModifiedBy>
  <dcterms:created xsi:type="dcterms:W3CDTF">2023-06-30T13:31:58Z</dcterms:created>
  <dcterms:modified xsi:type="dcterms:W3CDTF">2026-06-10T06:53:06Z</dcterms:modified>
</cp:coreProperties>
</file>